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 activeTab="1"/>
  </bookViews>
  <sheets>
    <sheet name="内尺寸" sheetId="2" r:id="rId1"/>
    <sheet name="外尺寸" sheetId="3" r:id="rId2"/>
    <sheet name="Sheet1" sheetId="4" r:id="rId3"/>
  </sheets>
  <definedNames>
    <definedName name="_xlnm._FilterDatabase" localSheetId="0" hidden="1">内尺寸!$A$4:$BB$1136</definedName>
    <definedName name="_xlnm._FilterDatabase" localSheetId="1" hidden="1">外尺寸!$A$4:$H$1048</definedName>
    <definedName name="_xlnm._FilterDatabase" localSheetId="2" hidden="1">Sheet1!$4:$747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<sst xmlns="http://schemas.openxmlformats.org/spreadsheetml/2006/main" count="2832" uniqueCount="359">
  <si>
    <t>2026年4月出入库统计表</t>
  </si>
  <si>
    <t>序号</t>
  </si>
  <si>
    <t>内尺寸规格</t>
  </si>
  <si>
    <t>材质</t>
  </si>
  <si>
    <t>货 位</t>
  </si>
  <si>
    <t>上月库存</t>
  </si>
  <si>
    <t>入库数量</t>
  </si>
  <si>
    <t>出库数量</t>
  </si>
  <si>
    <t>剩余库存</t>
  </si>
  <si>
    <t>入库</t>
  </si>
  <si>
    <t>出库</t>
  </si>
  <si>
    <t>6*6*2</t>
  </si>
  <si>
    <t>国产纸</t>
  </si>
  <si>
    <t>台湾纸</t>
  </si>
  <si>
    <t>双白</t>
  </si>
  <si>
    <t>6*6*3</t>
  </si>
  <si>
    <t>6*6*4</t>
  </si>
  <si>
    <t>6*6*5</t>
  </si>
  <si>
    <t>6*6*6</t>
  </si>
  <si>
    <t>6*6*7</t>
  </si>
  <si>
    <t>7*7*2</t>
  </si>
  <si>
    <t>7*7*3</t>
  </si>
  <si>
    <t>7*7*4</t>
  </si>
  <si>
    <t>7*7*5</t>
  </si>
  <si>
    <t>7*7*6</t>
  </si>
  <si>
    <t>7*7*7</t>
  </si>
  <si>
    <t>8*8*2</t>
  </si>
  <si>
    <t>8*8*3</t>
  </si>
  <si>
    <t>8*8*4</t>
  </si>
  <si>
    <t>8*8*5</t>
  </si>
  <si>
    <t>8*8*6</t>
  </si>
  <si>
    <t>8*8*7</t>
  </si>
  <si>
    <t>8*8*8</t>
  </si>
  <si>
    <t>9*9*2</t>
  </si>
  <si>
    <t>9*9*3</t>
  </si>
  <si>
    <t>9*9*4</t>
  </si>
  <si>
    <t>9*9*5</t>
  </si>
  <si>
    <t>9*9*6</t>
  </si>
  <si>
    <t>9*9*7</t>
  </si>
  <si>
    <t>9*9*8</t>
  </si>
  <si>
    <t>9*9*9</t>
  </si>
  <si>
    <t>10*10*2</t>
  </si>
  <si>
    <t>10*10*3</t>
  </si>
  <si>
    <t>10*10*4</t>
  </si>
  <si>
    <t>10*10*5</t>
  </si>
  <si>
    <t>10*10*6</t>
  </si>
  <si>
    <t>10*10*7</t>
  </si>
  <si>
    <t>10*10*8</t>
  </si>
  <si>
    <t>10*10*9</t>
  </si>
  <si>
    <t>10*10*10</t>
  </si>
  <si>
    <t>11*11*2</t>
  </si>
  <si>
    <t>11*11*3</t>
  </si>
  <si>
    <t>11*11*4</t>
  </si>
  <si>
    <t>11*11*5</t>
  </si>
  <si>
    <t>11*11*6</t>
  </si>
  <si>
    <t>11*11*7</t>
  </si>
  <si>
    <t>11*11*8</t>
  </si>
  <si>
    <t>11*11*9</t>
  </si>
  <si>
    <t>11*11*10</t>
  </si>
  <si>
    <t>12*12*2</t>
  </si>
  <si>
    <t>12*12*3</t>
  </si>
  <si>
    <t>12*12*4</t>
  </si>
  <si>
    <t>12*12*5</t>
  </si>
  <si>
    <t>12*12*6</t>
  </si>
  <si>
    <t>12*12*7</t>
  </si>
  <si>
    <t>12*12*8</t>
  </si>
  <si>
    <t>12*12*9</t>
  </si>
  <si>
    <t>12*12*10</t>
  </si>
  <si>
    <t>13*13*2</t>
  </si>
  <si>
    <t>13*13*3</t>
  </si>
  <si>
    <t>13*13*4</t>
  </si>
  <si>
    <t>13*13*5</t>
  </si>
  <si>
    <t>13*13*6</t>
  </si>
  <si>
    <t>13*13*7</t>
  </si>
  <si>
    <t>13*13*8</t>
  </si>
  <si>
    <t>13*13*9</t>
  </si>
  <si>
    <t>13*13*10</t>
  </si>
  <si>
    <t>14*14*2</t>
  </si>
  <si>
    <t>红色</t>
  </si>
  <si>
    <t>14*14*3</t>
  </si>
  <si>
    <t>14*14*4</t>
  </si>
  <si>
    <t>14*14*5</t>
  </si>
  <si>
    <t>14*14*6</t>
  </si>
  <si>
    <t>14*14*7</t>
  </si>
  <si>
    <t>14*14*8</t>
  </si>
  <si>
    <t>14*14*9</t>
  </si>
  <si>
    <t>14*14*10</t>
  </si>
  <si>
    <t>15*15*2</t>
  </si>
  <si>
    <t>15*15*3</t>
  </si>
  <si>
    <t>15*15*4</t>
  </si>
  <si>
    <t>15*15*5</t>
  </si>
  <si>
    <t>15*15*6</t>
  </si>
  <si>
    <t>15*15*7</t>
  </si>
  <si>
    <t>15*15*8</t>
  </si>
  <si>
    <t>15*15*9</t>
  </si>
  <si>
    <t>15*15*10</t>
  </si>
  <si>
    <t>16*16*2</t>
  </si>
  <si>
    <t>16*16*3</t>
  </si>
  <si>
    <t>16*16*4</t>
  </si>
  <si>
    <t>16*16*5</t>
  </si>
  <si>
    <t>16*16*6</t>
  </si>
  <si>
    <t>16*16*7</t>
  </si>
  <si>
    <t>16*16*8</t>
  </si>
  <si>
    <t>16*16*9</t>
  </si>
  <si>
    <t>16*16*10</t>
  </si>
  <si>
    <t>17*17*2</t>
  </si>
  <si>
    <t>17*17*3</t>
  </si>
  <si>
    <t>17*17*4</t>
  </si>
  <si>
    <t>17*17*5</t>
  </si>
  <si>
    <t>17*17*6</t>
  </si>
  <si>
    <t>17*17*7</t>
  </si>
  <si>
    <t>17*17*8</t>
  </si>
  <si>
    <t>17*17*9</t>
  </si>
  <si>
    <t>17*17*10</t>
  </si>
  <si>
    <t>18*18*2</t>
  </si>
  <si>
    <t>18*18*3</t>
  </si>
  <si>
    <t>18*18*4</t>
  </si>
  <si>
    <t>18*18*5</t>
  </si>
  <si>
    <t>18*18*6</t>
  </si>
  <si>
    <t>18*18*7</t>
  </si>
  <si>
    <t>18*18*8</t>
  </si>
  <si>
    <t>18*18*9</t>
  </si>
  <si>
    <t>18*18*10</t>
  </si>
  <si>
    <t>19*19*2</t>
  </si>
  <si>
    <t>19*19*3</t>
  </si>
  <si>
    <t>19*19*4</t>
  </si>
  <si>
    <t>19*19*5</t>
  </si>
  <si>
    <t>28*28*10</t>
  </si>
  <si>
    <t>19*19*6</t>
  </si>
  <si>
    <t>19*19*7</t>
  </si>
  <si>
    <t>19*19*8</t>
  </si>
  <si>
    <t>19*19*9</t>
  </si>
  <si>
    <t>19*19*10</t>
  </si>
  <si>
    <t>20*20*2</t>
  </si>
  <si>
    <t>黑色</t>
  </si>
  <si>
    <t>16-4</t>
  </si>
  <si>
    <t>20*20*3</t>
  </si>
  <si>
    <t>20*20*4</t>
  </si>
  <si>
    <t>20*20*5</t>
  </si>
  <si>
    <t>20*20*6</t>
  </si>
  <si>
    <t>20*20*7</t>
  </si>
  <si>
    <t>20*20*8</t>
  </si>
  <si>
    <t>20*20*9</t>
  </si>
  <si>
    <t>20*20*10</t>
  </si>
  <si>
    <t>21*21*2</t>
  </si>
  <si>
    <t>21*21*3</t>
  </si>
  <si>
    <t>21*21*4</t>
  </si>
  <si>
    <t>21*21*5</t>
  </si>
  <si>
    <t>21*21*6</t>
  </si>
  <si>
    <t>21*21*7</t>
  </si>
  <si>
    <t>21*21*8</t>
  </si>
  <si>
    <t>21*21*9</t>
  </si>
  <si>
    <t>21*21*10</t>
  </si>
  <si>
    <t>22*22*2</t>
  </si>
  <si>
    <t>22*22*3</t>
  </si>
  <si>
    <t>22*22*4</t>
  </si>
  <si>
    <t>22*22*5</t>
  </si>
  <si>
    <t>22*22*6</t>
  </si>
  <si>
    <t>22*22*7</t>
  </si>
  <si>
    <t>22*22*8</t>
  </si>
  <si>
    <t>22*22*9</t>
  </si>
  <si>
    <t>22*22*10</t>
  </si>
  <si>
    <t>23*23*2</t>
  </si>
  <si>
    <t>23*23*3</t>
  </si>
  <si>
    <t>23*23*4</t>
  </si>
  <si>
    <t>23*23*5</t>
  </si>
  <si>
    <t>23*23*6</t>
  </si>
  <si>
    <t>23*23*7</t>
  </si>
  <si>
    <t>23*23*8</t>
  </si>
  <si>
    <t>23*23*9</t>
  </si>
  <si>
    <t>23*23*10</t>
  </si>
  <si>
    <t>24*24*2</t>
  </si>
  <si>
    <t>24*24*3</t>
  </si>
  <si>
    <t>24*24*4</t>
  </si>
  <si>
    <t>24*24*5</t>
  </si>
  <si>
    <t>24*24*6</t>
  </si>
  <si>
    <t>24*24*7</t>
  </si>
  <si>
    <t>24*24*8</t>
  </si>
  <si>
    <t>24*24*9</t>
  </si>
  <si>
    <t>24*24*10</t>
  </si>
  <si>
    <t>25*25*2</t>
  </si>
  <si>
    <t>25*25*3</t>
  </si>
  <si>
    <t>25*25*4</t>
  </si>
  <si>
    <t>25*25*5</t>
  </si>
  <si>
    <t>25*25*6</t>
  </si>
  <si>
    <t>25*25*7</t>
  </si>
  <si>
    <t>25*25*8</t>
  </si>
  <si>
    <t>25*25*9</t>
  </si>
  <si>
    <t>25*25*10</t>
  </si>
  <si>
    <t>26*26*2</t>
  </si>
  <si>
    <t>26*26*3</t>
  </si>
  <si>
    <t>26*26*4</t>
  </si>
  <si>
    <t>26*26*5</t>
  </si>
  <si>
    <t>26*26*6</t>
  </si>
  <si>
    <t>26*26*7</t>
  </si>
  <si>
    <t>26*26*8</t>
  </si>
  <si>
    <t>26*26*9</t>
  </si>
  <si>
    <t>26*26*10</t>
  </si>
  <si>
    <t>27*27*2</t>
  </si>
  <si>
    <t>27*27*3</t>
  </si>
  <si>
    <t>27*27*4</t>
  </si>
  <si>
    <t>27*27*5</t>
  </si>
  <si>
    <t>27*27*6</t>
  </si>
  <si>
    <t>27*27*7</t>
  </si>
  <si>
    <t>27*27*8</t>
  </si>
  <si>
    <t>27*27*9</t>
  </si>
  <si>
    <t>27*27*10</t>
  </si>
  <si>
    <t>28*28*2</t>
  </si>
  <si>
    <t>28*28*3</t>
  </si>
  <si>
    <t>28*28*4</t>
  </si>
  <si>
    <t>28*28*5</t>
  </si>
  <si>
    <t>28*28*6</t>
  </si>
  <si>
    <t>28*28*7</t>
  </si>
  <si>
    <t>28*28*8</t>
  </si>
  <si>
    <t>28*28*9</t>
  </si>
  <si>
    <t>29*29*2</t>
  </si>
  <si>
    <t>29*29*3</t>
  </si>
  <si>
    <t>29*29*4</t>
  </si>
  <si>
    <t>29*29*5</t>
  </si>
  <si>
    <t>29*29*6</t>
  </si>
  <si>
    <t>29*29*7</t>
  </si>
  <si>
    <t>29*29*8</t>
  </si>
  <si>
    <t>29*29*9</t>
  </si>
  <si>
    <t>29*29*10</t>
  </si>
  <si>
    <t>30*30*2</t>
  </si>
  <si>
    <t>30*30*3</t>
  </si>
  <si>
    <t>30*30*4</t>
  </si>
  <si>
    <t>30*30*5</t>
  </si>
  <si>
    <t>30*30*6</t>
  </si>
  <si>
    <t>30*30*7</t>
  </si>
  <si>
    <t>30*30*8</t>
  </si>
  <si>
    <t>30*30*9</t>
  </si>
  <si>
    <t>30*30*10</t>
  </si>
  <si>
    <t>31*31*2</t>
  </si>
  <si>
    <t>31*31*3</t>
  </si>
  <si>
    <t>31*31*4</t>
  </si>
  <si>
    <t>31*31*5</t>
  </si>
  <si>
    <t>31*31*6</t>
  </si>
  <si>
    <t>31*31*7</t>
  </si>
  <si>
    <t>31*31*8</t>
  </si>
  <si>
    <t>31*31*9</t>
  </si>
  <si>
    <t>31*31*10</t>
  </si>
  <si>
    <t>32*32*2</t>
  </si>
  <si>
    <t>32*32*3</t>
  </si>
  <si>
    <t>32*32*4</t>
  </si>
  <si>
    <t>32*32*5</t>
  </si>
  <si>
    <t>32*32*6</t>
  </si>
  <si>
    <t>32*32*7</t>
  </si>
  <si>
    <t>32*32*8</t>
  </si>
  <si>
    <t>32*32*9</t>
  </si>
  <si>
    <t>32*32*10</t>
  </si>
  <si>
    <t>33*33*2</t>
  </si>
  <si>
    <t>33*33*3</t>
  </si>
  <si>
    <t>33*33*4</t>
  </si>
  <si>
    <t>33*33*5</t>
  </si>
  <si>
    <t>33*33*6</t>
  </si>
  <si>
    <t>33*33*7</t>
  </si>
  <si>
    <t>33*33*8</t>
  </si>
  <si>
    <t>33*33*9</t>
  </si>
  <si>
    <t>33*33*10</t>
  </si>
  <si>
    <t>34*34*2</t>
  </si>
  <si>
    <t>34*34*3</t>
  </si>
  <si>
    <t>34*34*4</t>
  </si>
  <si>
    <t>34*34*5</t>
  </si>
  <si>
    <t>34*34*6</t>
  </si>
  <si>
    <t>34*34*7</t>
  </si>
  <si>
    <t>34*34*8</t>
  </si>
  <si>
    <t>34*34*9</t>
  </si>
  <si>
    <t>34*34*10</t>
  </si>
  <si>
    <t>35*35*2</t>
  </si>
  <si>
    <t>35*35*3</t>
  </si>
  <si>
    <t>35*35*4</t>
  </si>
  <si>
    <t>35*35*5</t>
  </si>
  <si>
    <t>35*35*6</t>
  </si>
  <si>
    <t>35*35*7</t>
  </si>
  <si>
    <t>35*35*8</t>
  </si>
  <si>
    <t>35*35*9</t>
  </si>
  <si>
    <t>35*35*10</t>
  </si>
  <si>
    <t>36*36*2</t>
  </si>
  <si>
    <t>36*36*3</t>
  </si>
  <si>
    <t>36*36*4</t>
  </si>
  <si>
    <t>36*36*5</t>
  </si>
  <si>
    <t>36*36*6</t>
  </si>
  <si>
    <t>36*36*7</t>
  </si>
  <si>
    <t>36*36*8</t>
  </si>
  <si>
    <t>36*36*9</t>
  </si>
  <si>
    <t>36*36*10</t>
  </si>
  <si>
    <t>37*37*2</t>
  </si>
  <si>
    <t>37*37*3</t>
  </si>
  <si>
    <t>37*37*4</t>
  </si>
  <si>
    <t>37*37*5</t>
  </si>
  <si>
    <t>37*37*6</t>
  </si>
  <si>
    <t>37*37*7</t>
  </si>
  <si>
    <t>37*37*8</t>
  </si>
  <si>
    <t>37*37*9</t>
  </si>
  <si>
    <t>37*37*10</t>
  </si>
  <si>
    <t>38*38*2</t>
  </si>
  <si>
    <t>38*38*3</t>
  </si>
  <si>
    <t>38*38*4</t>
  </si>
  <si>
    <t>38*38*5</t>
  </si>
  <si>
    <t>38*38*6</t>
  </si>
  <si>
    <t>38*38*7</t>
  </si>
  <si>
    <t>38*38*8</t>
  </si>
  <si>
    <t>38*38*9</t>
  </si>
  <si>
    <t>38*38*10</t>
  </si>
  <si>
    <t>39*39*2</t>
  </si>
  <si>
    <t>39*39*3</t>
  </si>
  <si>
    <t>39*39*4</t>
  </si>
  <si>
    <t>39*39*5</t>
  </si>
  <si>
    <t>39*39*6</t>
  </si>
  <si>
    <t>39*39*7</t>
  </si>
  <si>
    <t>39*39*8</t>
  </si>
  <si>
    <t>39*39*9</t>
  </si>
  <si>
    <t>39*39*10</t>
  </si>
  <si>
    <t>40*40*10</t>
  </si>
  <si>
    <t>国产纸`</t>
  </si>
  <si>
    <t>45*45*10</t>
  </si>
  <si>
    <t>45*45*9</t>
  </si>
  <si>
    <t>40*40*8</t>
  </si>
  <si>
    <t>40*40*7</t>
  </si>
  <si>
    <t>45*45*7</t>
  </si>
  <si>
    <t>40*40*6</t>
  </si>
  <si>
    <t>42*42*6</t>
  </si>
  <si>
    <t>45*45*6</t>
  </si>
  <si>
    <t>40*40*5</t>
  </si>
  <si>
    <t>40*40*4</t>
  </si>
  <si>
    <t>50*50*4</t>
  </si>
  <si>
    <t>46*46*3</t>
  </si>
  <si>
    <t>45*45*3</t>
  </si>
  <si>
    <t>42*42*3</t>
  </si>
  <si>
    <t>40*40*3</t>
  </si>
  <si>
    <t>46*46*8</t>
  </si>
  <si>
    <t>40*40*2</t>
  </si>
  <si>
    <t>42*42*2</t>
  </si>
  <si>
    <t>复制格</t>
  </si>
  <si>
    <t>外尺寸规格</t>
  </si>
  <si>
    <t>.</t>
  </si>
  <si>
    <t>42*42*10</t>
  </si>
  <si>
    <t>50*50*10</t>
  </si>
  <si>
    <t>42*42*8</t>
  </si>
  <si>
    <t>45*45*8</t>
  </si>
  <si>
    <t>46*46*7</t>
  </si>
  <si>
    <t>51*51*7</t>
  </si>
  <si>
    <t>50*50*6</t>
  </si>
  <si>
    <t>5*5*5</t>
  </si>
  <si>
    <t>42*42*5</t>
  </si>
  <si>
    <t>46*46*5</t>
  </si>
  <si>
    <t>43*43*5</t>
  </si>
  <si>
    <t>45*45*5</t>
  </si>
  <si>
    <t>5*5*4</t>
  </si>
  <si>
    <t>43*43*4</t>
  </si>
  <si>
    <t>48*48*4</t>
  </si>
  <si>
    <t>57*57*4</t>
  </si>
  <si>
    <t>48*48*3</t>
  </si>
  <si>
    <t>5*5*3</t>
  </si>
  <si>
    <t>5*5*2</t>
  </si>
  <si>
    <t>45*45*2</t>
  </si>
  <si>
    <t>2026年5月出入库统计表</t>
  </si>
  <si>
    <t>待补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</si>
</sst>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0">
    <font>
      <sz val="11"/>
      <color theme="1"/>
      <name val="等线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rgb="FFFF0000"/>
      <name val="等线"/>
      <charset val="134"/>
      <scheme val="minor"/>
    </font>
    <font>
      <i/>
      <u/>
      <sz val="11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sz val="11"/>
      <color theme="4" tint="-0.249977111117893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17" fontId="1" fillId="2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76" fontId="2" fillId="5" borderId="7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6" borderId="9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7" xfId="0" applyFont="1" applyBorder="1" applyAlignment="1">
      <alignment horizontal="center" vertical="center" wrapText="1"/>
    </xf>
    <xf numFmtId="0" fontId="0" fillId="7" borderId="7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3" fillId="8" borderId="7" xfId="0" applyFont="1" applyFill="1" applyBorder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17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176" fontId="5" fillId="5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9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0" fillId="9" borderId="7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17" fontId="1" fillId="2" borderId="10" xfId="0" applyNumberFormat="1" applyFont="1" applyFill="1" applyBorder="1" applyAlignment="1">
      <alignment horizontal="center" vertical="center" wrapText="1"/>
    </xf>
    <xf numFmtId="17" fontId="1" fillId="2" borderId="11" xfId="0" applyNumberFormat="1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9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0" fillId="7" borderId="7" xfId="0" applyNumberFormat="1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6" borderId="7" xfId="0" applyNumberFormat="1" applyFont="1" applyFill="1" applyBorder="1" applyAlignment="1">
      <alignment horizontal="center" vertical="center"/>
    </xf>
    <xf numFmtId="0" fontId="0" fillId="7" borderId="7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B1136"/>
  <sheetViews>
    <sheetView showGridLines="0" workbookViewId="0">
      <selection activeCell="AL410" sqref="AL410"/>
    </sheetView>
  </sheetViews>
  <sheetFormatPr defaultColWidth="5.87962962962963" defaultRowHeight="22" customHeight="1"/>
  <cols>
    <col min="1" max="1" width="6.08333333333333" style="58" customWidth="1"/>
    <col min="2" max="2" width="12.4166666666667" style="58" customWidth="1"/>
    <col min="3" max="3" width="10.5648148148148" style="58" customWidth="1"/>
    <col min="4" max="4" width="6.63888888888889" style="58" customWidth="1"/>
    <col min="5" max="5" width="10.1574074074074" style="58" customWidth="1"/>
    <col min="6" max="6" width="10.1574074074074" style="65" customWidth="1"/>
    <col min="7" max="7" width="10.1574074074074" style="58" customWidth="1"/>
    <col min="8" max="8" width="10.1759259259259" style="66" customWidth="1"/>
    <col min="9" max="9" width="6.91666666666667" style="58" hidden="1" customWidth="1"/>
    <col min="10" max="13" width="9.08333333333333" style="58" hidden="1" customWidth="1"/>
    <col min="14" max="14" width="0.12037037037037" style="58" hidden="1" customWidth="1"/>
    <col min="15" max="26" width="9.08333333333333" style="58" hidden="1" customWidth="1"/>
    <col min="27" max="27" width="0.388888888888889" style="58" hidden="1" customWidth="1"/>
    <col min="28" max="28" width="9.14814814814815" style="58" hidden="1" customWidth="1"/>
    <col min="29" max="29" width="0.111111111111111" style="58" customWidth="1"/>
    <col min="30" max="31" width="9.08333333333333" style="58" hidden="1" customWidth="1"/>
    <col min="32" max="32" width="6.66666666666667" style="58" hidden="1" customWidth="1"/>
    <col min="33" max="33" width="7.77777777777778" style="58" hidden="1" customWidth="1"/>
    <col min="34" max="34" width="9.08333333333333" style="58" hidden="1" customWidth="1"/>
    <col min="35" max="35" width="0.111111111111111" style="58" customWidth="1"/>
    <col min="36" max="36" width="9.08333333333333" style="58" hidden="1" customWidth="1"/>
    <col min="37" max="54" width="9.08333333333333" style="58" customWidth="1"/>
    <col min="55" max="16339" width="5.87962962962963" style="58" customWidth="1"/>
    <col min="16340" max="16384" width="5.87962962962963" style="58"/>
  </cols>
  <sheetData>
    <row r="1" s="56" customFormat="1" ht="28.5" customHeight="1" spans="1:54">
      <c r="A1" s="67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68"/>
    </row>
    <row r="2" s="57" customFormat="1" ht="22.5" customHeight="1" spans="1:5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9" t="s">
        <v>6</v>
      </c>
      <c r="G2" s="6" t="s">
        <v>7</v>
      </c>
      <c r="H2" s="8" t="s">
        <v>8</v>
      </c>
      <c r="I2" s="9">
        <v>46120</v>
      </c>
      <c r="J2" s="9"/>
      <c r="K2" s="9">
        <v>46121</v>
      </c>
      <c r="L2" s="9"/>
      <c r="M2" s="9">
        <v>46122</v>
      </c>
      <c r="N2" s="9"/>
      <c r="O2" s="9">
        <v>46123</v>
      </c>
      <c r="P2" s="9"/>
      <c r="Q2" s="9">
        <v>46124</v>
      </c>
      <c r="R2" s="9"/>
      <c r="S2" s="9">
        <v>46125</v>
      </c>
      <c r="T2" s="9"/>
      <c r="U2" s="9">
        <v>46126</v>
      </c>
      <c r="V2" s="9"/>
      <c r="W2" s="9">
        <v>46127</v>
      </c>
      <c r="X2" s="9"/>
      <c r="Y2" s="9">
        <v>46128</v>
      </c>
      <c r="Z2" s="9"/>
      <c r="AA2" s="9">
        <v>46129</v>
      </c>
      <c r="AB2" s="9"/>
      <c r="AC2" s="9">
        <v>46130</v>
      </c>
      <c r="AD2" s="9"/>
      <c r="AE2" s="9">
        <v>46131</v>
      </c>
      <c r="AF2" s="9"/>
      <c r="AG2" s="9">
        <v>46132</v>
      </c>
      <c r="AH2" s="9"/>
      <c r="AI2" s="9">
        <v>46133</v>
      </c>
      <c r="AJ2" s="9"/>
      <c r="AK2" s="9">
        <v>46134</v>
      </c>
      <c r="AL2" s="9"/>
      <c r="AM2" s="9">
        <v>46135</v>
      </c>
      <c r="AN2" s="9"/>
      <c r="AO2" s="9">
        <v>46136</v>
      </c>
      <c r="AP2" s="9"/>
      <c r="AQ2" s="9">
        <v>46137</v>
      </c>
      <c r="AR2" s="9"/>
      <c r="AS2" s="9">
        <v>46138</v>
      </c>
      <c r="AT2" s="9"/>
      <c r="AU2" s="9">
        <v>46139</v>
      </c>
      <c r="AV2" s="9"/>
      <c r="AW2" s="9">
        <v>46140</v>
      </c>
      <c r="AX2" s="9"/>
      <c r="AY2" s="9">
        <v>46141</v>
      </c>
      <c r="AZ2" s="9"/>
      <c r="BA2" s="9">
        <v>46142</v>
      </c>
      <c r="BB2" s="9"/>
    </row>
    <row r="3" s="58" customFormat="1" ht="22.5" customHeight="1" spans="1:54">
      <c r="A3" s="11"/>
      <c r="B3" s="11"/>
      <c r="C3" s="11"/>
      <c r="D3" s="11"/>
      <c r="E3" s="11"/>
      <c r="F3" s="70"/>
      <c r="G3" s="11"/>
      <c r="H3" s="13"/>
      <c r="I3" s="14" t="s">
        <v>9</v>
      </c>
      <c r="J3" s="14" t="s">
        <v>10</v>
      </c>
      <c r="K3" s="14" t="s">
        <v>9</v>
      </c>
      <c r="L3" s="14" t="s">
        <v>10</v>
      </c>
      <c r="M3" s="14" t="s">
        <v>9</v>
      </c>
      <c r="N3" s="14" t="s">
        <v>10</v>
      </c>
      <c r="O3" s="14" t="s">
        <v>9</v>
      </c>
      <c r="P3" s="14" t="s">
        <v>10</v>
      </c>
      <c r="Q3" s="14" t="s">
        <v>9</v>
      </c>
      <c r="R3" s="14" t="s">
        <v>10</v>
      </c>
      <c r="S3" s="14" t="s">
        <v>9</v>
      </c>
      <c r="T3" s="14" t="s">
        <v>10</v>
      </c>
      <c r="U3" s="14" t="s">
        <v>9</v>
      </c>
      <c r="V3" s="14" t="s">
        <v>10</v>
      </c>
      <c r="W3" s="14" t="s">
        <v>9</v>
      </c>
      <c r="X3" s="14" t="s">
        <v>10</v>
      </c>
      <c r="Y3" s="14" t="s">
        <v>9</v>
      </c>
      <c r="Z3" s="14" t="s">
        <v>10</v>
      </c>
      <c r="AA3" s="14" t="s">
        <v>9</v>
      </c>
      <c r="AB3" s="14" t="s">
        <v>10</v>
      </c>
      <c r="AC3" s="14" t="s">
        <v>9</v>
      </c>
      <c r="AD3" s="14" t="s">
        <v>10</v>
      </c>
      <c r="AE3" s="14" t="s">
        <v>9</v>
      </c>
      <c r="AF3" s="14" t="s">
        <v>10</v>
      </c>
      <c r="AG3" s="14" t="s">
        <v>9</v>
      </c>
      <c r="AH3" s="14" t="s">
        <v>10</v>
      </c>
      <c r="AI3" s="14" t="s">
        <v>9</v>
      </c>
      <c r="AJ3" s="14" t="s">
        <v>10</v>
      </c>
      <c r="AK3" s="14" t="s">
        <v>9</v>
      </c>
      <c r="AL3" s="14" t="s">
        <v>10</v>
      </c>
      <c r="AM3" s="14" t="s">
        <v>9</v>
      </c>
      <c r="AN3" s="14" t="s">
        <v>10</v>
      </c>
      <c r="AO3" s="14" t="s">
        <v>9</v>
      </c>
      <c r="AP3" s="14" t="s">
        <v>10</v>
      </c>
      <c r="AQ3" s="14" t="s">
        <v>9</v>
      </c>
      <c r="AR3" s="14" t="s">
        <v>10</v>
      </c>
      <c r="AS3" s="14" t="s">
        <v>9</v>
      </c>
      <c r="AT3" s="14" t="s">
        <v>10</v>
      </c>
      <c r="AU3" s="14" t="s">
        <v>9</v>
      </c>
      <c r="AV3" s="14" t="s">
        <v>10</v>
      </c>
      <c r="AW3" s="14" t="s">
        <v>9</v>
      </c>
      <c r="AX3" s="14" t="s">
        <v>10</v>
      </c>
      <c r="AY3" s="14" t="s">
        <v>9</v>
      </c>
      <c r="AZ3" s="14" t="s">
        <v>10</v>
      </c>
      <c r="BA3" s="14" t="s">
        <v>9</v>
      </c>
      <c r="BB3" s="14" t="s">
        <v>10</v>
      </c>
    </row>
    <row r="4" s="59" customFormat="1" ht="12" customHeight="1" spans="1:54">
      <c r="A4" s="11"/>
      <c r="B4" s="15"/>
      <c r="C4" s="15"/>
      <c r="D4" s="15"/>
      <c r="E4" s="15"/>
      <c r="F4" s="71"/>
      <c r="G4" s="15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</row>
    <row r="5" hidden="1" customHeight="1" spans="1:54">
      <c r="A5" s="72">
        <f>ROW()-4</f>
        <v>1</v>
      </c>
      <c r="B5" s="24" t="s">
        <v>11</v>
      </c>
      <c r="C5" s="73" t="s">
        <v>12</v>
      </c>
      <c r="D5" s="24"/>
      <c r="E5" s="24">
        <v>0</v>
      </c>
      <c r="F5" s="74">
        <f>SUMIF(I3:$BB$3,"入库",I5:$BB5)</f>
        <v>5300</v>
      </c>
      <c r="G5" s="24">
        <f>SUMIF(J3:$BB$3,"出库",J5:$BB5)</f>
        <v>0</v>
      </c>
      <c r="H5" s="27">
        <f>E5+F5-G5</f>
        <v>5300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>
        <v>5300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</row>
    <row r="6" hidden="1" customHeight="1" spans="1:54">
      <c r="A6" s="18"/>
      <c r="B6" s="24"/>
      <c r="C6" s="25" t="s">
        <v>13</v>
      </c>
      <c r="D6" s="24"/>
      <c r="E6" s="24">
        <v>0</v>
      </c>
      <c r="F6" s="74">
        <f ca="1">SUMIF(I$3:$BB5,"入库",I6:$BB6)</f>
        <v>50</v>
      </c>
      <c r="G6" s="24">
        <f ca="1">SUMIF(J$3:$BB5,"出库",J6:$BB6)</f>
        <v>0</v>
      </c>
      <c r="H6" s="27">
        <f ca="1">E6+F6-G6</f>
        <v>50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>
        <v>50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</row>
    <row r="7" hidden="1" customHeight="1" spans="1:54">
      <c r="A7" s="19"/>
      <c r="B7" s="24"/>
      <c r="C7" s="24" t="s">
        <v>14</v>
      </c>
      <c r="D7" s="24"/>
      <c r="E7" s="24">
        <v>0</v>
      </c>
      <c r="F7" s="74">
        <f ca="1">SUMIF(I$3:$BB6,"入库",I7:$BB7)</f>
        <v>200</v>
      </c>
      <c r="G7" s="24">
        <f ca="1">SUMIF(J$3:$BB6,"出库",J7:$BB7)</f>
        <v>100</v>
      </c>
      <c r="H7" s="27">
        <f ca="1">E7+F7-G7</f>
        <v>100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>
        <v>200</v>
      </c>
      <c r="X7" s="24"/>
      <c r="Y7" s="24"/>
      <c r="Z7" s="24"/>
      <c r="AA7" s="24"/>
      <c r="AB7" s="24">
        <v>100</v>
      </c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</row>
    <row r="8" hidden="1" customHeight="1" spans="1:54">
      <c r="A8" s="72">
        <v>2</v>
      </c>
      <c r="B8" s="24" t="s">
        <v>15</v>
      </c>
      <c r="C8" s="73" t="s">
        <v>12</v>
      </c>
      <c r="D8" s="24"/>
      <c r="E8" s="24">
        <v>0</v>
      </c>
      <c r="F8" s="74">
        <f ca="1">SUMIF(I$3:$BB7,"入库",I8:$BB8)</f>
        <v>20</v>
      </c>
      <c r="G8" s="24">
        <f ca="1">SUMIF(J$3:$BB7,"出库",J8:$BB8)</f>
        <v>0</v>
      </c>
      <c r="H8" s="27">
        <f ca="1" t="shared" ref="H8:H39" si="0">E8+F8-G8</f>
        <v>20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>
        <v>20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</row>
    <row r="9" hidden="1" customHeight="1" spans="1:54">
      <c r="A9" s="18"/>
      <c r="B9" s="24"/>
      <c r="C9" s="25" t="s">
        <v>13</v>
      </c>
      <c r="D9" s="24"/>
      <c r="E9" s="24">
        <v>0</v>
      </c>
      <c r="F9" s="74">
        <f ca="1">SUMIF(I$3:$BB8,"入库",I9:$BB9)</f>
        <v>300</v>
      </c>
      <c r="G9" s="24">
        <f ca="1">SUMIF(J$3:$BB8,"出库",J9:$BB9)</f>
        <v>0</v>
      </c>
      <c r="H9" s="27">
        <f ca="1" t="shared" si="0"/>
        <v>300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>
        <v>300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</row>
    <row r="10" hidden="1" customHeight="1" spans="1:54">
      <c r="A10" s="19"/>
      <c r="B10" s="24"/>
      <c r="C10" s="24" t="s">
        <v>14</v>
      </c>
      <c r="D10" s="24"/>
      <c r="E10" s="24">
        <v>0</v>
      </c>
      <c r="F10" s="74">
        <f ca="1">SUMIF(I$3:$BB9,"入库",I10:$BB10)</f>
        <v>0</v>
      </c>
      <c r="G10" s="24">
        <f ca="1">SUMIF(J$3:$BB9,"出库",J10:$BB10)</f>
        <v>0</v>
      </c>
      <c r="H10" s="27">
        <f ca="1" t="shared" si="0"/>
        <v>0</v>
      </c>
      <c r="I10" s="24"/>
      <c r="J10" s="24"/>
      <c r="K10" s="24"/>
      <c r="L10" s="24"/>
      <c r="M10" s="24"/>
      <c r="N10" s="24"/>
      <c r="O10" s="75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</row>
    <row r="11" ht="39" hidden="1" customHeight="1" spans="1:54">
      <c r="A11" s="72">
        <v>3</v>
      </c>
      <c r="B11" s="24" t="s">
        <v>16</v>
      </c>
      <c r="C11" s="73" t="s">
        <v>12</v>
      </c>
      <c r="D11" s="24"/>
      <c r="E11" s="24">
        <v>0</v>
      </c>
      <c r="F11" s="74">
        <f ca="1">SUMIF(I$3:$BB10,"入库",I11:$BB11)</f>
        <v>3600</v>
      </c>
      <c r="G11" s="24">
        <f ca="1">SUMIF(J$3:$BB10,"出库",J11:$BB11)</f>
        <v>75</v>
      </c>
      <c r="H11" s="27">
        <f ca="1" t="shared" si="0"/>
        <v>3525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>
        <v>3600</v>
      </c>
      <c r="V11" s="24">
        <v>75</v>
      </c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</row>
    <row r="12" ht="22.5" hidden="1" customHeight="1" spans="1:54">
      <c r="A12" s="18"/>
      <c r="B12" s="24"/>
      <c r="C12" s="25" t="s">
        <v>13</v>
      </c>
      <c r="D12" s="24"/>
      <c r="E12" s="24">
        <v>0</v>
      </c>
      <c r="F12" s="74">
        <f ca="1">SUMIF(I$3:$BB11,"入库",I12:$BB12)</f>
        <v>0</v>
      </c>
      <c r="G12" s="24">
        <f ca="1">SUMIF(J$3:$BB11,"出库",J12:$BB12)</f>
        <v>0</v>
      </c>
      <c r="H12" s="27">
        <f ca="1" t="shared" si="0"/>
        <v>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</row>
    <row r="13" ht="39" hidden="1" customHeight="1" spans="1:54">
      <c r="A13" s="19"/>
      <c r="B13" s="24"/>
      <c r="C13" s="24" t="s">
        <v>14</v>
      </c>
      <c r="D13" s="24"/>
      <c r="E13" s="24">
        <v>0</v>
      </c>
      <c r="F13" s="74">
        <f ca="1">SUMIF(I$3:$BB12,"入库",I13:$BB13)</f>
        <v>1100</v>
      </c>
      <c r="G13" s="24">
        <f ca="1">SUMIF(J$3:$BB12,"出库",J13:$BB13)</f>
        <v>0</v>
      </c>
      <c r="H13" s="27">
        <f ca="1" t="shared" si="0"/>
        <v>1100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>
        <v>1100</v>
      </c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</row>
    <row r="14" s="58" customFormat="1" ht="39" hidden="1" customHeight="1" spans="1:54">
      <c r="A14" s="72">
        <v>4</v>
      </c>
      <c r="B14" s="24" t="s">
        <v>17</v>
      </c>
      <c r="C14" s="73" t="s">
        <v>12</v>
      </c>
      <c r="D14" s="24"/>
      <c r="E14" s="24">
        <v>0</v>
      </c>
      <c r="F14" s="74">
        <f ca="1">SUMIF(I$3:$BB13,"入库",I14:$BB14)</f>
        <v>2800</v>
      </c>
      <c r="G14" s="24">
        <f ca="1">SUMIF(J$3:$BB13,"出库",J14:$BB14)</f>
        <v>0</v>
      </c>
      <c r="H14" s="27">
        <f ca="1" t="shared" si="0"/>
        <v>2800</v>
      </c>
      <c r="I14" s="24"/>
      <c r="J14" s="24"/>
      <c r="K14" s="24"/>
      <c r="L14" s="24"/>
      <c r="M14" s="24">
        <v>2800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</row>
    <row r="15" s="58" customFormat="1" ht="22.5" hidden="1" customHeight="1" spans="1:54">
      <c r="A15" s="18"/>
      <c r="B15" s="24"/>
      <c r="C15" s="25" t="s">
        <v>13</v>
      </c>
      <c r="D15" s="24"/>
      <c r="E15" s="24">
        <v>0</v>
      </c>
      <c r="F15" s="74">
        <f ca="1">SUMIF(I$3:$BB14,"入库",I15:$BB15)</f>
        <v>0</v>
      </c>
      <c r="G15" s="24">
        <f ca="1">SUMIF(J$3:$BB14,"出库",J15:$BB15)</f>
        <v>0</v>
      </c>
      <c r="H15" s="27">
        <f ca="1" t="shared" si="0"/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</row>
    <row r="16" s="58" customFormat="1" ht="22.5" hidden="1" customHeight="1" spans="1:54">
      <c r="A16" s="19"/>
      <c r="B16" s="24"/>
      <c r="C16" s="24" t="s">
        <v>14</v>
      </c>
      <c r="D16" s="24"/>
      <c r="E16" s="24">
        <v>0</v>
      </c>
      <c r="F16" s="74">
        <f ca="1">SUMIF(I$3:$BB15,"入库",I16:$BB16)</f>
        <v>20</v>
      </c>
      <c r="G16" s="24">
        <f ca="1">SUMIF(J$3:$BB15,"出库",J16:$BB16)</f>
        <v>0</v>
      </c>
      <c r="H16" s="27">
        <f ca="1" t="shared" si="0"/>
        <v>20</v>
      </c>
      <c r="I16" s="24"/>
      <c r="J16" s="24"/>
      <c r="K16" s="24"/>
      <c r="L16" s="24"/>
      <c r="M16" s="24">
        <v>20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</row>
    <row r="17" s="58" customFormat="1" ht="39" hidden="1" customHeight="1" spans="1:54">
      <c r="A17" s="72">
        <v>5</v>
      </c>
      <c r="B17" s="24" t="s">
        <v>18</v>
      </c>
      <c r="C17" s="73" t="s">
        <v>12</v>
      </c>
      <c r="D17" s="24"/>
      <c r="E17" s="24">
        <v>0</v>
      </c>
      <c r="F17" s="74">
        <f ca="1">SUMIF(I$3:$BB16,"入库",I17:$BB17)</f>
        <v>7550</v>
      </c>
      <c r="G17" s="24">
        <f ca="1">SUMIF(J$3:$BB16,"出库",J17:$BB17)</f>
        <v>580</v>
      </c>
      <c r="H17" s="27">
        <f ca="1" t="shared" si="0"/>
        <v>6970</v>
      </c>
      <c r="I17" s="24"/>
      <c r="J17" s="24"/>
      <c r="K17" s="24"/>
      <c r="L17" s="24"/>
      <c r="M17" s="24">
        <v>7550</v>
      </c>
      <c r="N17" s="24"/>
      <c r="O17" s="24"/>
      <c r="P17" s="24"/>
      <c r="Q17" s="24"/>
      <c r="R17" s="24"/>
      <c r="S17" s="24"/>
      <c r="T17" s="24"/>
      <c r="U17" s="24"/>
      <c r="V17" s="24">
        <v>80</v>
      </c>
      <c r="W17" s="24"/>
      <c r="X17" s="24"/>
      <c r="Y17" s="24"/>
      <c r="Z17" s="24"/>
      <c r="AA17" s="24"/>
      <c r="AB17" s="24"/>
      <c r="AC17" s="24"/>
      <c r="AD17" s="24">
        <v>500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</row>
    <row r="18" s="58" customFormat="1" ht="22.5" hidden="1" customHeight="1" spans="1:54">
      <c r="A18" s="18"/>
      <c r="B18" s="24"/>
      <c r="C18" s="25" t="s">
        <v>13</v>
      </c>
      <c r="D18" s="24"/>
      <c r="E18" s="24">
        <v>0</v>
      </c>
      <c r="F18" s="74">
        <f ca="1">SUMIF(I$3:$BB17,"入库",I18:$BB18)</f>
        <v>0</v>
      </c>
      <c r="G18" s="24">
        <f ca="1">SUMIF(J$3:$BB17,"出库",J18:$BB18)</f>
        <v>0</v>
      </c>
      <c r="H18" s="27">
        <f ca="1" t="shared" si="0"/>
        <v>0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</row>
    <row r="19" s="58" customFormat="1" ht="22.5" hidden="1" customHeight="1" spans="1:54">
      <c r="A19" s="19"/>
      <c r="B19" s="24"/>
      <c r="C19" s="24" t="s">
        <v>14</v>
      </c>
      <c r="D19" s="24"/>
      <c r="E19" s="24">
        <v>0</v>
      </c>
      <c r="F19" s="74">
        <f ca="1">SUMIF(I$3:$BB18,"入库",I19:$BB19)</f>
        <v>100</v>
      </c>
      <c r="G19" s="24">
        <f ca="1">SUMIF(J$3:$BB18,"出库",J19:$BB19)</f>
        <v>0</v>
      </c>
      <c r="H19" s="27">
        <f ca="1" t="shared" si="0"/>
        <v>100</v>
      </c>
      <c r="I19" s="24"/>
      <c r="J19" s="24"/>
      <c r="K19" s="24"/>
      <c r="L19" s="24"/>
      <c r="M19" s="24">
        <v>100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</row>
    <row r="20" s="58" customFormat="1" ht="22.5" hidden="1" customHeight="1" spans="1:54">
      <c r="A20" s="72">
        <v>6</v>
      </c>
      <c r="B20" s="24" t="s">
        <v>19</v>
      </c>
      <c r="C20" s="73" t="s">
        <v>12</v>
      </c>
      <c r="D20" s="24"/>
      <c r="E20" s="24">
        <v>0</v>
      </c>
      <c r="F20" s="74">
        <f ca="1">SUMIF(I$3:$BB19,"入库",I20:$BB20)</f>
        <v>0</v>
      </c>
      <c r="G20" s="24">
        <f ca="1">SUMIF(J$3:$BB19,"出库",J20:$BB20)</f>
        <v>0</v>
      </c>
      <c r="H20" s="27">
        <f ca="1" t="shared" si="0"/>
        <v>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</row>
    <row r="21" s="58" customFormat="1" ht="22.5" hidden="1" customHeight="1" spans="1:54">
      <c r="A21" s="18"/>
      <c r="B21" s="24"/>
      <c r="C21" s="25" t="s">
        <v>13</v>
      </c>
      <c r="D21" s="24"/>
      <c r="E21" s="24">
        <v>0</v>
      </c>
      <c r="F21" s="74">
        <f ca="1">SUMIF(I$3:$BB20,"入库",I21:$BB21)</f>
        <v>0</v>
      </c>
      <c r="G21" s="24">
        <f ca="1">SUMIF(J$3:$BB20,"出库",J21:$BB21)</f>
        <v>0</v>
      </c>
      <c r="H21" s="27">
        <f ca="1" t="shared" si="0"/>
        <v>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</row>
    <row r="22" s="58" customFormat="1" ht="22.5" hidden="1" customHeight="1" spans="1:54">
      <c r="A22" s="19"/>
      <c r="B22" s="24"/>
      <c r="C22" s="24" t="s">
        <v>14</v>
      </c>
      <c r="D22" s="24"/>
      <c r="E22" s="24">
        <v>0</v>
      </c>
      <c r="F22" s="74">
        <f ca="1">SUMIF(I$3:$BB21,"入库",I22:$BB22)</f>
        <v>0</v>
      </c>
      <c r="G22" s="24">
        <f ca="1">SUMIF(J$3:$BB21,"出库",J22:$BB22)</f>
        <v>0</v>
      </c>
      <c r="H22" s="27">
        <f ca="1" t="shared" si="0"/>
        <v>0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</row>
    <row r="23" s="58" customFormat="1" ht="22.5" hidden="1" customHeight="1" spans="1:54">
      <c r="A23" s="72">
        <v>7</v>
      </c>
      <c r="B23" s="24" t="s">
        <v>20</v>
      </c>
      <c r="C23" s="73" t="s">
        <v>12</v>
      </c>
      <c r="D23" s="24"/>
      <c r="E23" s="24">
        <v>0</v>
      </c>
      <c r="F23" s="74">
        <f ca="1">SUMIF(I$3:$BB22,"入库",I23:$BB23)</f>
        <v>500</v>
      </c>
      <c r="G23" s="24">
        <f ca="1">SUMIF(J$3:$BB22,"出库",J23:$BB23)</f>
        <v>0</v>
      </c>
      <c r="H23" s="27">
        <f ca="1" t="shared" si="0"/>
        <v>500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>
        <v>500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</row>
    <row r="24" s="58" customFormat="1" ht="22.5" hidden="1" customHeight="1" spans="1:54">
      <c r="A24" s="18"/>
      <c r="B24" s="24"/>
      <c r="C24" s="25" t="s">
        <v>13</v>
      </c>
      <c r="D24" s="24"/>
      <c r="E24" s="24">
        <v>0</v>
      </c>
      <c r="F24" s="74">
        <f ca="1">SUMIF(I$3:$BB23,"入库",I24:$BB24)</f>
        <v>500</v>
      </c>
      <c r="G24" s="24">
        <f ca="1">SUMIF(J$3:$BB23,"出库",J24:$BB24)</f>
        <v>0</v>
      </c>
      <c r="H24" s="27">
        <f ca="1" t="shared" si="0"/>
        <v>500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>
        <v>500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</row>
    <row r="25" s="58" customFormat="1" ht="22.5" hidden="1" customHeight="1" spans="1:54">
      <c r="A25" s="19"/>
      <c r="B25" s="24"/>
      <c r="C25" s="24" t="s">
        <v>14</v>
      </c>
      <c r="D25" s="24"/>
      <c r="E25" s="24">
        <v>0</v>
      </c>
      <c r="F25" s="74">
        <f ca="1">SUMIF(I$3:$BB24,"入库",I25:$BB25)</f>
        <v>350</v>
      </c>
      <c r="G25" s="24">
        <f ca="1">SUMIF(J$3:$BB24,"出库",J25:$BB25)</f>
        <v>0</v>
      </c>
      <c r="H25" s="27">
        <f ca="1" t="shared" si="0"/>
        <v>350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>
        <v>350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</row>
    <row r="26" s="58" customFormat="1" ht="39" hidden="1" customHeight="1" spans="1:54">
      <c r="A26" s="72">
        <v>8</v>
      </c>
      <c r="B26" s="24" t="s">
        <v>21</v>
      </c>
      <c r="C26" s="73" t="s">
        <v>12</v>
      </c>
      <c r="D26" s="24"/>
      <c r="E26" s="24">
        <v>0</v>
      </c>
      <c r="F26" s="74">
        <f ca="1">SUMIF(I$3:$BB25,"入库",I26:$BB26)</f>
        <v>6000</v>
      </c>
      <c r="G26" s="24">
        <f ca="1">SUMIF(J$3:$BB25,"出库",J26:$BB26)</f>
        <v>0</v>
      </c>
      <c r="H26" s="27">
        <f ca="1" t="shared" si="0"/>
        <v>6000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>
        <v>6000</v>
      </c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</row>
    <row r="27" s="58" customFormat="1" ht="22.5" hidden="1" customHeight="1" spans="1:54">
      <c r="A27" s="18"/>
      <c r="B27" s="24"/>
      <c r="C27" s="25" t="s">
        <v>13</v>
      </c>
      <c r="D27" s="24"/>
      <c r="E27" s="24">
        <v>0</v>
      </c>
      <c r="F27" s="74">
        <f ca="1">SUMIF(I$3:$BB26,"入库",I27:$BB27)</f>
        <v>0</v>
      </c>
      <c r="G27" s="24">
        <f ca="1">SUMIF(J$3:$BB26,"出库",J27:$BB27)</f>
        <v>0</v>
      </c>
      <c r="H27" s="27">
        <f ca="1" t="shared" si="0"/>
        <v>0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</row>
    <row r="28" s="58" customFormat="1" ht="22.5" hidden="1" customHeight="1" spans="1:54">
      <c r="A28" s="19"/>
      <c r="B28" s="24"/>
      <c r="C28" s="24" t="s">
        <v>14</v>
      </c>
      <c r="D28" s="24"/>
      <c r="E28" s="24">
        <v>0</v>
      </c>
      <c r="F28" s="74">
        <f ca="1">SUMIF(I$3:$BB27,"入库",I28:$BB28)</f>
        <v>50</v>
      </c>
      <c r="G28" s="24">
        <f ca="1">SUMIF(J$3:$BB27,"出库",J28:$BB28)</f>
        <v>0</v>
      </c>
      <c r="H28" s="27">
        <f ca="1" t="shared" si="0"/>
        <v>50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>
        <v>50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</row>
    <row r="29" s="58" customFormat="1" ht="22.5" hidden="1" customHeight="1" spans="1:54">
      <c r="A29" s="72">
        <v>9</v>
      </c>
      <c r="B29" s="24" t="s">
        <v>22</v>
      </c>
      <c r="C29" s="73" t="s">
        <v>12</v>
      </c>
      <c r="D29" s="24"/>
      <c r="E29" s="24">
        <v>0</v>
      </c>
      <c r="F29" s="74">
        <f ca="1">SUMIF(I$3:$BB28,"入库",I29:$BB29)</f>
        <v>0</v>
      </c>
      <c r="G29" s="24">
        <f ca="1">SUMIF(J$3:$BB28,"出库",J29:$BB29)</f>
        <v>0</v>
      </c>
      <c r="H29" s="27">
        <f ca="1" t="shared" si="0"/>
        <v>0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</row>
    <row r="30" s="58" customFormat="1" ht="22.5" hidden="1" customHeight="1" spans="1:54">
      <c r="A30" s="18"/>
      <c r="B30" s="24"/>
      <c r="C30" s="25" t="s">
        <v>13</v>
      </c>
      <c r="D30" s="24"/>
      <c r="E30" s="24">
        <v>0</v>
      </c>
      <c r="F30" s="74">
        <f ca="1">SUMIF(I$3:$BB29,"入库",I30:$BB30)</f>
        <v>0</v>
      </c>
      <c r="G30" s="24">
        <f ca="1">SUMIF(J$3:$BB29,"出库",J30:$BB30)</f>
        <v>0</v>
      </c>
      <c r="H30" s="27">
        <f ca="1" t="shared" si="0"/>
        <v>0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</row>
    <row r="31" s="58" customFormat="1" ht="22.5" hidden="1" customHeight="1" spans="1:54">
      <c r="A31" s="19"/>
      <c r="B31" s="24"/>
      <c r="C31" s="24" t="s">
        <v>14</v>
      </c>
      <c r="D31" s="24"/>
      <c r="E31" s="24">
        <v>0</v>
      </c>
      <c r="F31" s="74">
        <f ca="1">SUMIF(I$3:$BB30,"入库",I31:$BB31)</f>
        <v>0</v>
      </c>
      <c r="G31" s="24">
        <f ca="1">SUMIF(J$3:$BB30,"出库",J31:$BB31)</f>
        <v>0</v>
      </c>
      <c r="H31" s="27">
        <f ca="1" t="shared" si="0"/>
        <v>0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</row>
    <row r="32" s="58" customFormat="1" ht="39" hidden="1" customHeight="1" spans="1:54">
      <c r="A32" s="72">
        <v>10</v>
      </c>
      <c r="B32" s="24" t="s">
        <v>23</v>
      </c>
      <c r="C32" s="73" t="s">
        <v>12</v>
      </c>
      <c r="D32" s="24"/>
      <c r="E32" s="24">
        <v>0</v>
      </c>
      <c r="F32" s="74">
        <f ca="1">SUMIF(I$3:$BB31,"入库",I32:$BB32)</f>
        <v>1000</v>
      </c>
      <c r="G32" s="24">
        <f ca="1">SUMIF(J$3:$BB31,"出库",J32:$BB32)</f>
        <v>0</v>
      </c>
      <c r="H32" s="27">
        <f ca="1" t="shared" ref="H32:H95" si="1">E32+F32-G32</f>
        <v>1000</v>
      </c>
      <c r="I32" s="24"/>
      <c r="J32" s="24"/>
      <c r="K32" s="24"/>
      <c r="L32" s="24"/>
      <c r="M32" s="24">
        <v>1000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</row>
    <row r="33" s="58" customFormat="1" ht="22.5" hidden="1" customHeight="1" spans="1:54">
      <c r="A33" s="18"/>
      <c r="B33" s="24"/>
      <c r="C33" s="25" t="s">
        <v>13</v>
      </c>
      <c r="D33" s="24"/>
      <c r="E33" s="24">
        <v>0</v>
      </c>
      <c r="F33" s="74">
        <f ca="1">SUMIF(I$3:$BB32,"入库",I33:$BB33)</f>
        <v>0</v>
      </c>
      <c r="G33" s="24">
        <f ca="1">SUMIF(J$3:$BB32,"出库",J33:$BB33)</f>
        <v>0</v>
      </c>
      <c r="H33" s="27">
        <f ca="1" t="shared" si="1"/>
        <v>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</row>
    <row r="34" s="58" customFormat="1" ht="22.5" hidden="1" customHeight="1" spans="1:54">
      <c r="A34" s="19"/>
      <c r="B34" s="24"/>
      <c r="C34" s="24" t="s">
        <v>14</v>
      </c>
      <c r="D34" s="24"/>
      <c r="E34" s="24">
        <v>0</v>
      </c>
      <c r="F34" s="74">
        <f ca="1">SUMIF(I$3:$BB33,"入库",I34:$BB34)</f>
        <v>0</v>
      </c>
      <c r="G34" s="24">
        <f ca="1">SUMIF(J$3:$BB33,"出库",J34:$BB34)</f>
        <v>0</v>
      </c>
      <c r="H34" s="27">
        <f ca="1" t="shared" si="1"/>
        <v>0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</row>
    <row r="35" s="58" customFormat="1" ht="22.5" hidden="1" customHeight="1" spans="1:54">
      <c r="A35" s="72">
        <v>11</v>
      </c>
      <c r="B35" s="24" t="s">
        <v>24</v>
      </c>
      <c r="C35" s="73" t="s">
        <v>12</v>
      </c>
      <c r="D35" s="24"/>
      <c r="E35" s="24">
        <v>0</v>
      </c>
      <c r="F35" s="74">
        <f ca="1">SUMIF(I$3:$BB34,"入库",I35:$BB35)</f>
        <v>0</v>
      </c>
      <c r="G35" s="24">
        <f ca="1">SUMIF(J$3:$BB34,"出库",J35:$BB35)</f>
        <v>0</v>
      </c>
      <c r="H35" s="27">
        <f ca="1" t="shared" si="1"/>
        <v>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</row>
    <row r="36" s="58" customFormat="1" ht="22.5" hidden="1" customHeight="1" spans="1:54">
      <c r="A36" s="18"/>
      <c r="B36" s="24"/>
      <c r="C36" s="25" t="s">
        <v>13</v>
      </c>
      <c r="D36" s="24"/>
      <c r="E36" s="24">
        <v>0</v>
      </c>
      <c r="F36" s="74">
        <f ca="1">SUMIF(I$3:$BB35,"入库",I36:$BB36)</f>
        <v>0</v>
      </c>
      <c r="G36" s="24">
        <f ca="1">SUMIF(J$3:$BB35,"出库",J36:$BB36)</f>
        <v>0</v>
      </c>
      <c r="H36" s="27">
        <f ca="1" t="shared" si="1"/>
        <v>0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</row>
    <row r="37" s="58" customFormat="1" ht="22.5" hidden="1" customHeight="1" spans="1:54">
      <c r="A37" s="19"/>
      <c r="B37" s="24"/>
      <c r="C37" s="24" t="s">
        <v>14</v>
      </c>
      <c r="D37" s="24"/>
      <c r="E37" s="24">
        <v>0</v>
      </c>
      <c r="F37" s="74">
        <f ca="1">SUMIF(I$3:$BB36,"入库",I37:$BB37)</f>
        <v>100</v>
      </c>
      <c r="G37" s="24">
        <f ca="1">SUMIF(J$3:$BB36,"出库",J37:$BB37)</f>
        <v>0</v>
      </c>
      <c r="H37" s="27">
        <f ca="1" t="shared" si="1"/>
        <v>100</v>
      </c>
      <c r="I37" s="24"/>
      <c r="J37" s="24"/>
      <c r="K37" s="24"/>
      <c r="L37" s="24"/>
      <c r="M37" s="24">
        <v>100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</row>
    <row r="38" s="58" customFormat="1" ht="22.5" hidden="1" customHeight="1" spans="1:54">
      <c r="A38" s="72">
        <v>12</v>
      </c>
      <c r="B38" s="24" t="s">
        <v>25</v>
      </c>
      <c r="C38" s="73" t="s">
        <v>12</v>
      </c>
      <c r="D38" s="24"/>
      <c r="E38" s="24">
        <v>0</v>
      </c>
      <c r="F38" s="74">
        <f ca="1">SUMIF(I$3:$BB37,"入库",I38:$BB38)</f>
        <v>0</v>
      </c>
      <c r="G38" s="24">
        <f ca="1">SUMIF(J$3:$BB37,"出库",J38:$BB38)</f>
        <v>0</v>
      </c>
      <c r="H38" s="27">
        <f ca="1" t="shared" si="1"/>
        <v>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</row>
    <row r="39" s="58" customFormat="1" ht="22.5" hidden="1" customHeight="1" spans="1:54">
      <c r="A39" s="18"/>
      <c r="B39" s="24"/>
      <c r="C39" s="25" t="s">
        <v>13</v>
      </c>
      <c r="D39" s="24"/>
      <c r="E39" s="24">
        <v>0</v>
      </c>
      <c r="F39" s="74">
        <f ca="1">SUMIF(I$3:$BB38,"入库",I39:$BB39)</f>
        <v>0</v>
      </c>
      <c r="G39" s="24">
        <f ca="1">SUMIF(J$3:$BB38,"出库",J39:$BB39)</f>
        <v>0</v>
      </c>
      <c r="H39" s="27">
        <f ca="1" t="shared" si="1"/>
        <v>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</row>
    <row r="40" s="58" customFormat="1" ht="22.5" hidden="1" customHeight="1" spans="1:54">
      <c r="A40" s="19"/>
      <c r="B40" s="24"/>
      <c r="C40" s="24" t="s">
        <v>14</v>
      </c>
      <c r="D40" s="24"/>
      <c r="E40" s="24">
        <v>0</v>
      </c>
      <c r="F40" s="74">
        <f ca="1">SUMIF(I$3:$BB39,"入库",I40:$BB40)</f>
        <v>80</v>
      </c>
      <c r="G40" s="24">
        <f ca="1">SUMIF(J$3:$BB39,"出库",J40:$BB40)</f>
        <v>0</v>
      </c>
      <c r="H40" s="27">
        <f ca="1" t="shared" si="1"/>
        <v>80</v>
      </c>
      <c r="I40" s="24"/>
      <c r="J40" s="24"/>
      <c r="K40" s="24">
        <v>80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</row>
    <row r="41" s="58" customFormat="1" ht="22.5" hidden="1" customHeight="1" spans="1:54">
      <c r="A41" s="72">
        <v>13</v>
      </c>
      <c r="B41" s="24" t="s">
        <v>26</v>
      </c>
      <c r="C41" s="73" t="s">
        <v>12</v>
      </c>
      <c r="D41" s="24"/>
      <c r="E41" s="24">
        <v>0</v>
      </c>
      <c r="F41" s="74">
        <f ca="1">SUMIF(I$3:$BB40,"入库",I41:$BB41)</f>
        <v>1800</v>
      </c>
      <c r="G41" s="24">
        <f ca="1">SUMIF(J$3:$BB40,"出库",J41:$BB41)</f>
        <v>500</v>
      </c>
      <c r="H41" s="27">
        <f ca="1" t="shared" si="1"/>
        <v>1300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>
        <v>1800</v>
      </c>
      <c r="X41" s="24"/>
      <c r="Y41" s="24"/>
      <c r="Z41" s="24"/>
      <c r="AA41" s="24"/>
      <c r="AB41" s="24">
        <v>500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</row>
    <row r="42" s="58" customFormat="1" ht="22.5" hidden="1" customHeight="1" spans="1:54">
      <c r="A42" s="18"/>
      <c r="B42" s="24"/>
      <c r="C42" s="25" t="s">
        <v>13</v>
      </c>
      <c r="D42" s="24"/>
      <c r="E42" s="24">
        <v>0</v>
      </c>
      <c r="F42" s="74">
        <f ca="1">SUMIF(I$3:$BB41,"入库",I42:$BB42)</f>
        <v>1100</v>
      </c>
      <c r="G42" s="24">
        <f ca="1">SUMIF(J$3:$BB41,"出库",J42:$BB42)</f>
        <v>0</v>
      </c>
      <c r="H42" s="27">
        <f ca="1" t="shared" si="1"/>
        <v>1100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>
        <v>1100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</row>
    <row r="43" s="58" customFormat="1" ht="22.5" hidden="1" customHeight="1" spans="1:54">
      <c r="A43" s="19"/>
      <c r="B43" s="24"/>
      <c r="C43" s="24" t="s">
        <v>14</v>
      </c>
      <c r="D43" s="24"/>
      <c r="E43" s="24">
        <v>0</v>
      </c>
      <c r="F43" s="74">
        <f ca="1">SUMIF(I$3:$BB42,"入库",I43:$BB43)</f>
        <v>100</v>
      </c>
      <c r="G43" s="24">
        <f ca="1">SUMIF(J$3:$BB42,"出库",J43:$BB43)</f>
        <v>0</v>
      </c>
      <c r="H43" s="27">
        <f ca="1" t="shared" si="1"/>
        <v>100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>
        <v>100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</row>
    <row r="44" s="58" customFormat="1" ht="39" hidden="1" customHeight="1" spans="1:54">
      <c r="A44" s="72">
        <v>14</v>
      </c>
      <c r="B44" s="24" t="s">
        <v>27</v>
      </c>
      <c r="C44" s="73" t="s">
        <v>12</v>
      </c>
      <c r="D44" s="24"/>
      <c r="E44" s="24">
        <v>0</v>
      </c>
      <c r="F44" s="74">
        <f ca="1">SUMIF(I$3:$BB43,"入库",I44:$BB44)</f>
        <v>3150</v>
      </c>
      <c r="G44" s="24">
        <f ca="1">SUMIF(J$3:$BB43,"出库",J44:$BB44)</f>
        <v>100</v>
      </c>
      <c r="H44" s="27">
        <f ca="1" t="shared" si="1"/>
        <v>3050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>
        <v>3150</v>
      </c>
      <c r="X44" s="24"/>
      <c r="Y44" s="24"/>
      <c r="Z44" s="24"/>
      <c r="AA44" s="24"/>
      <c r="AB44" s="24"/>
      <c r="AC44" s="24"/>
      <c r="AD44" s="24">
        <v>100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</row>
    <row r="45" s="58" customFormat="1" ht="22.5" hidden="1" customHeight="1" spans="1:54">
      <c r="A45" s="18"/>
      <c r="B45" s="24"/>
      <c r="C45" s="25" t="s">
        <v>13</v>
      </c>
      <c r="D45" s="24"/>
      <c r="E45" s="24">
        <v>0</v>
      </c>
      <c r="F45" s="74">
        <f ca="1">SUMIF(I$3:$BB44,"入库",I45:$BB45)</f>
        <v>80</v>
      </c>
      <c r="G45" s="24">
        <f ca="1">SUMIF(J$3:$BB44,"出库",J45:$BB45)</f>
        <v>0</v>
      </c>
      <c r="H45" s="27">
        <f ca="1" t="shared" si="1"/>
        <v>80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>
        <v>80</v>
      </c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</row>
    <row r="46" s="58" customFormat="1" ht="22.5" hidden="1" customHeight="1" spans="1:54">
      <c r="A46" s="19"/>
      <c r="B46" s="24"/>
      <c r="C46" s="24" t="s">
        <v>14</v>
      </c>
      <c r="D46" s="24"/>
      <c r="E46" s="24">
        <v>0</v>
      </c>
      <c r="F46" s="74">
        <f ca="1">SUMIF(I$3:$BB45,"入库",I46:$BB46)</f>
        <v>50</v>
      </c>
      <c r="G46" s="24">
        <f ca="1">SUMIF(J$3:$BB45,"出库",J46:$BB46)</f>
        <v>0</v>
      </c>
      <c r="H46" s="27">
        <f ca="1" t="shared" si="1"/>
        <v>50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>
        <v>50</v>
      </c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</row>
    <row r="47" s="58" customFormat="1" ht="22.5" hidden="1" customHeight="1" spans="1:54">
      <c r="A47" s="72">
        <v>15</v>
      </c>
      <c r="B47" s="24" t="s">
        <v>28</v>
      </c>
      <c r="C47" s="73" t="s">
        <v>12</v>
      </c>
      <c r="D47" s="24"/>
      <c r="E47" s="24">
        <v>0</v>
      </c>
      <c r="F47" s="74">
        <f ca="1">SUMIF(I$3:$BB46,"入库",I47:$BB47)</f>
        <v>6100</v>
      </c>
      <c r="G47" s="24">
        <f ca="1">SUMIF(J$3:$BB46,"出库",J47:$BB47)</f>
        <v>0</v>
      </c>
      <c r="H47" s="27">
        <f ca="1" t="shared" si="1"/>
        <v>6100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>
        <v>600</v>
      </c>
      <c r="V47" s="24"/>
      <c r="W47" s="24"/>
      <c r="X47" s="24"/>
      <c r="Y47" s="24">
        <v>5500</v>
      </c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</row>
    <row r="48" s="58" customFormat="1" ht="22.5" hidden="1" customHeight="1" spans="1:54">
      <c r="A48" s="18"/>
      <c r="B48" s="24"/>
      <c r="C48" s="25" t="s">
        <v>13</v>
      </c>
      <c r="D48" s="24"/>
      <c r="E48" s="24">
        <v>0</v>
      </c>
      <c r="F48" s="74">
        <f ca="1">SUMIF(I$3:$BB47,"入库",I48:$BB48)</f>
        <v>200</v>
      </c>
      <c r="G48" s="24">
        <f ca="1">SUMIF(J$3:$BB47,"出库",J48:$BB48)</f>
        <v>0</v>
      </c>
      <c r="H48" s="27">
        <f ca="1" t="shared" si="1"/>
        <v>200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>
        <v>200</v>
      </c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</row>
    <row r="49" s="58" customFormat="1" ht="22.5" hidden="1" customHeight="1" spans="1:54">
      <c r="A49" s="19"/>
      <c r="B49" s="24"/>
      <c r="C49" s="24" t="s">
        <v>14</v>
      </c>
      <c r="D49" s="24"/>
      <c r="E49" s="24">
        <v>0</v>
      </c>
      <c r="F49" s="74">
        <f ca="1">SUMIF(I$3:$BB48,"入库",I49:$BB49)</f>
        <v>270</v>
      </c>
      <c r="G49" s="24">
        <f ca="1">SUMIF(J$3:$BB48,"出库",J49:$BB49)</f>
        <v>0</v>
      </c>
      <c r="H49" s="27">
        <f ca="1" t="shared" si="1"/>
        <v>270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>
        <v>270</v>
      </c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</row>
    <row r="50" s="58" customFormat="1" ht="39" customHeight="1" spans="1:54">
      <c r="A50" s="72">
        <v>16</v>
      </c>
      <c r="B50" s="24" t="s">
        <v>29</v>
      </c>
      <c r="C50" s="73" t="s">
        <v>12</v>
      </c>
      <c r="D50" s="24"/>
      <c r="E50" s="24">
        <v>0</v>
      </c>
      <c r="F50" s="74">
        <f ca="1">SUMIF(I$3:$BB49,"入库",I50:$BB50)</f>
        <v>9100</v>
      </c>
      <c r="G50" s="24">
        <f ca="1">SUMIF(J$3:$BB49,"出库",J50:$BB50)</f>
        <v>601</v>
      </c>
      <c r="H50" s="27">
        <f ca="1" t="shared" si="1"/>
        <v>8499</v>
      </c>
      <c r="I50" s="24"/>
      <c r="J50" s="24"/>
      <c r="K50" s="24"/>
      <c r="L50" s="24"/>
      <c r="M50" s="24">
        <v>9100</v>
      </c>
      <c r="N50" s="24">
        <v>600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>
        <v>1</v>
      </c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</row>
    <row r="51" s="58" customFormat="1" ht="22.5" customHeight="1" spans="1:54">
      <c r="A51" s="18"/>
      <c r="B51" s="24"/>
      <c r="C51" s="25" t="s">
        <v>13</v>
      </c>
      <c r="D51" s="24"/>
      <c r="E51" s="24">
        <v>0</v>
      </c>
      <c r="F51" s="74">
        <f ca="1">SUMIF(I$3:$BB50,"入库",I51:$BB51)</f>
        <v>0</v>
      </c>
      <c r="G51" s="24">
        <f ca="1">SUMIF(J$3:$BB50,"出库",J51:$BB51)</f>
        <v>0</v>
      </c>
      <c r="H51" s="27">
        <f ca="1" t="shared" si="1"/>
        <v>0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</row>
    <row r="52" s="58" customFormat="1" ht="22.5" customHeight="1" spans="1:54">
      <c r="A52" s="19"/>
      <c r="B52" s="24"/>
      <c r="C52" s="24" t="s">
        <v>14</v>
      </c>
      <c r="D52" s="24"/>
      <c r="E52" s="24">
        <v>0</v>
      </c>
      <c r="F52" s="74">
        <f ca="1">SUMIF(I$3:$BB51,"入库",I52:$BB52)</f>
        <v>20</v>
      </c>
      <c r="G52" s="24">
        <f ca="1">SUMIF(J$3:$BB51,"出库",J52:$BB52)</f>
        <v>0</v>
      </c>
      <c r="H52" s="27">
        <f ca="1" t="shared" si="1"/>
        <v>20</v>
      </c>
      <c r="I52" s="24"/>
      <c r="J52" s="24"/>
      <c r="K52" s="24"/>
      <c r="L52" s="24"/>
      <c r="M52" s="24">
        <v>20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</row>
    <row r="53" s="58" customFormat="1" ht="39" hidden="1" customHeight="1" spans="1:54">
      <c r="A53" s="72">
        <v>17</v>
      </c>
      <c r="B53" s="24" t="s">
        <v>30</v>
      </c>
      <c r="C53" s="73" t="s">
        <v>12</v>
      </c>
      <c r="D53" s="24"/>
      <c r="E53" s="24">
        <v>0</v>
      </c>
      <c r="F53" s="74">
        <f ca="1">SUMIF(I$3:$BB52,"入库",I53:$BB53)</f>
        <v>1700</v>
      </c>
      <c r="G53" s="24">
        <f ca="1">SUMIF(J$3:$BB52,"出库",J53:$BB53)</f>
        <v>90</v>
      </c>
      <c r="H53" s="27">
        <f ca="1" t="shared" si="1"/>
        <v>1610</v>
      </c>
      <c r="I53" s="24"/>
      <c r="J53" s="24"/>
      <c r="K53" s="24"/>
      <c r="L53" s="24"/>
      <c r="M53" s="24">
        <v>1700</v>
      </c>
      <c r="N53" s="24"/>
      <c r="O53" s="24"/>
      <c r="P53" s="24"/>
      <c r="Q53" s="24"/>
      <c r="R53" s="24"/>
      <c r="S53" s="24"/>
      <c r="T53" s="24">
        <v>90</v>
      </c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</row>
    <row r="54" s="58" customFormat="1" ht="22.5" hidden="1" customHeight="1" spans="1:54">
      <c r="A54" s="18"/>
      <c r="B54" s="24"/>
      <c r="C54" s="25" t="s">
        <v>13</v>
      </c>
      <c r="D54" s="24"/>
      <c r="E54" s="24">
        <v>0</v>
      </c>
      <c r="F54" s="74">
        <f ca="1">SUMIF(I$3:$BB53,"入库",I54:$BB54)</f>
        <v>0</v>
      </c>
      <c r="G54" s="24">
        <f ca="1">SUMIF(J$3:$BB53,"出库",J54:$BB54)</f>
        <v>0</v>
      </c>
      <c r="H54" s="27">
        <f ca="1" t="shared" si="1"/>
        <v>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</row>
    <row r="55" s="58" customFormat="1" ht="22.5" hidden="1" customHeight="1" spans="1:54">
      <c r="A55" s="19"/>
      <c r="B55" s="24"/>
      <c r="C55" s="24" t="s">
        <v>14</v>
      </c>
      <c r="D55" s="24"/>
      <c r="E55" s="24">
        <v>0</v>
      </c>
      <c r="F55" s="74">
        <f ca="1">SUMIF(I$3:$BB54,"入库",I55:$BB55)</f>
        <v>20</v>
      </c>
      <c r="G55" s="24">
        <f ca="1">SUMIF(J$3:$BB54,"出库",J55:$BB55)</f>
        <v>0</v>
      </c>
      <c r="H55" s="27">
        <f ca="1" t="shared" si="1"/>
        <v>20</v>
      </c>
      <c r="I55" s="24"/>
      <c r="J55" s="24"/>
      <c r="K55" s="24"/>
      <c r="L55" s="24"/>
      <c r="M55" s="24">
        <v>20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</row>
    <row r="56" s="58" customFormat="1" ht="39" hidden="1" customHeight="1" spans="1:54">
      <c r="A56" s="72">
        <v>18</v>
      </c>
      <c r="B56" s="24" t="s">
        <v>31</v>
      </c>
      <c r="C56" s="73" t="s">
        <v>12</v>
      </c>
      <c r="D56" s="24"/>
      <c r="E56" s="24">
        <v>0</v>
      </c>
      <c r="F56" s="74">
        <f ca="1">SUMIF(I$3:$BB55,"入库",I56:$BB56)</f>
        <v>4900</v>
      </c>
      <c r="G56" s="24">
        <f ca="1">SUMIF(J$3:$BB55,"出库",J56:$BB56)</f>
        <v>0</v>
      </c>
      <c r="H56" s="27">
        <f ca="1" t="shared" si="1"/>
        <v>4900</v>
      </c>
      <c r="I56" s="24"/>
      <c r="J56" s="24"/>
      <c r="K56" s="24">
        <v>600</v>
      </c>
      <c r="L56" s="24"/>
      <c r="M56" s="24"/>
      <c r="N56" s="24"/>
      <c r="O56" s="24"/>
      <c r="P56" s="24"/>
      <c r="Q56" s="24"/>
      <c r="R56" s="24"/>
      <c r="S56" s="24"/>
      <c r="T56" s="24"/>
      <c r="U56" s="24">
        <v>4300</v>
      </c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</row>
    <row r="57" s="58" customFormat="1" ht="22.5" hidden="1" customHeight="1" spans="1:54">
      <c r="A57" s="18"/>
      <c r="B57" s="24"/>
      <c r="C57" s="25" t="s">
        <v>13</v>
      </c>
      <c r="D57" s="24"/>
      <c r="E57" s="24">
        <v>0</v>
      </c>
      <c r="F57" s="74">
        <f ca="1">SUMIF(I$3:$BB56,"入库",I57:$BB57)</f>
        <v>20</v>
      </c>
      <c r="G57" s="24">
        <f ca="1">SUMIF(J$3:$BB56,"出库",J57:$BB57)</f>
        <v>0</v>
      </c>
      <c r="H57" s="27">
        <f ca="1" t="shared" si="1"/>
        <v>20</v>
      </c>
      <c r="I57" s="24"/>
      <c r="J57" s="24"/>
      <c r="K57" s="24">
        <v>20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</row>
    <row r="58" s="58" customFormat="1" ht="39" hidden="1" customHeight="1" spans="1:54">
      <c r="A58" s="19"/>
      <c r="B58" s="24"/>
      <c r="C58" s="24" t="s">
        <v>14</v>
      </c>
      <c r="D58" s="24"/>
      <c r="E58" s="24">
        <v>0</v>
      </c>
      <c r="F58" s="74">
        <f ca="1">SUMIF(I$3:$BB57,"入库",I58:$BB58)</f>
        <v>1000</v>
      </c>
      <c r="G58" s="24">
        <f ca="1">SUMIF(J$3:$BB57,"出库",J58:$BB58)</f>
        <v>0</v>
      </c>
      <c r="H58" s="27">
        <f ca="1" t="shared" si="1"/>
        <v>1000</v>
      </c>
      <c r="I58" s="24"/>
      <c r="J58" s="24"/>
      <c r="K58" s="24">
        <v>1000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</row>
    <row r="59" s="58" customFormat="1" ht="22.5" hidden="1" customHeight="1" spans="1:54">
      <c r="A59" s="72">
        <v>19</v>
      </c>
      <c r="B59" s="24" t="s">
        <v>32</v>
      </c>
      <c r="C59" s="73" t="s">
        <v>12</v>
      </c>
      <c r="D59" s="24"/>
      <c r="E59" s="24">
        <v>0</v>
      </c>
      <c r="F59" s="74">
        <f ca="1">SUMIF(I$3:$BB58,"入库",I59:$BB59)</f>
        <v>0</v>
      </c>
      <c r="G59" s="24">
        <f ca="1">SUMIF(J$3:$BB58,"出库",J59:$BB59)</f>
        <v>0</v>
      </c>
      <c r="H59" s="27">
        <f ca="1" t="shared" si="1"/>
        <v>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</row>
    <row r="60" s="58" customFormat="1" ht="22.5" hidden="1" customHeight="1" spans="1:54">
      <c r="A60" s="18"/>
      <c r="B60" s="24"/>
      <c r="C60" s="25" t="s">
        <v>13</v>
      </c>
      <c r="D60" s="24"/>
      <c r="E60" s="24">
        <v>0</v>
      </c>
      <c r="F60" s="74">
        <f ca="1">SUMIF(I$3:$BB59,"入库",I60:$BB60)</f>
        <v>250</v>
      </c>
      <c r="G60" s="24">
        <f ca="1">SUMIF(J$3:$BB59,"出库",J60:$BB60)</f>
        <v>0</v>
      </c>
      <c r="H60" s="27">
        <f ca="1" t="shared" si="1"/>
        <v>250</v>
      </c>
      <c r="I60" s="24"/>
      <c r="J60" s="24"/>
      <c r="K60" s="24">
        <v>250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</row>
    <row r="61" s="58" customFormat="1" ht="22.5" hidden="1" customHeight="1" spans="1:54">
      <c r="A61" s="19"/>
      <c r="B61" s="24"/>
      <c r="C61" s="24" t="s">
        <v>14</v>
      </c>
      <c r="D61" s="24"/>
      <c r="E61" s="24">
        <v>0</v>
      </c>
      <c r="F61" s="74">
        <f ca="1">SUMIF(I$3:$BB60,"入库",I61:$BB61)</f>
        <v>0</v>
      </c>
      <c r="G61" s="24">
        <f ca="1">SUMIF(J$3:$BB60,"出库",J61:$BB61)</f>
        <v>0</v>
      </c>
      <c r="H61" s="27">
        <f ca="1" t="shared" si="1"/>
        <v>0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</row>
    <row r="62" s="58" customFormat="1" ht="22.5" hidden="1" customHeight="1" spans="1:54">
      <c r="A62" s="72">
        <v>20</v>
      </c>
      <c r="B62" s="24" t="s">
        <v>33</v>
      </c>
      <c r="C62" s="73" t="s">
        <v>12</v>
      </c>
      <c r="D62" s="24"/>
      <c r="E62" s="24">
        <v>0</v>
      </c>
      <c r="F62" s="74">
        <f ca="1">SUMIF(I$3:$BB61,"入库",I62:$BB62)</f>
        <v>950</v>
      </c>
      <c r="G62" s="24">
        <f ca="1">SUMIF(J$3:$BB61,"出库",J62:$BB62)</f>
        <v>0</v>
      </c>
      <c r="H62" s="27">
        <f ca="1" t="shared" si="1"/>
        <v>950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>
        <v>950</v>
      </c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</row>
    <row r="63" s="58" customFormat="1" ht="22.5" hidden="1" customHeight="1" spans="1:54">
      <c r="A63" s="18"/>
      <c r="B63" s="24"/>
      <c r="C63" s="25" t="s">
        <v>13</v>
      </c>
      <c r="D63" s="24"/>
      <c r="E63" s="24">
        <v>0</v>
      </c>
      <c r="F63" s="74">
        <f ca="1">SUMIF(I$3:$BB62,"入库",I63:$BB63)</f>
        <v>900</v>
      </c>
      <c r="G63" s="24">
        <f ca="1">SUMIF(J$3:$BB62,"出库",J63:$BB63)</f>
        <v>0</v>
      </c>
      <c r="H63" s="27">
        <f ca="1" t="shared" si="1"/>
        <v>900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>
        <v>900</v>
      </c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</row>
    <row r="64" s="58" customFormat="1" ht="22.5" hidden="1" customHeight="1" spans="1:54">
      <c r="A64" s="19"/>
      <c r="B64" s="24"/>
      <c r="C64" s="24" t="s">
        <v>14</v>
      </c>
      <c r="D64" s="24"/>
      <c r="E64" s="24">
        <v>0</v>
      </c>
      <c r="F64" s="74">
        <f ca="1">SUMIF(I$3:$BB63,"入库",I64:$BB64)</f>
        <v>30</v>
      </c>
      <c r="G64" s="24">
        <f ca="1">SUMIF(J$3:$BB63,"出库",J64:$BB64)</f>
        <v>0</v>
      </c>
      <c r="H64" s="27">
        <f ca="1" t="shared" si="1"/>
        <v>30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>
        <v>30</v>
      </c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</row>
    <row r="65" s="58" customFormat="1" ht="39" hidden="1" customHeight="1" spans="1:54">
      <c r="A65" s="72">
        <v>21</v>
      </c>
      <c r="B65" s="24" t="s">
        <v>34</v>
      </c>
      <c r="C65" s="73" t="s">
        <v>12</v>
      </c>
      <c r="D65" s="24"/>
      <c r="E65" s="24">
        <v>0</v>
      </c>
      <c r="F65" s="74">
        <f ca="1">SUMIF(I$3:$BB64,"入库",I65:$BB65)</f>
        <v>4100</v>
      </c>
      <c r="G65" s="24">
        <f ca="1">SUMIF(J$3:$BB64,"出库",J65:$BB65)</f>
        <v>1000</v>
      </c>
      <c r="H65" s="27">
        <f ca="1" t="shared" si="1"/>
        <v>3100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>
        <v>4100</v>
      </c>
      <c r="X65" s="24"/>
      <c r="Y65" s="24"/>
      <c r="Z65" s="24"/>
      <c r="AA65" s="24"/>
      <c r="AB65" s="24">
        <v>1000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</row>
    <row r="66" s="58" customFormat="1" ht="22.5" hidden="1" customHeight="1" spans="1:54">
      <c r="A66" s="18"/>
      <c r="B66" s="24"/>
      <c r="C66" s="25" t="s">
        <v>13</v>
      </c>
      <c r="D66" s="24"/>
      <c r="E66" s="24">
        <v>0</v>
      </c>
      <c r="F66" s="74">
        <f ca="1">SUMIF(I$3:$BB65,"入库",I66:$BB66)</f>
        <v>30</v>
      </c>
      <c r="G66" s="24">
        <f ca="1">SUMIF(J$3:$BB65,"出库",J66:$BB66)</f>
        <v>0</v>
      </c>
      <c r="H66" s="27">
        <f ca="1" t="shared" si="1"/>
        <v>30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>
        <v>30</v>
      </c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</row>
    <row r="67" s="58" customFormat="1" ht="22.5" hidden="1" customHeight="1" spans="1:54">
      <c r="A67" s="19"/>
      <c r="B67" s="24"/>
      <c r="C67" s="24" t="s">
        <v>14</v>
      </c>
      <c r="D67" s="24"/>
      <c r="E67" s="24">
        <v>0</v>
      </c>
      <c r="F67" s="74">
        <f ca="1">SUMIF(I$3:$BB66,"入库",I67:$BB67)</f>
        <v>40</v>
      </c>
      <c r="G67" s="24">
        <f ca="1">SUMIF(J$3:$BB66,"出库",J67:$BB67)</f>
        <v>0</v>
      </c>
      <c r="H67" s="27">
        <f ca="1" t="shared" si="1"/>
        <v>40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>
        <v>40</v>
      </c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</row>
    <row r="68" s="58" customFormat="1" ht="39" hidden="1" customHeight="1" spans="1:54">
      <c r="A68" s="72">
        <v>22</v>
      </c>
      <c r="B68" s="24" t="s">
        <v>35</v>
      </c>
      <c r="C68" s="73" t="s">
        <v>12</v>
      </c>
      <c r="D68" s="24"/>
      <c r="E68" s="24">
        <v>0</v>
      </c>
      <c r="F68" s="74">
        <f ca="1">SUMIF(I$3:$BB67,"入库",I68:$BB68)</f>
        <v>4100</v>
      </c>
      <c r="G68" s="24">
        <f ca="1">SUMIF(J$3:$BB67,"出库",J68:$BB68)</f>
        <v>255</v>
      </c>
      <c r="H68" s="27">
        <f ca="1" t="shared" si="1"/>
        <v>3845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>
        <v>4100</v>
      </c>
      <c r="V68" s="24">
        <v>50</v>
      </c>
      <c r="W68" s="24"/>
      <c r="X68" s="24"/>
      <c r="Y68" s="24"/>
      <c r="Z68" s="24"/>
      <c r="AA68" s="24"/>
      <c r="AB68" s="24"/>
      <c r="AC68" s="24"/>
      <c r="AD68" s="24">
        <v>105</v>
      </c>
      <c r="AE68" s="24"/>
      <c r="AF68" s="24"/>
      <c r="AG68" s="24"/>
      <c r="AH68" s="24">
        <v>100</v>
      </c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</row>
    <row r="69" s="58" customFormat="1" ht="22.5" hidden="1" customHeight="1" spans="1:54">
      <c r="A69" s="18"/>
      <c r="B69" s="24"/>
      <c r="C69" s="25" t="s">
        <v>13</v>
      </c>
      <c r="D69" s="24"/>
      <c r="E69" s="24">
        <v>0</v>
      </c>
      <c r="F69" s="74">
        <f ca="1">SUMIF(I$3:$BB68,"入库",I69:$BB69)</f>
        <v>0</v>
      </c>
      <c r="G69" s="24">
        <f ca="1">SUMIF(J$3:$BB68,"出库",J69:$BB69)</f>
        <v>0</v>
      </c>
      <c r="H69" s="27">
        <f ca="1" t="shared" si="1"/>
        <v>0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</row>
    <row r="70" s="58" customFormat="1" ht="22.5" hidden="1" customHeight="1" spans="1:54">
      <c r="A70" s="19"/>
      <c r="B70" s="24"/>
      <c r="C70" s="24" t="s">
        <v>14</v>
      </c>
      <c r="D70" s="24"/>
      <c r="E70" s="24">
        <v>0</v>
      </c>
      <c r="F70" s="74">
        <f ca="1">SUMIF(I$3:$BB69,"入库",I70:$BB70)</f>
        <v>140</v>
      </c>
      <c r="G70" s="24">
        <f ca="1">SUMIF(J$3:$BB69,"出库",J70:$BB70)</f>
        <v>0</v>
      </c>
      <c r="H70" s="27">
        <f ca="1" t="shared" si="1"/>
        <v>140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>
        <v>140</v>
      </c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</row>
    <row r="71" s="58" customFormat="1" ht="39" hidden="1" customHeight="1" spans="1:54">
      <c r="A71" s="72">
        <v>23</v>
      </c>
      <c r="B71" s="24" t="s">
        <v>36</v>
      </c>
      <c r="C71" s="73" t="s">
        <v>12</v>
      </c>
      <c r="D71" s="24"/>
      <c r="E71" s="24">
        <v>0</v>
      </c>
      <c r="F71" s="74">
        <f ca="1">SUMIF(I$3:$BB70,"入库",I71:$BB71)</f>
        <v>1900</v>
      </c>
      <c r="G71" s="24">
        <f ca="1">SUMIF(J$3:$BB70,"出库",J71:$BB71)</f>
        <v>1</v>
      </c>
      <c r="H71" s="27">
        <f ca="1" t="shared" si="1"/>
        <v>1899</v>
      </c>
      <c r="I71" s="24"/>
      <c r="J71" s="24"/>
      <c r="K71" s="24"/>
      <c r="L71" s="24"/>
      <c r="M71" s="24">
        <v>1900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1</v>
      </c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</row>
    <row r="72" s="58" customFormat="1" ht="22.5" hidden="1" customHeight="1" spans="1:54">
      <c r="A72" s="18"/>
      <c r="B72" s="24"/>
      <c r="C72" s="25" t="s">
        <v>13</v>
      </c>
      <c r="D72" s="24"/>
      <c r="E72" s="24">
        <v>0</v>
      </c>
      <c r="F72" s="74">
        <f ca="1">SUMIF(I$3:$BB71,"入库",I72:$BB72)</f>
        <v>450</v>
      </c>
      <c r="G72" s="24">
        <f ca="1">SUMIF(J$3:$BB71,"出库",J72:$BB72)</f>
        <v>0</v>
      </c>
      <c r="H72" s="27">
        <f ca="1" t="shared" si="1"/>
        <v>450</v>
      </c>
      <c r="I72" s="24"/>
      <c r="J72" s="24"/>
      <c r="K72" s="24"/>
      <c r="L72" s="24"/>
      <c r="M72" s="24">
        <v>450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</row>
    <row r="73" s="58" customFormat="1" ht="22.5" hidden="1" customHeight="1" spans="1:54">
      <c r="A73" s="19"/>
      <c r="B73" s="24"/>
      <c r="C73" s="24" t="s">
        <v>14</v>
      </c>
      <c r="D73" s="24"/>
      <c r="E73" s="24">
        <v>0</v>
      </c>
      <c r="F73" s="74">
        <f ca="1">SUMIF(I$3:$BB72,"入库",I73:$BB73)</f>
        <v>20</v>
      </c>
      <c r="G73" s="24">
        <f ca="1">SUMIF(J$3:$BB72,"出库",J73:$BB73)</f>
        <v>0</v>
      </c>
      <c r="H73" s="27">
        <f ca="1" t="shared" si="1"/>
        <v>20</v>
      </c>
      <c r="I73" s="24"/>
      <c r="J73" s="24"/>
      <c r="K73" s="24"/>
      <c r="L73" s="24"/>
      <c r="M73" s="24">
        <v>20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</row>
    <row r="74" s="58" customFormat="1" ht="22.5" hidden="1" customHeight="1" spans="1:54">
      <c r="A74" s="72">
        <v>24</v>
      </c>
      <c r="B74" s="24" t="s">
        <v>37</v>
      </c>
      <c r="C74" s="73" t="s">
        <v>12</v>
      </c>
      <c r="D74" s="24"/>
      <c r="E74" s="24">
        <v>0</v>
      </c>
      <c r="F74" s="74">
        <f ca="1">SUMIF(I$3:$BB73,"入库",I74:$BB74)</f>
        <v>900</v>
      </c>
      <c r="G74" s="24">
        <f ca="1">SUMIF(J$3:$BB73,"出库",J74:$BB74)</f>
        <v>1</v>
      </c>
      <c r="H74" s="27">
        <f ca="1" t="shared" si="1"/>
        <v>899</v>
      </c>
      <c r="I74" s="24"/>
      <c r="J74" s="24"/>
      <c r="K74" s="24"/>
      <c r="L74" s="24"/>
      <c r="M74" s="24">
        <v>900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>
        <v>1</v>
      </c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</row>
    <row r="75" s="58" customFormat="1" ht="22.5" hidden="1" customHeight="1" spans="1:54">
      <c r="A75" s="18"/>
      <c r="B75" s="24"/>
      <c r="C75" s="25" t="s">
        <v>13</v>
      </c>
      <c r="D75" s="24"/>
      <c r="E75" s="24">
        <v>0</v>
      </c>
      <c r="F75" s="74">
        <f ca="1">SUMIF(I$3:$BB74,"入库",I75:$BB75)</f>
        <v>0</v>
      </c>
      <c r="G75" s="24">
        <f ca="1">SUMIF(J$3:$BB74,"出库",J75:$BB75)</f>
        <v>0</v>
      </c>
      <c r="H75" s="27">
        <f ca="1" t="shared" si="1"/>
        <v>0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</row>
    <row r="76" s="58" customFormat="1" ht="22.5" hidden="1" customHeight="1" spans="1:54">
      <c r="A76" s="19"/>
      <c r="B76" s="24"/>
      <c r="C76" s="24" t="s">
        <v>14</v>
      </c>
      <c r="D76" s="24"/>
      <c r="E76" s="24">
        <v>0</v>
      </c>
      <c r="F76" s="74">
        <f ca="1">SUMIF(I$3:$BB75,"入库",I76:$BB76)</f>
        <v>0</v>
      </c>
      <c r="G76" s="24">
        <f ca="1">SUMIF(J$3:$BB75,"出库",J76:$BB76)</f>
        <v>0</v>
      </c>
      <c r="H76" s="27">
        <f ca="1" t="shared" si="1"/>
        <v>0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</row>
    <row r="77" s="58" customFormat="1" ht="39" hidden="1" customHeight="1" spans="1:54">
      <c r="A77" s="72">
        <v>25</v>
      </c>
      <c r="B77" s="24" t="s">
        <v>38</v>
      </c>
      <c r="C77" s="73" t="s">
        <v>12</v>
      </c>
      <c r="D77" s="24"/>
      <c r="E77" s="24">
        <v>0</v>
      </c>
      <c r="F77" s="74">
        <f ca="1">SUMIF(I$3:$BB76,"入库",I77:$BB77)</f>
        <v>1800</v>
      </c>
      <c r="G77" s="24">
        <f ca="1">SUMIF(J$3:$BB76,"出库",J77:$BB77)</f>
        <v>200</v>
      </c>
      <c r="H77" s="27">
        <f ca="1" t="shared" si="1"/>
        <v>1600</v>
      </c>
      <c r="I77" s="24"/>
      <c r="J77" s="24"/>
      <c r="K77" s="24">
        <v>1800</v>
      </c>
      <c r="L77" s="24"/>
      <c r="M77" s="24"/>
      <c r="N77" s="24"/>
      <c r="O77" s="24"/>
      <c r="P77" s="24"/>
      <c r="Q77" s="24"/>
      <c r="R77" s="24"/>
      <c r="S77" s="24"/>
      <c r="T77" s="24">
        <v>200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</row>
    <row r="78" s="58" customFormat="1" ht="22.5" hidden="1" customHeight="1" spans="1:54">
      <c r="A78" s="18"/>
      <c r="B78" s="24"/>
      <c r="C78" s="25" t="s">
        <v>13</v>
      </c>
      <c r="D78" s="24"/>
      <c r="E78" s="24">
        <v>0</v>
      </c>
      <c r="F78" s="74">
        <f ca="1">SUMIF(I$3:$BB77,"入库",I78:$BB78)</f>
        <v>0</v>
      </c>
      <c r="G78" s="24">
        <f ca="1">SUMIF(J$3:$BB77,"出库",J78:$BB78)</f>
        <v>0</v>
      </c>
      <c r="H78" s="27">
        <f ca="1" t="shared" si="1"/>
        <v>0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</row>
    <row r="79" s="58" customFormat="1" ht="22.5" hidden="1" customHeight="1" spans="1:54">
      <c r="A79" s="19"/>
      <c r="B79" s="24"/>
      <c r="C79" s="24" t="s">
        <v>14</v>
      </c>
      <c r="D79" s="24"/>
      <c r="E79" s="24">
        <v>0</v>
      </c>
      <c r="F79" s="74">
        <f ca="1">SUMIF(I$3:$BB78,"入库",I79:$BB79)</f>
        <v>0</v>
      </c>
      <c r="G79" s="24">
        <f ca="1">SUMIF(J$3:$BB78,"出库",J79:$BB79)</f>
        <v>0</v>
      </c>
      <c r="H79" s="27">
        <f ca="1" t="shared" si="1"/>
        <v>0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</row>
    <row r="80" s="58" customFormat="1" ht="39" hidden="1" customHeight="1" spans="1:54">
      <c r="A80" s="72">
        <v>26</v>
      </c>
      <c r="B80" s="24" t="s">
        <v>39</v>
      </c>
      <c r="C80" s="73" t="s">
        <v>12</v>
      </c>
      <c r="D80" s="24"/>
      <c r="E80" s="24">
        <v>0</v>
      </c>
      <c r="F80" s="74">
        <f ca="1">SUMIF(I$3:$BB79,"入库",I80:$BB80)</f>
        <v>2000</v>
      </c>
      <c r="G80" s="24">
        <f ca="1">SUMIF(J$3:$BB79,"出库",J80:$BB80)</f>
        <v>160</v>
      </c>
      <c r="H80" s="27">
        <f ca="1" t="shared" si="1"/>
        <v>1840</v>
      </c>
      <c r="I80" s="24"/>
      <c r="J80" s="24"/>
      <c r="K80" s="24">
        <v>2000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>
        <v>160</v>
      </c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</row>
    <row r="81" s="58" customFormat="1" ht="22.5" hidden="1" customHeight="1" spans="1:54">
      <c r="A81" s="18"/>
      <c r="B81" s="24"/>
      <c r="C81" s="25" t="s">
        <v>13</v>
      </c>
      <c r="D81" s="24"/>
      <c r="E81" s="24">
        <v>0</v>
      </c>
      <c r="F81" s="74">
        <f ca="1">SUMIF(I$3:$BB80,"入库",I81:$BB81)</f>
        <v>0</v>
      </c>
      <c r="G81" s="24">
        <f ca="1">SUMIF(J$3:$BB80,"出库",J81:$BB81)</f>
        <v>0</v>
      </c>
      <c r="H81" s="27">
        <f ca="1" t="shared" si="1"/>
        <v>0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</row>
    <row r="82" s="58" customFormat="1" ht="22.5" hidden="1" customHeight="1" spans="1:54">
      <c r="A82" s="19"/>
      <c r="B82" s="24"/>
      <c r="C82" s="24" t="s">
        <v>14</v>
      </c>
      <c r="D82" s="24"/>
      <c r="E82" s="24">
        <v>0</v>
      </c>
      <c r="F82" s="74">
        <f ca="1">SUMIF(I$3:$BB81,"入库",I82:$BB82)</f>
        <v>0</v>
      </c>
      <c r="G82" s="24">
        <f ca="1">SUMIF(J$3:$BB81,"出库",J82:$BB82)</f>
        <v>0</v>
      </c>
      <c r="H82" s="27">
        <f ca="1" t="shared" si="1"/>
        <v>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</row>
    <row r="83" s="58" customFormat="1" ht="22.5" hidden="1" customHeight="1" spans="1:54">
      <c r="A83" s="72">
        <v>27</v>
      </c>
      <c r="B83" s="24" t="s">
        <v>40</v>
      </c>
      <c r="C83" s="73" t="s">
        <v>12</v>
      </c>
      <c r="D83" s="24"/>
      <c r="E83" s="24">
        <v>0</v>
      </c>
      <c r="F83" s="74">
        <f ca="1">SUMIF(I$3:$BB82,"入库",I83:$BB83)</f>
        <v>280</v>
      </c>
      <c r="G83" s="24">
        <f ca="1">SUMIF(J$3:$BB82,"出库",J83:$BB83)</f>
        <v>0</v>
      </c>
      <c r="H83" s="27">
        <f ca="1" t="shared" si="1"/>
        <v>280</v>
      </c>
      <c r="I83" s="24"/>
      <c r="J83" s="24"/>
      <c r="K83" s="24">
        <v>280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</row>
    <row r="84" s="58" customFormat="1" ht="22.5" hidden="1" customHeight="1" spans="1:54">
      <c r="A84" s="18"/>
      <c r="B84" s="24"/>
      <c r="C84" s="25" t="s">
        <v>13</v>
      </c>
      <c r="D84" s="24"/>
      <c r="E84" s="24">
        <v>0</v>
      </c>
      <c r="F84" s="74">
        <f ca="1">SUMIF(I$3:$BB83,"入库",I84:$BB84)</f>
        <v>20</v>
      </c>
      <c r="G84" s="24">
        <f ca="1">SUMIF(J$3:$BB83,"出库",J84:$BB84)</f>
        <v>0</v>
      </c>
      <c r="H84" s="27">
        <f ca="1" t="shared" si="1"/>
        <v>20</v>
      </c>
      <c r="I84" s="24"/>
      <c r="J84" s="24"/>
      <c r="K84" s="24">
        <v>20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</row>
    <row r="85" s="58" customFormat="1" ht="22.5" hidden="1" customHeight="1" spans="1:54">
      <c r="A85" s="19"/>
      <c r="B85" s="24"/>
      <c r="C85" s="24" t="s">
        <v>14</v>
      </c>
      <c r="D85" s="24"/>
      <c r="E85" s="24">
        <v>0</v>
      </c>
      <c r="F85" s="74">
        <f ca="1">SUMIF(I$3:$BB84,"入库",I85:$BB85)</f>
        <v>250</v>
      </c>
      <c r="G85" s="24">
        <f ca="1">SUMIF(J$3:$BB84,"出库",J85:$BB85)</f>
        <v>0</v>
      </c>
      <c r="H85" s="27">
        <f ca="1" t="shared" si="1"/>
        <v>250</v>
      </c>
      <c r="I85" s="24"/>
      <c r="J85" s="24"/>
      <c r="K85" s="24">
        <v>250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</row>
    <row r="86" s="58" customFormat="1" ht="22.5" hidden="1" customHeight="1" spans="1:54">
      <c r="A86" s="72">
        <v>28</v>
      </c>
      <c r="B86" s="24" t="s">
        <v>41</v>
      </c>
      <c r="C86" s="73" t="s">
        <v>12</v>
      </c>
      <c r="D86" s="24"/>
      <c r="E86" s="24">
        <v>0</v>
      </c>
      <c r="F86" s="74">
        <f ca="1">SUMIF(I$3:$BB85,"入库",I86:$BB86)</f>
        <v>3600</v>
      </c>
      <c r="G86" s="24">
        <f ca="1">SUMIF(J$3:$BB85,"出库",J86:$BB86)</f>
        <v>642</v>
      </c>
      <c r="H86" s="27">
        <f ca="1" t="shared" si="1"/>
        <v>2958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>
        <v>3600</v>
      </c>
      <c r="X86" s="24"/>
      <c r="Y86" s="24"/>
      <c r="Z86" s="24"/>
      <c r="AA86" s="24"/>
      <c r="AB86" s="24">
        <v>49</v>
      </c>
      <c r="AC86" s="24"/>
      <c r="AD86" s="24"/>
      <c r="AE86" s="24"/>
      <c r="AF86" s="24"/>
      <c r="AG86" s="24"/>
      <c r="AH86" s="24"/>
      <c r="AI86" s="24"/>
      <c r="AJ86" s="24">
        <v>593</v>
      </c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</row>
    <row r="87" s="58" customFormat="1" ht="22.5" hidden="1" customHeight="1" spans="1:54">
      <c r="A87" s="18"/>
      <c r="B87" s="24"/>
      <c r="C87" s="25" t="s">
        <v>13</v>
      </c>
      <c r="D87" s="24"/>
      <c r="E87" s="24">
        <v>0</v>
      </c>
      <c r="F87" s="74">
        <f ca="1">SUMIF(I$3:$BB86,"入库",I87:$BB87)</f>
        <v>30</v>
      </c>
      <c r="G87" s="24">
        <f ca="1">SUMIF(J$3:$BB86,"出库",J87:$BB87)</f>
        <v>1</v>
      </c>
      <c r="H87" s="27">
        <f ca="1" t="shared" si="1"/>
        <v>29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>
        <v>30</v>
      </c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>
        <v>1</v>
      </c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</row>
    <row r="88" s="58" customFormat="1" ht="22.5" hidden="1" customHeight="1" spans="1:54">
      <c r="A88" s="19"/>
      <c r="B88" s="24"/>
      <c r="C88" s="24" t="s">
        <v>14</v>
      </c>
      <c r="D88" s="24"/>
      <c r="E88" s="24">
        <v>0</v>
      </c>
      <c r="F88" s="74">
        <f ca="1">SUMIF(I$3:$BB87,"入库",I88:$BB88)</f>
        <v>120</v>
      </c>
      <c r="G88" s="24">
        <f ca="1">SUMIF(J$3:$BB87,"出库",J88:$BB88)</f>
        <v>0</v>
      </c>
      <c r="H88" s="27">
        <f ca="1" t="shared" si="1"/>
        <v>120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>
        <v>120</v>
      </c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</row>
    <row r="89" s="58" customFormat="1" ht="39" hidden="1" customHeight="1" spans="1:54">
      <c r="A89" s="72">
        <v>29</v>
      </c>
      <c r="B89" s="24" t="s">
        <v>42</v>
      </c>
      <c r="C89" s="73" t="s">
        <v>12</v>
      </c>
      <c r="D89" s="24"/>
      <c r="E89" s="24">
        <v>0</v>
      </c>
      <c r="F89" s="74">
        <f ca="1">SUMIF(I$3:$BB88,"入库",I89:$BB89)</f>
        <v>6300</v>
      </c>
      <c r="G89" s="24">
        <f ca="1">SUMIF(J$3:$BB88,"出库",J89:$BB89)</f>
        <v>2107</v>
      </c>
      <c r="H89" s="27">
        <f ca="1" t="shared" si="1"/>
        <v>4193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>
        <v>6300</v>
      </c>
      <c r="X89" s="24">
        <v>1905</v>
      </c>
      <c r="Y89" s="24"/>
      <c r="Z89" s="24"/>
      <c r="AA89" s="24"/>
      <c r="AB89" s="24">
        <v>200</v>
      </c>
      <c r="AC89" s="24"/>
      <c r="AD89" s="24"/>
      <c r="AE89" s="24"/>
      <c r="AF89" s="24"/>
      <c r="AG89" s="24"/>
      <c r="AH89" s="24"/>
      <c r="AI89" s="24"/>
      <c r="AJ89" s="24">
        <v>2</v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</row>
    <row r="90" s="58" customFormat="1" ht="22.5" hidden="1" customHeight="1" spans="1:54">
      <c r="A90" s="18"/>
      <c r="B90" s="24"/>
      <c r="C90" s="25" t="s">
        <v>13</v>
      </c>
      <c r="D90" s="24"/>
      <c r="E90" s="24">
        <v>0</v>
      </c>
      <c r="F90" s="74">
        <f ca="1">SUMIF(I$3:$BB89,"入库",I90:$BB90)</f>
        <v>0</v>
      </c>
      <c r="G90" s="24">
        <f ca="1">SUMIF(J$3:$BB89,"出库",J90:$BB90)</f>
        <v>0</v>
      </c>
      <c r="H90" s="27">
        <f ca="1" t="shared" si="1"/>
        <v>0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</row>
    <row r="91" s="58" customFormat="1" ht="22.5" hidden="1" customHeight="1" spans="1:54">
      <c r="A91" s="19"/>
      <c r="B91" s="24"/>
      <c r="C91" s="24" t="s">
        <v>14</v>
      </c>
      <c r="D91" s="24"/>
      <c r="E91" s="24">
        <v>0</v>
      </c>
      <c r="F91" s="74">
        <f ca="1">SUMIF(I$3:$BB90,"入库",I91:$BB91)</f>
        <v>20</v>
      </c>
      <c r="G91" s="24">
        <f ca="1">SUMIF(J$3:$BB90,"出库",J91:$BB91)</f>
        <v>0</v>
      </c>
      <c r="H91" s="27">
        <f ca="1" t="shared" si="1"/>
        <v>20</v>
      </c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>
        <v>20</v>
      </c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</row>
    <row r="92" s="58" customFormat="1" ht="39" hidden="1" customHeight="1" spans="1:54">
      <c r="A92" s="72">
        <v>30</v>
      </c>
      <c r="B92" s="24" t="s">
        <v>43</v>
      </c>
      <c r="C92" s="73" t="s">
        <v>12</v>
      </c>
      <c r="D92" s="24"/>
      <c r="E92" s="24">
        <v>0</v>
      </c>
      <c r="F92" s="74">
        <f ca="1">SUMIF(I$3:$BB91,"入库",I92:$BB92)</f>
        <v>2800</v>
      </c>
      <c r="G92" s="24">
        <f ca="1">SUMIF(J$3:$BB91,"出库",J92:$BB92)</f>
        <v>2400</v>
      </c>
      <c r="H92" s="27">
        <f ca="1" t="shared" si="1"/>
        <v>400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>
        <v>2800</v>
      </c>
      <c r="V92" s="24">
        <v>300</v>
      </c>
      <c r="W92" s="24"/>
      <c r="X92" s="24">
        <v>500</v>
      </c>
      <c r="Y92" s="24"/>
      <c r="Z92" s="24"/>
      <c r="AA92" s="24"/>
      <c r="AB92" s="24"/>
      <c r="AC92" s="24"/>
      <c r="AD92" s="24">
        <v>500</v>
      </c>
      <c r="AE92" s="24"/>
      <c r="AF92" s="24"/>
      <c r="AG92" s="24"/>
      <c r="AH92" s="24">
        <v>1100</v>
      </c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</row>
    <row r="93" s="58" customFormat="1" ht="22.5" hidden="1" customHeight="1" spans="1:54">
      <c r="A93" s="18"/>
      <c r="B93" s="24"/>
      <c r="C93" s="25" t="s">
        <v>13</v>
      </c>
      <c r="D93" s="24"/>
      <c r="E93" s="24">
        <v>0</v>
      </c>
      <c r="F93" s="74">
        <f ca="1">SUMIF(I$3:$BB92,"入库",I93:$BB93)</f>
        <v>40</v>
      </c>
      <c r="G93" s="24">
        <f ca="1">SUMIF(J$3:$BB92,"出库",J93:$BB93)</f>
        <v>0</v>
      </c>
      <c r="H93" s="27">
        <f ca="1" t="shared" si="1"/>
        <v>40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>
        <v>10</v>
      </c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>
        <v>30</v>
      </c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</row>
    <row r="94" s="58" customFormat="1" ht="22.5" hidden="1" customHeight="1" spans="1:54">
      <c r="A94" s="19"/>
      <c r="B94" s="24"/>
      <c r="C94" s="24" t="s">
        <v>14</v>
      </c>
      <c r="D94" s="24"/>
      <c r="E94" s="24">
        <v>0</v>
      </c>
      <c r="F94" s="74">
        <f ca="1">SUMIF(I$3:$BB93,"入库",I94:$BB94)</f>
        <v>0</v>
      </c>
      <c r="G94" s="24">
        <f ca="1">SUMIF(J$3:$BB93,"出库",J94:$BB94)</f>
        <v>0</v>
      </c>
      <c r="H94" s="27">
        <f ca="1" t="shared" si="1"/>
        <v>0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</row>
    <row r="95" s="58" customFormat="1" ht="39" hidden="1" customHeight="1" spans="1:54">
      <c r="A95" s="72">
        <v>31</v>
      </c>
      <c r="B95" s="24" t="s">
        <v>44</v>
      </c>
      <c r="C95" s="73" t="s">
        <v>12</v>
      </c>
      <c r="D95" s="24"/>
      <c r="E95" s="24">
        <v>0</v>
      </c>
      <c r="F95" s="74">
        <f ca="1">SUMIF(I$3:$BB94,"入库",I95:$BB95)</f>
        <v>8452</v>
      </c>
      <c r="G95" s="24">
        <f ca="1">SUMIF(J$3:$BB94,"出库",J95:$BB95)</f>
        <v>683</v>
      </c>
      <c r="H95" s="27">
        <f ca="1" t="shared" si="1"/>
        <v>7769</v>
      </c>
      <c r="I95" s="24"/>
      <c r="J95" s="24"/>
      <c r="K95" s="24"/>
      <c r="L95" s="24"/>
      <c r="M95" s="24">
        <v>8300</v>
      </c>
      <c r="N95" s="24"/>
      <c r="O95" s="24"/>
      <c r="P95" s="24">
        <v>240</v>
      </c>
      <c r="Q95" s="24"/>
      <c r="R95" s="24"/>
      <c r="S95" s="24"/>
      <c r="T95" s="24">
        <v>100</v>
      </c>
      <c r="U95" s="24"/>
      <c r="V95" s="24"/>
      <c r="W95" s="24"/>
      <c r="X95" s="24">
        <v>101</v>
      </c>
      <c r="Y95" s="24"/>
      <c r="Z95" s="24"/>
      <c r="AA95" s="24"/>
      <c r="AB95" s="24"/>
      <c r="AC95" s="24"/>
      <c r="AD95" s="24">
        <v>192</v>
      </c>
      <c r="AE95" s="24"/>
      <c r="AF95" s="24"/>
      <c r="AG95" s="24"/>
      <c r="AH95" s="24"/>
      <c r="AI95" s="24">
        <v>152</v>
      </c>
      <c r="AJ95" s="24">
        <v>50</v>
      </c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</row>
    <row r="96" s="58" customFormat="1" ht="22.5" hidden="1" customHeight="1" spans="1:54">
      <c r="A96" s="18"/>
      <c r="B96" s="24"/>
      <c r="C96" s="25" t="s">
        <v>13</v>
      </c>
      <c r="D96" s="24"/>
      <c r="E96" s="24">
        <v>0</v>
      </c>
      <c r="F96" s="74">
        <f ca="1">SUMIF(I$3:$BB95,"入库",I96:$BB96)</f>
        <v>0</v>
      </c>
      <c r="G96" s="24">
        <f ca="1">SUMIF(J$3:$BB95,"出库",J96:$BB96)</f>
        <v>0</v>
      </c>
      <c r="H96" s="27">
        <f ca="1" t="shared" ref="H96:H159" si="2">E96+F96-G96</f>
        <v>0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</row>
    <row r="97" s="58" customFormat="1" ht="22.5" hidden="1" customHeight="1" spans="1:54">
      <c r="A97" s="19"/>
      <c r="B97" s="24"/>
      <c r="C97" s="24" t="s">
        <v>14</v>
      </c>
      <c r="D97" s="24"/>
      <c r="E97" s="24">
        <v>0</v>
      </c>
      <c r="F97" s="74">
        <f ca="1">SUMIF(I$3:$BB96,"入库",I97:$BB97)</f>
        <v>80</v>
      </c>
      <c r="G97" s="24">
        <f ca="1">SUMIF(J$3:$BB96,"出库",J97:$BB97)</f>
        <v>0</v>
      </c>
      <c r="H97" s="27">
        <f ca="1" t="shared" si="2"/>
        <v>80</v>
      </c>
      <c r="I97" s="24"/>
      <c r="J97" s="24"/>
      <c r="K97" s="24"/>
      <c r="L97" s="24"/>
      <c r="M97" s="24">
        <v>80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</row>
    <row r="98" s="58" customFormat="1" ht="39" hidden="1" customHeight="1" spans="1:54">
      <c r="A98" s="72">
        <v>32</v>
      </c>
      <c r="B98" s="24" t="s">
        <v>45</v>
      </c>
      <c r="C98" s="73" t="s">
        <v>12</v>
      </c>
      <c r="D98" s="24"/>
      <c r="E98" s="24">
        <v>0</v>
      </c>
      <c r="F98" s="74">
        <f ca="1">SUMIF(I$3:$BB97,"入库",I98:$BB98)</f>
        <v>7600</v>
      </c>
      <c r="G98" s="24">
        <f ca="1">SUMIF(J$3:$BB97,"出库",J98:$BB98)</f>
        <v>296</v>
      </c>
      <c r="H98" s="27">
        <f ca="1" t="shared" si="2"/>
        <v>7304</v>
      </c>
      <c r="I98" s="24"/>
      <c r="J98" s="24"/>
      <c r="K98" s="24"/>
      <c r="L98" s="24"/>
      <c r="M98" s="24">
        <v>7600</v>
      </c>
      <c r="N98" s="24"/>
      <c r="O98" s="24"/>
      <c r="P98" s="24">
        <v>100</v>
      </c>
      <c r="Q98" s="24"/>
      <c r="R98" s="24"/>
      <c r="S98" s="24"/>
      <c r="T98" s="24"/>
      <c r="U98" s="24"/>
      <c r="V98" s="24">
        <v>96</v>
      </c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>
        <v>100</v>
      </c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</row>
    <row r="99" s="58" customFormat="1" ht="22.5" hidden="1" customHeight="1" spans="1:54">
      <c r="A99" s="18"/>
      <c r="B99" s="24"/>
      <c r="C99" s="25" t="s">
        <v>13</v>
      </c>
      <c r="D99" s="24"/>
      <c r="E99" s="24">
        <v>0</v>
      </c>
      <c r="F99" s="74">
        <f ca="1">SUMIF(I$3:$BB98,"入库",I99:$BB99)</f>
        <v>20</v>
      </c>
      <c r="G99" s="24">
        <f ca="1">SUMIF(J$3:$BB98,"出库",J99:$BB99)</f>
        <v>0</v>
      </c>
      <c r="H99" s="27">
        <f ca="1" t="shared" si="2"/>
        <v>20</v>
      </c>
      <c r="I99" s="24"/>
      <c r="J99" s="24"/>
      <c r="K99" s="24"/>
      <c r="L99" s="24"/>
      <c r="M99" s="24">
        <v>20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</row>
    <row r="100" s="58" customFormat="1" ht="22.5" hidden="1" customHeight="1" spans="1:54">
      <c r="A100" s="19"/>
      <c r="B100" s="24"/>
      <c r="C100" s="24" t="s">
        <v>14</v>
      </c>
      <c r="D100" s="24"/>
      <c r="E100" s="24">
        <v>0</v>
      </c>
      <c r="F100" s="74">
        <f ca="1">SUMIF(I$3:$BB99,"入库",I100:$BB100)</f>
        <v>100</v>
      </c>
      <c r="G100" s="24">
        <f ca="1">SUMIF(J$3:$BB99,"出库",J100:$BB100)</f>
        <v>0</v>
      </c>
      <c r="H100" s="27">
        <f ca="1" t="shared" si="2"/>
        <v>100</v>
      </c>
      <c r="I100" s="24"/>
      <c r="J100" s="24"/>
      <c r="K100" s="24"/>
      <c r="L100" s="24"/>
      <c r="M100" s="24">
        <v>100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</row>
    <row r="101" s="58" customFormat="1" ht="39" hidden="1" customHeight="1" spans="1:54">
      <c r="A101" s="72">
        <v>33</v>
      </c>
      <c r="B101" s="24" t="s">
        <v>46</v>
      </c>
      <c r="C101" s="73" t="s">
        <v>12</v>
      </c>
      <c r="D101" s="24"/>
      <c r="E101" s="24">
        <v>0</v>
      </c>
      <c r="F101" s="74">
        <f ca="1">SUMIF(I$3:$BB100,"入库",I101:$BB101)</f>
        <v>2000</v>
      </c>
      <c r="G101" s="24">
        <f ca="1">SUMIF(J$3:$BB100,"出库",J101:$BB101)</f>
        <v>391</v>
      </c>
      <c r="H101" s="27">
        <f ca="1" t="shared" si="2"/>
        <v>1609</v>
      </c>
      <c r="I101" s="24"/>
      <c r="J101" s="24"/>
      <c r="K101" s="24">
        <v>2000</v>
      </c>
      <c r="L101" s="24"/>
      <c r="M101" s="24"/>
      <c r="N101" s="24">
        <v>300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>
        <v>10</v>
      </c>
      <c r="Y101" s="24"/>
      <c r="Z101" s="24"/>
      <c r="AA101" s="24"/>
      <c r="AB101" s="24"/>
      <c r="AC101" s="24"/>
      <c r="AD101" s="24"/>
      <c r="AE101" s="24"/>
      <c r="AF101" s="24"/>
      <c r="AG101" s="24"/>
      <c r="AH101" s="24">
        <v>80</v>
      </c>
      <c r="AI101" s="24"/>
      <c r="AJ101" s="24">
        <v>1</v>
      </c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</row>
    <row r="102" s="58" customFormat="1" ht="22.5" hidden="1" customHeight="1" spans="1:54">
      <c r="A102" s="18"/>
      <c r="B102" s="24"/>
      <c r="C102" s="25" t="s">
        <v>13</v>
      </c>
      <c r="D102" s="24"/>
      <c r="E102" s="24">
        <v>0</v>
      </c>
      <c r="F102" s="74">
        <f ca="1">SUMIF(I$3:$BB101,"入库",I102:$BB102)</f>
        <v>250</v>
      </c>
      <c r="G102" s="24">
        <f ca="1">SUMIF(J$3:$BB101,"出库",J102:$BB102)</f>
        <v>0</v>
      </c>
      <c r="H102" s="27">
        <f ca="1" t="shared" si="2"/>
        <v>250</v>
      </c>
      <c r="I102" s="24"/>
      <c r="J102" s="24"/>
      <c r="K102" s="24">
        <v>250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</row>
    <row r="103" s="58" customFormat="1" ht="22.5" hidden="1" customHeight="1" spans="1:54">
      <c r="A103" s="19"/>
      <c r="B103" s="24"/>
      <c r="C103" s="24" t="s">
        <v>14</v>
      </c>
      <c r="D103" s="24"/>
      <c r="E103" s="24">
        <v>0</v>
      </c>
      <c r="F103" s="74">
        <f ca="1">SUMIF(I$3:$BB102,"入库",I103:$BB103)</f>
        <v>60</v>
      </c>
      <c r="G103" s="24">
        <f ca="1">SUMIF(J$3:$BB102,"出库",J103:$BB103)</f>
        <v>0</v>
      </c>
      <c r="H103" s="27">
        <f ca="1" t="shared" si="2"/>
        <v>60</v>
      </c>
      <c r="I103" s="24"/>
      <c r="J103" s="24"/>
      <c r="K103" s="24">
        <v>60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</row>
    <row r="104" s="58" customFormat="1" ht="39" hidden="1" customHeight="1" spans="1:54">
      <c r="A104" s="72">
        <v>34</v>
      </c>
      <c r="B104" s="24" t="s">
        <v>47</v>
      </c>
      <c r="C104" s="73" t="s">
        <v>12</v>
      </c>
      <c r="D104" s="24"/>
      <c r="E104" s="24">
        <v>0</v>
      </c>
      <c r="F104" s="74">
        <f ca="1">SUMIF(I$3:$BB103,"入库",I104:$BB104)</f>
        <v>1200</v>
      </c>
      <c r="G104" s="24">
        <f ca="1">SUMIF(J$3:$BB103,"出库",J104:$BB104)</f>
        <v>380</v>
      </c>
      <c r="H104" s="27">
        <f ca="1" t="shared" si="2"/>
        <v>820</v>
      </c>
      <c r="I104" s="24"/>
      <c r="J104" s="24"/>
      <c r="K104" s="24">
        <v>1200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>
        <v>330</v>
      </c>
      <c r="W104" s="24"/>
      <c r="X104" s="24"/>
      <c r="Y104" s="24"/>
      <c r="Z104" s="24">
        <v>50</v>
      </c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</row>
    <row r="105" s="58" customFormat="1" ht="22.5" hidden="1" customHeight="1" spans="1:54">
      <c r="A105" s="18"/>
      <c r="B105" s="24"/>
      <c r="C105" s="25" t="s">
        <v>13</v>
      </c>
      <c r="D105" s="24"/>
      <c r="E105" s="24">
        <v>0</v>
      </c>
      <c r="F105" s="74">
        <f ca="1">SUMIF(I$3:$BB104,"入库",I105:$BB105)</f>
        <v>0</v>
      </c>
      <c r="G105" s="24">
        <f ca="1">SUMIF(J$3:$BB104,"出库",J105:$BB105)</f>
        <v>0</v>
      </c>
      <c r="H105" s="27">
        <f ca="1" t="shared" si="2"/>
        <v>0</v>
      </c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</row>
    <row r="106" s="58" customFormat="1" ht="22.5" hidden="1" customHeight="1" spans="1:54">
      <c r="A106" s="19"/>
      <c r="B106" s="24"/>
      <c r="C106" s="24" t="s">
        <v>14</v>
      </c>
      <c r="D106" s="24"/>
      <c r="E106" s="24">
        <v>0</v>
      </c>
      <c r="F106" s="74">
        <f ca="1">SUMIF(I$3:$BB105,"入库",I106:$BB106)</f>
        <v>20</v>
      </c>
      <c r="G106" s="24">
        <f ca="1">SUMIF(J$3:$BB105,"出库",J106:$BB106)</f>
        <v>0</v>
      </c>
      <c r="H106" s="27">
        <f ca="1" t="shared" si="2"/>
        <v>20</v>
      </c>
      <c r="I106" s="24"/>
      <c r="J106" s="24"/>
      <c r="K106" s="24">
        <v>20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</row>
    <row r="107" s="58" customFormat="1" ht="22.5" hidden="1" customHeight="1" spans="1:54">
      <c r="A107" s="72">
        <v>35</v>
      </c>
      <c r="B107" s="24" t="s">
        <v>48</v>
      </c>
      <c r="C107" s="73" t="s">
        <v>12</v>
      </c>
      <c r="D107" s="24"/>
      <c r="E107" s="24">
        <v>0</v>
      </c>
      <c r="F107" s="74">
        <f ca="1">SUMIF(I$3:$BB106,"入库",I107:$BB107)</f>
        <v>260</v>
      </c>
      <c r="G107" s="24">
        <f ca="1">SUMIF(J$3:$BB106,"出库",J107:$BB107)</f>
        <v>0</v>
      </c>
      <c r="H107" s="27">
        <f ca="1" t="shared" si="2"/>
        <v>260</v>
      </c>
      <c r="I107" s="24"/>
      <c r="J107" s="24"/>
      <c r="K107" s="24">
        <v>260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</row>
    <row r="108" s="58" customFormat="1" ht="22.5" hidden="1" customHeight="1" spans="1:54">
      <c r="A108" s="18"/>
      <c r="B108" s="24"/>
      <c r="C108" s="25" t="s">
        <v>13</v>
      </c>
      <c r="D108" s="24"/>
      <c r="E108" s="24">
        <v>0</v>
      </c>
      <c r="F108" s="74">
        <f ca="1">SUMIF(I$3:$BB107,"入库",I108:$BB108)</f>
        <v>100</v>
      </c>
      <c r="G108" s="24">
        <f ca="1">SUMIF(J$3:$BB107,"出库",J108:$BB108)</f>
        <v>0</v>
      </c>
      <c r="H108" s="27">
        <f ca="1" t="shared" si="2"/>
        <v>100</v>
      </c>
      <c r="I108" s="24"/>
      <c r="J108" s="24"/>
      <c r="K108" s="24">
        <v>100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</row>
    <row r="109" s="58" customFormat="1" ht="22.5" hidden="1" customHeight="1" spans="1:54">
      <c r="A109" s="19"/>
      <c r="B109" s="24"/>
      <c r="C109" s="24" t="s">
        <v>14</v>
      </c>
      <c r="D109" s="24"/>
      <c r="E109" s="24">
        <v>0</v>
      </c>
      <c r="F109" s="74">
        <f ca="1">SUMIF(I$3:$BB108,"入库",I109:$BB109)</f>
        <v>130</v>
      </c>
      <c r="G109" s="24">
        <f ca="1">SUMIF(J$3:$BB108,"出库",J109:$BB109)</f>
        <v>0</v>
      </c>
      <c r="H109" s="27">
        <f ca="1" t="shared" si="2"/>
        <v>130</v>
      </c>
      <c r="I109" s="24"/>
      <c r="J109" s="24"/>
      <c r="K109" s="24">
        <v>130</v>
      </c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</row>
    <row r="110" s="58" customFormat="1" ht="22.5" hidden="1" customHeight="1" spans="1:54">
      <c r="A110" s="72">
        <v>36</v>
      </c>
      <c r="B110" s="24" t="s">
        <v>49</v>
      </c>
      <c r="C110" s="73" t="s">
        <v>12</v>
      </c>
      <c r="D110" s="24"/>
      <c r="E110" s="24">
        <v>0</v>
      </c>
      <c r="F110" s="74">
        <f ca="1">SUMIF(I$3:$BB109,"入库",I110:$BB110)</f>
        <v>160</v>
      </c>
      <c r="G110" s="24">
        <f ca="1">SUMIF(J$3:$BB109,"出库",J110:$BB110)</f>
        <v>160</v>
      </c>
      <c r="H110" s="27">
        <f ca="1" t="shared" si="2"/>
        <v>0</v>
      </c>
      <c r="I110" s="24">
        <v>160</v>
      </c>
      <c r="J110" s="24"/>
      <c r="K110" s="24"/>
      <c r="L110" s="24"/>
      <c r="M110" s="24"/>
      <c r="N110" s="24">
        <v>160</v>
      </c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</row>
    <row r="111" s="58" customFormat="1" ht="22.5" hidden="1" customHeight="1" spans="1:54">
      <c r="A111" s="18"/>
      <c r="B111" s="24"/>
      <c r="C111" s="25" t="s">
        <v>13</v>
      </c>
      <c r="D111" s="24"/>
      <c r="E111" s="24">
        <v>0</v>
      </c>
      <c r="F111" s="74">
        <f ca="1">SUMIF(I$3:$BB110,"入库",I111:$BB111)</f>
        <v>130</v>
      </c>
      <c r="G111" s="24">
        <f ca="1">SUMIF(J$3:$BB110,"出库",J111:$BB111)</f>
        <v>0</v>
      </c>
      <c r="H111" s="27">
        <f ca="1" t="shared" si="2"/>
        <v>130</v>
      </c>
      <c r="I111" s="24">
        <v>130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</row>
    <row r="112" s="58" customFormat="1" ht="22.5" hidden="1" customHeight="1" spans="1:54">
      <c r="A112" s="19"/>
      <c r="B112" s="24"/>
      <c r="C112" s="24" t="s">
        <v>14</v>
      </c>
      <c r="D112" s="24"/>
      <c r="E112" s="24">
        <v>0</v>
      </c>
      <c r="F112" s="74">
        <f ca="1">SUMIF(I$3:$BB111,"入库",I112:$BB112)</f>
        <v>20</v>
      </c>
      <c r="G112" s="24">
        <f ca="1">SUMIF(J$3:$BB111,"出库",J112:$BB112)</f>
        <v>0</v>
      </c>
      <c r="H112" s="27">
        <f ca="1" t="shared" si="2"/>
        <v>20</v>
      </c>
      <c r="I112" s="24">
        <v>20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</row>
    <row r="113" s="58" customFormat="1" ht="22.5" hidden="1" customHeight="1" spans="1:54">
      <c r="A113" s="72">
        <v>37</v>
      </c>
      <c r="B113" s="24" t="s">
        <v>50</v>
      </c>
      <c r="C113" s="73" t="s">
        <v>12</v>
      </c>
      <c r="D113" s="24"/>
      <c r="E113" s="24">
        <v>0</v>
      </c>
      <c r="F113" s="74">
        <f ca="1">SUMIF(I$3:$BB112,"入库",I113:$BB113)</f>
        <v>12500</v>
      </c>
      <c r="G113" s="24">
        <f ca="1">SUMIF(J$3:$BB112,"出库",J113:$BB113)</f>
        <v>2</v>
      </c>
      <c r="H113" s="27">
        <f ca="1" t="shared" si="2"/>
        <v>12498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>
        <v>12500</v>
      </c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>
        <v>2</v>
      </c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</row>
    <row r="114" s="58" customFormat="1" ht="22.5" hidden="1" customHeight="1" spans="1:54">
      <c r="A114" s="18"/>
      <c r="B114" s="24"/>
      <c r="C114" s="25" t="s">
        <v>13</v>
      </c>
      <c r="D114" s="24"/>
      <c r="E114" s="24">
        <v>0</v>
      </c>
      <c r="F114" s="74">
        <f ca="1">SUMIF(I$3:$BB113,"入库",I114:$BB114)</f>
        <v>3900</v>
      </c>
      <c r="G114" s="24">
        <f ca="1">SUMIF(J$3:$BB113,"出库",J114:$BB114)</f>
        <v>1</v>
      </c>
      <c r="H114" s="27">
        <f ca="1" t="shared" si="2"/>
        <v>3899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>
        <v>3900</v>
      </c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>
        <v>1</v>
      </c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</row>
    <row r="115" s="58" customFormat="1" ht="22.5" hidden="1" customHeight="1" spans="1:54">
      <c r="A115" s="19"/>
      <c r="B115" s="24"/>
      <c r="C115" s="24" t="s">
        <v>14</v>
      </c>
      <c r="D115" s="24"/>
      <c r="E115" s="24">
        <v>0</v>
      </c>
      <c r="F115" s="74">
        <f ca="1">SUMIF(I$3:$BB114,"入库",I115:$BB115)</f>
        <v>300</v>
      </c>
      <c r="G115" s="24">
        <f ca="1">SUMIF(J$3:$BB114,"出库",J115:$BB115)</f>
        <v>0</v>
      </c>
      <c r="H115" s="27">
        <f ca="1" t="shared" si="2"/>
        <v>300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>
        <v>300</v>
      </c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</row>
    <row r="116" s="58" customFormat="1" ht="39" hidden="1" customHeight="1" spans="1:54">
      <c r="A116" s="72">
        <v>38</v>
      </c>
      <c r="B116" s="24" t="s">
        <v>51</v>
      </c>
      <c r="C116" s="73" t="s">
        <v>12</v>
      </c>
      <c r="D116" s="24"/>
      <c r="E116" s="24">
        <v>0</v>
      </c>
      <c r="F116" s="74">
        <f ca="1">SUMIF(I$3:$BB115,"入库",I116:$BB116)</f>
        <v>7100</v>
      </c>
      <c r="G116" s="24">
        <f ca="1">SUMIF(J$3:$BB115,"出库",J116:$BB116)</f>
        <v>1401</v>
      </c>
      <c r="H116" s="27">
        <f ca="1" t="shared" si="2"/>
        <v>5699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>
        <v>1200</v>
      </c>
      <c r="X116" s="24"/>
      <c r="Y116" s="24"/>
      <c r="Z116" s="24">
        <v>1000</v>
      </c>
      <c r="AA116" s="24"/>
      <c r="AB116" s="24">
        <v>120</v>
      </c>
      <c r="AC116" s="24"/>
      <c r="AD116" s="24"/>
      <c r="AE116" s="24"/>
      <c r="AF116" s="24"/>
      <c r="AG116" s="24">
        <v>5900</v>
      </c>
      <c r="AH116" s="24">
        <v>80</v>
      </c>
      <c r="AI116" s="24"/>
      <c r="AJ116" s="24">
        <v>101</v>
      </c>
      <c r="AK116" s="24"/>
      <c r="AL116" s="24">
        <v>100</v>
      </c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</row>
    <row r="117" s="58" customFormat="1" ht="22.5" hidden="1" customHeight="1" spans="1:54">
      <c r="A117" s="18"/>
      <c r="B117" s="24"/>
      <c r="C117" s="25" t="s">
        <v>13</v>
      </c>
      <c r="D117" s="24"/>
      <c r="E117" s="24">
        <v>0</v>
      </c>
      <c r="F117" s="74">
        <f ca="1">SUMIF(I$3:$BB116,"入库",I117:$BB117)</f>
        <v>15</v>
      </c>
      <c r="G117" s="24">
        <f ca="1">SUMIF(J$3:$BB116,"出库",J117:$BB117)</f>
        <v>0</v>
      </c>
      <c r="H117" s="27">
        <f ca="1" t="shared" si="2"/>
        <v>15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>
        <v>15</v>
      </c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</row>
    <row r="118" s="58" customFormat="1" ht="22.5" hidden="1" customHeight="1" spans="1:54">
      <c r="A118" s="19"/>
      <c r="B118" s="24"/>
      <c r="C118" s="24" t="s">
        <v>14</v>
      </c>
      <c r="D118" s="24"/>
      <c r="E118" s="24">
        <v>0</v>
      </c>
      <c r="F118" s="74">
        <f ca="1">SUMIF(I$3:$BB117,"入库",I118:$BB118)</f>
        <v>20</v>
      </c>
      <c r="G118" s="24">
        <f ca="1">SUMIF(J$3:$BB117,"出库",J118:$BB118)</f>
        <v>0</v>
      </c>
      <c r="H118" s="27">
        <f ca="1" t="shared" si="2"/>
        <v>20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>
        <v>20</v>
      </c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</row>
    <row r="119" s="58" customFormat="1" ht="39" hidden="1" customHeight="1" spans="1:54">
      <c r="A119" s="72">
        <v>39</v>
      </c>
      <c r="B119" s="24" t="s">
        <v>52</v>
      </c>
      <c r="C119" s="73" t="s">
        <v>12</v>
      </c>
      <c r="D119" s="24"/>
      <c r="E119" s="24">
        <v>0</v>
      </c>
      <c r="F119" s="74">
        <f ca="1">SUMIF(I$3:$BB118,"入库",I119:$BB119)</f>
        <v>4420</v>
      </c>
      <c r="G119" s="24">
        <f ca="1">SUMIF(J$3:$BB118,"出库",J119:$BB119)</f>
        <v>200</v>
      </c>
      <c r="H119" s="27">
        <f ca="1" t="shared" si="2"/>
        <v>4220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>
        <v>4400</v>
      </c>
      <c r="V119" s="24"/>
      <c r="W119" s="24"/>
      <c r="X119" s="24"/>
      <c r="Y119" s="24">
        <v>20</v>
      </c>
      <c r="Z119" s="24"/>
      <c r="AA119" s="24"/>
      <c r="AB119" s="24">
        <v>200</v>
      </c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</row>
    <row r="120" s="58" customFormat="1" ht="22.5" hidden="1" customHeight="1" spans="1:54">
      <c r="A120" s="18"/>
      <c r="B120" s="24"/>
      <c r="C120" s="25" t="s">
        <v>13</v>
      </c>
      <c r="D120" s="24"/>
      <c r="E120" s="24">
        <v>0</v>
      </c>
      <c r="F120" s="74">
        <f ca="1">SUMIF(I$3:$BB119,"入库",I120:$BB120)</f>
        <v>10</v>
      </c>
      <c r="G120" s="24">
        <f ca="1">SUMIF(J$3:$BB119,"出库",J120:$BB120)</f>
        <v>0</v>
      </c>
      <c r="H120" s="27">
        <f ca="1" t="shared" si="2"/>
        <v>10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>
        <v>10</v>
      </c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</row>
    <row r="121" s="58" customFormat="1" ht="22.5" hidden="1" customHeight="1" spans="1:54">
      <c r="A121" s="19"/>
      <c r="B121" s="24"/>
      <c r="C121" s="24" t="s">
        <v>14</v>
      </c>
      <c r="D121" s="24"/>
      <c r="E121" s="24">
        <v>0</v>
      </c>
      <c r="F121" s="74">
        <f ca="1">SUMIF(I$3:$BB120,"入库",I121:$BB121)</f>
        <v>40</v>
      </c>
      <c r="G121" s="24">
        <f ca="1">SUMIF(J$3:$BB120,"出库",J121:$BB121)</f>
        <v>0</v>
      </c>
      <c r="H121" s="27">
        <f ca="1" t="shared" si="2"/>
        <v>40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>
        <v>40</v>
      </c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</row>
    <row r="122" s="58" customFormat="1" ht="39" hidden="1" customHeight="1" spans="1:54">
      <c r="A122" s="72">
        <v>40</v>
      </c>
      <c r="B122" s="24" t="s">
        <v>53</v>
      </c>
      <c r="C122" s="73" t="s">
        <v>12</v>
      </c>
      <c r="D122" s="24"/>
      <c r="E122" s="24">
        <v>0</v>
      </c>
      <c r="F122" s="74">
        <f ca="1">SUMIF(I$3:$BB121,"入库",I122:$BB122)</f>
        <v>5300</v>
      </c>
      <c r="G122" s="24">
        <f ca="1">SUMIF(J$3:$BB121,"出库",J122:$BB122)</f>
        <v>1515</v>
      </c>
      <c r="H122" s="27">
        <f ca="1" t="shared" si="2"/>
        <v>3785</v>
      </c>
      <c r="I122" s="24"/>
      <c r="J122" s="24"/>
      <c r="K122" s="24"/>
      <c r="L122" s="24"/>
      <c r="M122" s="24">
        <v>4800</v>
      </c>
      <c r="N122" s="24"/>
      <c r="O122" s="24"/>
      <c r="P122" s="24">
        <v>15</v>
      </c>
      <c r="Q122" s="24"/>
      <c r="R122" s="24"/>
      <c r="S122" s="24"/>
      <c r="T122" s="24">
        <v>1000</v>
      </c>
      <c r="U122" s="24"/>
      <c r="V122" s="24"/>
      <c r="W122" s="24"/>
      <c r="X122" s="24">
        <v>500</v>
      </c>
      <c r="Y122" s="24"/>
      <c r="Z122" s="24"/>
      <c r="AA122" s="24"/>
      <c r="AB122" s="24"/>
      <c r="AC122" s="24">
        <v>500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</row>
    <row r="123" s="58" customFormat="1" ht="22.5" hidden="1" customHeight="1" spans="1:54">
      <c r="A123" s="18"/>
      <c r="B123" s="24"/>
      <c r="C123" s="25" t="s">
        <v>13</v>
      </c>
      <c r="D123" s="24"/>
      <c r="E123" s="24">
        <v>0</v>
      </c>
      <c r="F123" s="74">
        <f ca="1">SUMIF(I$3:$BB122,"入库",I123:$BB123)</f>
        <v>10</v>
      </c>
      <c r="G123" s="24">
        <f ca="1">SUMIF(J$3:$BB122,"出库",J123:$BB123)</f>
        <v>0</v>
      </c>
      <c r="H123" s="27">
        <f ca="1" t="shared" si="2"/>
        <v>10</v>
      </c>
      <c r="I123" s="24"/>
      <c r="J123" s="24"/>
      <c r="K123" s="24"/>
      <c r="L123" s="24"/>
      <c r="M123" s="24">
        <v>10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</row>
    <row r="124" s="58" customFormat="1" ht="22.5" hidden="1" customHeight="1" spans="1:54">
      <c r="A124" s="19"/>
      <c r="B124" s="24"/>
      <c r="C124" s="24" t="s">
        <v>14</v>
      </c>
      <c r="D124" s="24"/>
      <c r="E124" s="24">
        <v>0</v>
      </c>
      <c r="F124" s="74">
        <f ca="1">SUMIF(I$3:$BB123,"入库",I124:$BB124)</f>
        <v>20</v>
      </c>
      <c r="G124" s="24">
        <f ca="1">SUMIF(J$3:$BB123,"出库",J124:$BB124)</f>
        <v>0</v>
      </c>
      <c r="H124" s="27">
        <f ca="1" t="shared" si="2"/>
        <v>20</v>
      </c>
      <c r="I124" s="24"/>
      <c r="J124" s="24"/>
      <c r="K124" s="24"/>
      <c r="L124" s="24"/>
      <c r="M124" s="24">
        <v>20</v>
      </c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</row>
    <row r="125" s="58" customFormat="1" ht="39" hidden="1" customHeight="1" spans="1:54">
      <c r="A125" s="72">
        <v>41</v>
      </c>
      <c r="B125" s="24" t="s">
        <v>54</v>
      </c>
      <c r="C125" s="73" t="s">
        <v>12</v>
      </c>
      <c r="D125" s="24"/>
      <c r="E125" s="24">
        <v>0</v>
      </c>
      <c r="F125" s="74">
        <f ca="1">SUMIF(I$3:$BB124,"入库",I125:$BB125)</f>
        <v>3600</v>
      </c>
      <c r="G125" s="24">
        <f ca="1">SUMIF(J$3:$BB124,"出库",J125:$BB125)</f>
        <v>245</v>
      </c>
      <c r="H125" s="27">
        <f ca="1" t="shared" si="2"/>
        <v>3355</v>
      </c>
      <c r="I125" s="24"/>
      <c r="J125" s="24"/>
      <c r="K125" s="24"/>
      <c r="L125" s="24"/>
      <c r="M125" s="24">
        <v>3600</v>
      </c>
      <c r="N125" s="24"/>
      <c r="O125" s="24"/>
      <c r="P125" s="24">
        <v>110</v>
      </c>
      <c r="Q125" s="24"/>
      <c r="R125" s="24"/>
      <c r="S125" s="24"/>
      <c r="T125" s="24"/>
      <c r="U125" s="24"/>
      <c r="V125" s="24">
        <v>135</v>
      </c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</row>
    <row r="126" s="58" customFormat="1" ht="22.5" hidden="1" customHeight="1" spans="1:54">
      <c r="A126" s="18"/>
      <c r="B126" s="24"/>
      <c r="C126" s="25" t="s">
        <v>13</v>
      </c>
      <c r="D126" s="24"/>
      <c r="E126" s="24">
        <v>0</v>
      </c>
      <c r="F126" s="74">
        <f ca="1">SUMIF(I$3:$BB125,"入库",I126:$BB126)</f>
        <v>100</v>
      </c>
      <c r="G126" s="24">
        <f ca="1">SUMIF(J$3:$BB125,"出库",J126:$BB126)</f>
        <v>0</v>
      </c>
      <c r="H126" s="27">
        <f ca="1" t="shared" si="2"/>
        <v>100</v>
      </c>
      <c r="I126" s="24"/>
      <c r="J126" s="24"/>
      <c r="K126" s="24"/>
      <c r="L126" s="24"/>
      <c r="M126" s="24">
        <v>100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</row>
    <row r="127" s="58" customFormat="1" ht="22.5" hidden="1" customHeight="1" spans="1:54">
      <c r="A127" s="19"/>
      <c r="B127" s="24"/>
      <c r="C127" s="24" t="s">
        <v>14</v>
      </c>
      <c r="D127" s="24"/>
      <c r="E127" s="24">
        <v>0</v>
      </c>
      <c r="F127" s="74">
        <f ca="1">SUMIF(I$3:$BB126,"入库",I127:$BB127)</f>
        <v>50</v>
      </c>
      <c r="G127" s="24">
        <f ca="1">SUMIF(J$3:$BB126,"出库",J127:$BB127)</f>
        <v>0</v>
      </c>
      <c r="H127" s="27">
        <f ca="1" t="shared" si="2"/>
        <v>50</v>
      </c>
      <c r="I127" s="24"/>
      <c r="J127" s="24"/>
      <c r="K127" s="24"/>
      <c r="L127" s="24"/>
      <c r="M127" s="24">
        <v>50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</row>
    <row r="128" s="58" customFormat="1" ht="39" hidden="1" customHeight="1" spans="1:54">
      <c r="A128" s="72">
        <v>42</v>
      </c>
      <c r="B128" s="24" t="s">
        <v>55</v>
      </c>
      <c r="C128" s="73" t="s">
        <v>12</v>
      </c>
      <c r="D128" s="24"/>
      <c r="E128" s="24">
        <v>0</v>
      </c>
      <c r="F128" s="74">
        <f ca="1">SUMIF(I$3:$BB127,"入库",I128:$BB128)</f>
        <v>1900</v>
      </c>
      <c r="G128" s="24">
        <f ca="1">SUMIF(J$3:$BB127,"出库",J128:$BB128)</f>
        <v>370</v>
      </c>
      <c r="H128" s="27">
        <f ca="1" t="shared" si="2"/>
        <v>1530</v>
      </c>
      <c r="I128" s="24"/>
      <c r="J128" s="24"/>
      <c r="K128" s="24">
        <v>1900</v>
      </c>
      <c r="L128" s="24"/>
      <c r="M128" s="24"/>
      <c r="N128" s="24"/>
      <c r="O128" s="24"/>
      <c r="P128" s="24"/>
      <c r="Q128" s="24"/>
      <c r="R128" s="24"/>
      <c r="S128" s="24"/>
      <c r="T128" s="24">
        <v>300</v>
      </c>
      <c r="U128" s="24"/>
      <c r="V128" s="24"/>
      <c r="W128" s="24"/>
      <c r="X128" s="24"/>
      <c r="Y128" s="24"/>
      <c r="Z128" s="24"/>
      <c r="AA128" s="24"/>
      <c r="AB128" s="24">
        <v>40</v>
      </c>
      <c r="AC128" s="24"/>
      <c r="AD128" s="24"/>
      <c r="AE128" s="24"/>
      <c r="AF128" s="24"/>
      <c r="AG128" s="24"/>
      <c r="AH128" s="24">
        <v>30</v>
      </c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</row>
    <row r="129" s="58" customFormat="1" ht="22.5" hidden="1" customHeight="1" spans="1:54">
      <c r="A129" s="18"/>
      <c r="B129" s="24"/>
      <c r="C129" s="25" t="s">
        <v>13</v>
      </c>
      <c r="D129" s="24"/>
      <c r="E129" s="24">
        <v>0</v>
      </c>
      <c r="F129" s="74">
        <f ca="1">SUMIF(I$3:$BB128,"入库",I129:$BB129)</f>
        <v>150</v>
      </c>
      <c r="G129" s="24">
        <f ca="1">SUMIF(J$3:$BB128,"出库",J129:$BB129)</f>
        <v>50</v>
      </c>
      <c r="H129" s="27">
        <f ca="1" t="shared" si="2"/>
        <v>100</v>
      </c>
      <c r="I129" s="24"/>
      <c r="J129" s="24"/>
      <c r="K129" s="24">
        <v>150</v>
      </c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>
        <v>50</v>
      </c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</row>
    <row r="130" s="58" customFormat="1" ht="22.5" hidden="1" customHeight="1" spans="1:54">
      <c r="A130" s="19"/>
      <c r="B130" s="24"/>
      <c r="C130" s="24" t="s">
        <v>14</v>
      </c>
      <c r="D130" s="24"/>
      <c r="E130" s="24">
        <v>0</v>
      </c>
      <c r="F130" s="74">
        <f ca="1">SUMIF(I$3:$BB129,"入库",I130:$BB130)</f>
        <v>50</v>
      </c>
      <c r="G130" s="24">
        <f ca="1">SUMIF(J$3:$BB129,"出库",J130:$BB130)</f>
        <v>0</v>
      </c>
      <c r="H130" s="27">
        <f ca="1" t="shared" si="2"/>
        <v>50</v>
      </c>
      <c r="I130" s="24"/>
      <c r="J130" s="24"/>
      <c r="K130" s="24">
        <v>50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</row>
    <row r="131" s="58" customFormat="1" ht="39" hidden="1" customHeight="1" spans="1:54">
      <c r="A131" s="72">
        <v>43</v>
      </c>
      <c r="B131" s="24" t="s">
        <v>56</v>
      </c>
      <c r="C131" s="73" t="s">
        <v>12</v>
      </c>
      <c r="D131" s="24"/>
      <c r="E131" s="24">
        <v>0</v>
      </c>
      <c r="F131" s="74">
        <f ca="1">SUMIF(I$3:$BB130,"入库",I131:$BB131)</f>
        <v>3300</v>
      </c>
      <c r="G131" s="24">
        <f ca="1">SUMIF(J$3:$BB130,"出库",J131:$BB131)</f>
        <v>0</v>
      </c>
      <c r="H131" s="27">
        <f ca="1" t="shared" si="2"/>
        <v>3300</v>
      </c>
      <c r="I131" s="24"/>
      <c r="J131" s="24"/>
      <c r="K131" s="24">
        <v>3300</v>
      </c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</row>
    <row r="132" s="58" customFormat="1" ht="22.5" hidden="1" customHeight="1" spans="1:54">
      <c r="A132" s="18"/>
      <c r="B132" s="24"/>
      <c r="C132" s="25" t="s">
        <v>13</v>
      </c>
      <c r="D132" s="24"/>
      <c r="E132" s="24">
        <v>0</v>
      </c>
      <c r="F132" s="74">
        <f ca="1">SUMIF(I$3:$BB131,"入库",I132:$BB132)</f>
        <v>250</v>
      </c>
      <c r="G132" s="24">
        <f ca="1">SUMIF(J$3:$BB131,"出库",J132:$BB132)</f>
        <v>0</v>
      </c>
      <c r="H132" s="27">
        <f ca="1" t="shared" si="2"/>
        <v>250</v>
      </c>
      <c r="I132" s="24"/>
      <c r="J132" s="24"/>
      <c r="K132" s="24">
        <v>250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</row>
    <row r="133" s="58" customFormat="1" ht="22.5" hidden="1" customHeight="1" spans="1:54">
      <c r="A133" s="19"/>
      <c r="B133" s="24"/>
      <c r="C133" s="24" t="s">
        <v>14</v>
      </c>
      <c r="D133" s="24"/>
      <c r="E133" s="24">
        <v>0</v>
      </c>
      <c r="F133" s="74">
        <f ca="1">SUMIF(I$3:$BB132,"入库",I133:$BB133)</f>
        <v>0</v>
      </c>
      <c r="G133" s="24">
        <f ca="1">SUMIF(J$3:$BB132,"出库",J133:$BB133)</f>
        <v>0</v>
      </c>
      <c r="H133" s="27">
        <f ca="1" t="shared" si="2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</row>
    <row r="134" s="58" customFormat="1" ht="22.5" hidden="1" customHeight="1" spans="1:54">
      <c r="A134" s="72">
        <v>44</v>
      </c>
      <c r="B134" s="24" t="s">
        <v>57</v>
      </c>
      <c r="C134" s="73" t="s">
        <v>12</v>
      </c>
      <c r="D134" s="24"/>
      <c r="E134" s="24">
        <v>0</v>
      </c>
      <c r="F134" s="74">
        <f ca="1">SUMIF(I$3:$BB133,"入库",I134:$BB134)</f>
        <v>150</v>
      </c>
      <c r="G134" s="24">
        <f ca="1">SUMIF(J$3:$BB133,"出库",J134:$BB134)</f>
        <v>20</v>
      </c>
      <c r="H134" s="27">
        <f ca="1" t="shared" si="2"/>
        <v>130</v>
      </c>
      <c r="I134" s="24"/>
      <c r="J134" s="24"/>
      <c r="K134" s="24">
        <v>50</v>
      </c>
      <c r="L134" s="24"/>
      <c r="M134" s="24"/>
      <c r="N134" s="24"/>
      <c r="O134" s="24"/>
      <c r="P134" s="24"/>
      <c r="Q134" s="24"/>
      <c r="R134" s="24"/>
      <c r="S134" s="24"/>
      <c r="T134" s="24">
        <v>20</v>
      </c>
      <c r="U134" s="24"/>
      <c r="V134" s="24"/>
      <c r="W134" s="24"/>
      <c r="X134" s="24"/>
      <c r="Y134" s="24">
        <v>100</v>
      </c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</row>
    <row r="135" s="58" customFormat="1" ht="22.5" hidden="1" customHeight="1" spans="1:54">
      <c r="A135" s="18"/>
      <c r="B135" s="24"/>
      <c r="C135" s="25" t="s">
        <v>13</v>
      </c>
      <c r="D135" s="24"/>
      <c r="E135" s="24">
        <v>0</v>
      </c>
      <c r="F135" s="74">
        <f ca="1">SUMIF(I$3:$BB134,"入库",I135:$BB135)</f>
        <v>140</v>
      </c>
      <c r="G135" s="24">
        <f ca="1">SUMIF(J$3:$BB134,"出库",J135:$BB135)</f>
        <v>0</v>
      </c>
      <c r="H135" s="27">
        <f ca="1" t="shared" si="2"/>
        <v>140</v>
      </c>
      <c r="I135" s="24"/>
      <c r="J135" s="24"/>
      <c r="K135" s="24">
        <v>140</v>
      </c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</row>
    <row r="136" s="58" customFormat="1" ht="22.5" hidden="1" customHeight="1" spans="1:54">
      <c r="A136" s="19"/>
      <c r="B136" s="24"/>
      <c r="C136" s="24" t="s">
        <v>14</v>
      </c>
      <c r="D136" s="24"/>
      <c r="E136" s="24">
        <v>0</v>
      </c>
      <c r="F136" s="74">
        <f ca="1">SUMIF(I$3:$BB135,"入库",I136:$BB136)</f>
        <v>130</v>
      </c>
      <c r="G136" s="24">
        <f ca="1">SUMIF(J$3:$BB135,"出库",J136:$BB136)</f>
        <v>0</v>
      </c>
      <c r="H136" s="27">
        <f ca="1" t="shared" si="2"/>
        <v>130</v>
      </c>
      <c r="I136" s="24"/>
      <c r="J136" s="24"/>
      <c r="K136" s="24">
        <v>130</v>
      </c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</row>
    <row r="137" s="58" customFormat="1" ht="39" hidden="1" customHeight="1" spans="1:54">
      <c r="A137" s="72">
        <v>45</v>
      </c>
      <c r="B137" s="24" t="s">
        <v>58</v>
      </c>
      <c r="C137" s="73" t="s">
        <v>12</v>
      </c>
      <c r="D137" s="24"/>
      <c r="E137" s="24">
        <v>0</v>
      </c>
      <c r="F137" s="74">
        <f ca="1">SUMIF(I$3:$BB136,"入库",I137:$BB137)</f>
        <v>1800</v>
      </c>
      <c r="G137" s="24">
        <f ca="1">SUMIF(J$3:$BB136,"出库",J137:$BB137)</f>
        <v>110</v>
      </c>
      <c r="H137" s="27">
        <f ca="1" t="shared" si="2"/>
        <v>1690</v>
      </c>
      <c r="I137" s="24">
        <v>1800</v>
      </c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>
        <v>100</v>
      </c>
      <c r="AI137" s="24"/>
      <c r="AJ137" s="24">
        <v>10</v>
      </c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</row>
    <row r="138" s="58" customFormat="1" ht="22.5" hidden="1" customHeight="1" spans="1:54">
      <c r="A138" s="18"/>
      <c r="B138" s="24"/>
      <c r="C138" s="25" t="s">
        <v>13</v>
      </c>
      <c r="D138" s="24"/>
      <c r="E138" s="24">
        <v>0</v>
      </c>
      <c r="F138" s="74">
        <f ca="1">SUMIF(I$3:$BB137,"入库",I138:$BB138)</f>
        <v>200</v>
      </c>
      <c r="G138" s="24">
        <f ca="1">SUMIF(J$3:$BB137,"出库",J138:$BB138)</f>
        <v>0</v>
      </c>
      <c r="H138" s="27">
        <f ca="1" t="shared" si="2"/>
        <v>200</v>
      </c>
      <c r="I138" s="24">
        <v>200</v>
      </c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</row>
    <row r="139" s="58" customFormat="1" ht="22.5" hidden="1" customHeight="1" spans="1:54">
      <c r="A139" s="19"/>
      <c r="B139" s="24"/>
      <c r="C139" s="24" t="s">
        <v>14</v>
      </c>
      <c r="D139" s="24"/>
      <c r="E139" s="24">
        <v>0</v>
      </c>
      <c r="F139" s="74">
        <f ca="1">SUMIF(I$3:$BB138,"入库",I139:$BB139)</f>
        <v>300</v>
      </c>
      <c r="G139" s="24">
        <f ca="1">SUMIF(J$3:$BB138,"出库",J139:$BB139)</f>
        <v>0</v>
      </c>
      <c r="H139" s="27">
        <f ca="1" t="shared" si="2"/>
        <v>300</v>
      </c>
      <c r="I139" s="24">
        <v>300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</row>
    <row r="140" s="58" customFormat="1" ht="22.5" hidden="1" customHeight="1" spans="1:54">
      <c r="A140" s="72">
        <v>46</v>
      </c>
      <c r="B140" s="24" t="s">
        <v>59</v>
      </c>
      <c r="C140" s="73" t="s">
        <v>12</v>
      </c>
      <c r="D140" s="24"/>
      <c r="E140" s="24">
        <v>0</v>
      </c>
      <c r="F140" s="74">
        <f ca="1">SUMIF(I$3:$BB139,"入库",I140:$BB140)</f>
        <v>6100</v>
      </c>
      <c r="G140" s="24">
        <f ca="1">SUMIF(J$3:$BB139,"出库",J140:$BB140)</f>
        <v>300</v>
      </c>
      <c r="H140" s="27">
        <f ca="1" t="shared" si="2"/>
        <v>5800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>
        <v>6100</v>
      </c>
      <c r="X140" s="24"/>
      <c r="Y140" s="24"/>
      <c r="Z140" s="24"/>
      <c r="AA140" s="24"/>
      <c r="AB140" s="24">
        <v>300</v>
      </c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</row>
    <row r="141" s="58" customFormat="1" ht="22.5" hidden="1" customHeight="1" spans="1:54">
      <c r="A141" s="18"/>
      <c r="B141" s="24"/>
      <c r="C141" s="25" t="s">
        <v>13</v>
      </c>
      <c r="D141" s="24"/>
      <c r="E141" s="24">
        <v>0</v>
      </c>
      <c r="F141" s="74">
        <f ca="1">SUMIF(I$3:$BB140,"入库",I141:$BB141)</f>
        <v>50</v>
      </c>
      <c r="G141" s="24">
        <f ca="1">SUMIF(J$3:$BB140,"出库",J141:$BB141)</f>
        <v>0</v>
      </c>
      <c r="H141" s="27">
        <f ca="1" t="shared" si="2"/>
        <v>50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>
        <v>50</v>
      </c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</row>
    <row r="142" s="58" customFormat="1" ht="22.5" hidden="1" customHeight="1" spans="1:54">
      <c r="A142" s="19"/>
      <c r="B142" s="24"/>
      <c r="C142" s="24" t="s">
        <v>14</v>
      </c>
      <c r="D142" s="24"/>
      <c r="E142" s="24">
        <v>0</v>
      </c>
      <c r="F142" s="74">
        <f ca="1">SUMIF(I$3:$BB141,"入库",I142:$BB142)</f>
        <v>30</v>
      </c>
      <c r="G142" s="24">
        <f ca="1">SUMIF(J$3:$BB141,"出库",J142:$BB142)</f>
        <v>0</v>
      </c>
      <c r="H142" s="27">
        <f ca="1" t="shared" si="2"/>
        <v>30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>
        <v>30</v>
      </c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</row>
    <row r="143" s="58" customFormat="1" ht="39" hidden="1" customHeight="1" spans="1:54">
      <c r="A143" s="72">
        <v>47</v>
      </c>
      <c r="B143" s="24" t="s">
        <v>60</v>
      </c>
      <c r="C143" s="73" t="s">
        <v>12</v>
      </c>
      <c r="D143" s="24"/>
      <c r="E143" s="24">
        <v>0</v>
      </c>
      <c r="F143" s="74">
        <f ca="1">SUMIF(I$3:$BB142,"入库",I143:$BB143)</f>
        <v>3100</v>
      </c>
      <c r="G143" s="24">
        <f ca="1">SUMIF(J$3:$BB142,"出库",J143:$BB143)</f>
        <v>1750</v>
      </c>
      <c r="H143" s="27">
        <f ca="1" t="shared" si="2"/>
        <v>1350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>
        <v>3100</v>
      </c>
      <c r="X143" s="24">
        <v>1000</v>
      </c>
      <c r="Y143" s="24"/>
      <c r="Z143" s="24">
        <v>550</v>
      </c>
      <c r="AA143" s="24"/>
      <c r="AB143" s="24">
        <v>200</v>
      </c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</row>
    <row r="144" s="58" customFormat="1" ht="22.5" hidden="1" customHeight="1" spans="1:54">
      <c r="A144" s="18"/>
      <c r="B144" s="24"/>
      <c r="C144" s="25" t="s">
        <v>13</v>
      </c>
      <c r="D144" s="24"/>
      <c r="E144" s="24">
        <v>0</v>
      </c>
      <c r="F144" s="74">
        <f ca="1">SUMIF(I$3:$BB143,"入库",I144:$BB144)</f>
        <v>0</v>
      </c>
      <c r="G144" s="24">
        <f ca="1">SUMIF(J$3:$BB143,"出库",J144:$BB144)</f>
        <v>0</v>
      </c>
      <c r="H144" s="27">
        <f ca="1" t="shared" si="2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</row>
    <row r="145" s="58" customFormat="1" ht="22.5" hidden="1" customHeight="1" spans="1:54">
      <c r="A145" s="19"/>
      <c r="B145" s="24"/>
      <c r="C145" s="24" t="s">
        <v>14</v>
      </c>
      <c r="D145" s="24"/>
      <c r="E145" s="24">
        <v>0</v>
      </c>
      <c r="F145" s="74">
        <f ca="1">SUMIF(I$3:$BB144,"入库",I145:$BB145)</f>
        <v>400</v>
      </c>
      <c r="G145" s="24">
        <f ca="1">SUMIF(J$3:$BB144,"出库",J145:$BB145)</f>
        <v>30</v>
      </c>
      <c r="H145" s="27">
        <f ca="1" t="shared" si="2"/>
        <v>370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>
        <v>400</v>
      </c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>
        <v>30</v>
      </c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</row>
    <row r="146" s="58" customFormat="1" ht="22.5" hidden="1" customHeight="1" spans="1:54">
      <c r="A146" s="72">
        <v>48</v>
      </c>
      <c r="B146" s="24" t="s">
        <v>61</v>
      </c>
      <c r="C146" s="73" t="s">
        <v>12</v>
      </c>
      <c r="D146" s="24"/>
      <c r="E146" s="24">
        <v>0</v>
      </c>
      <c r="F146" s="74">
        <f ca="1">SUMIF(I$3:$BB145,"入库",I146:$BB146)</f>
        <v>40</v>
      </c>
      <c r="G146" s="24">
        <f ca="1">SUMIF(J$3:$BB145,"出库",J146:$BB146)</f>
        <v>20</v>
      </c>
      <c r="H146" s="27">
        <f ca="1" t="shared" si="2"/>
        <v>20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>
        <v>40</v>
      </c>
      <c r="V146" s="24"/>
      <c r="W146" s="24"/>
      <c r="X146" s="24"/>
      <c r="Y146" s="24"/>
      <c r="Z146" s="24"/>
      <c r="AA146" s="24"/>
      <c r="AB146" s="24">
        <v>20</v>
      </c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</row>
    <row r="147" s="58" customFormat="1" ht="22.5" hidden="1" customHeight="1" spans="1:54">
      <c r="A147" s="18"/>
      <c r="B147" s="24"/>
      <c r="C147" s="25" t="s">
        <v>13</v>
      </c>
      <c r="D147" s="24"/>
      <c r="E147" s="24">
        <v>0</v>
      </c>
      <c r="F147" s="74">
        <f ca="1">SUMIF(I$3:$BB146,"入库",I147:$BB147)</f>
        <v>420</v>
      </c>
      <c r="G147" s="24">
        <f ca="1">SUMIF(J$3:$BB146,"出库",J147:$BB147)</f>
        <v>50</v>
      </c>
      <c r="H147" s="27">
        <f ca="1" t="shared" si="2"/>
        <v>370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>
        <v>420</v>
      </c>
      <c r="V147" s="24"/>
      <c r="W147" s="24"/>
      <c r="X147" s="24"/>
      <c r="Y147" s="24"/>
      <c r="Z147" s="24"/>
      <c r="AA147" s="24"/>
      <c r="AB147" s="24">
        <v>50</v>
      </c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</row>
    <row r="148" s="58" customFormat="1" ht="22.5" hidden="1" customHeight="1" spans="1:54">
      <c r="A148" s="19"/>
      <c r="B148" s="24"/>
      <c r="C148" s="24" t="s">
        <v>14</v>
      </c>
      <c r="D148" s="24"/>
      <c r="E148" s="24">
        <v>0</v>
      </c>
      <c r="F148" s="74">
        <f ca="1">SUMIF(I$3:$BB147,"入库",I148:$BB148)</f>
        <v>80</v>
      </c>
      <c r="G148" s="24">
        <f ca="1">SUMIF(J$3:$BB147,"出库",J148:$BB148)</f>
        <v>22</v>
      </c>
      <c r="H148" s="27">
        <f ca="1" t="shared" si="2"/>
        <v>58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>
        <v>80</v>
      </c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>
        <v>22</v>
      </c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</row>
    <row r="149" s="58" customFormat="1" ht="22.5" hidden="1" customHeight="1" spans="1:54">
      <c r="A149" s="72">
        <v>49</v>
      </c>
      <c r="B149" s="24" t="s">
        <v>62</v>
      </c>
      <c r="C149" s="73" t="s">
        <v>12</v>
      </c>
      <c r="D149" s="24"/>
      <c r="E149" s="24">
        <v>0</v>
      </c>
      <c r="F149" s="74">
        <f ca="1">SUMIF(I$3:$BB148,"入库",I149:$BB149)</f>
        <v>900</v>
      </c>
      <c r="G149" s="24">
        <f ca="1">SUMIF(J$3:$BB148,"出库",J149:$BB149)</f>
        <v>350</v>
      </c>
      <c r="H149" s="27">
        <f ca="1" t="shared" si="2"/>
        <v>550</v>
      </c>
      <c r="I149" s="24"/>
      <c r="J149" s="24"/>
      <c r="K149" s="24"/>
      <c r="L149" s="24"/>
      <c r="M149" s="24">
        <v>900</v>
      </c>
      <c r="N149" s="24"/>
      <c r="O149" s="24"/>
      <c r="P149" s="24"/>
      <c r="Q149" s="24"/>
      <c r="R149" s="24"/>
      <c r="S149" s="24"/>
      <c r="T149" s="24">
        <v>50</v>
      </c>
      <c r="U149" s="24"/>
      <c r="V149" s="24"/>
      <c r="W149" s="24"/>
      <c r="X149" s="24"/>
      <c r="Y149" s="24"/>
      <c r="Z149" s="24"/>
      <c r="AA149" s="24"/>
      <c r="AB149" s="24">
        <v>300</v>
      </c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</row>
    <row r="150" s="58" customFormat="1" ht="22.5" hidden="1" customHeight="1" spans="1:54">
      <c r="A150" s="18"/>
      <c r="B150" s="24"/>
      <c r="C150" s="25" t="s">
        <v>13</v>
      </c>
      <c r="D150" s="24"/>
      <c r="E150" s="24">
        <v>0</v>
      </c>
      <c r="F150" s="74">
        <f ca="1">SUMIF(I$3:$BB149,"入库",I150:$BB150)</f>
        <v>0</v>
      </c>
      <c r="G150" s="24">
        <f ca="1">SUMIF(J$3:$BB149,"出库",J150:$BB150)</f>
        <v>0</v>
      </c>
      <c r="H150" s="27">
        <f ca="1" t="shared" si="2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</row>
    <row r="151" s="58" customFormat="1" ht="22.5" hidden="1" customHeight="1" spans="1:54">
      <c r="A151" s="19"/>
      <c r="B151" s="24"/>
      <c r="C151" s="24" t="s">
        <v>14</v>
      </c>
      <c r="D151" s="24"/>
      <c r="E151" s="24">
        <v>0</v>
      </c>
      <c r="F151" s="74">
        <f ca="1">SUMIF(I$3:$BB150,"入库",I151:$BB151)</f>
        <v>770</v>
      </c>
      <c r="G151" s="24">
        <f ca="1">SUMIF(J$3:$BB150,"出库",J151:$BB151)</f>
        <v>0</v>
      </c>
      <c r="H151" s="27">
        <f ca="1" t="shared" si="2"/>
        <v>770</v>
      </c>
      <c r="I151" s="24"/>
      <c r="J151" s="24"/>
      <c r="K151" s="24"/>
      <c r="L151" s="24"/>
      <c r="M151" s="24">
        <v>770</v>
      </c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</row>
    <row r="152" s="58" customFormat="1" ht="39" hidden="1" customHeight="1" spans="1:54">
      <c r="A152" s="72">
        <v>50</v>
      </c>
      <c r="B152" s="24" t="s">
        <v>63</v>
      </c>
      <c r="C152" s="73" t="s">
        <v>12</v>
      </c>
      <c r="D152" s="24"/>
      <c r="E152" s="24">
        <v>0</v>
      </c>
      <c r="F152" s="74">
        <f ca="1">SUMIF(I$3:$BB151,"入库",I152:$BB152)</f>
        <v>4200</v>
      </c>
      <c r="G152" s="24">
        <f ca="1">SUMIF(J$3:$BB151,"出库",J152:$BB152)</f>
        <v>60</v>
      </c>
      <c r="H152" s="27">
        <f ca="1" t="shared" si="2"/>
        <v>4140</v>
      </c>
      <c r="I152" s="24"/>
      <c r="J152" s="24"/>
      <c r="K152" s="24"/>
      <c r="L152" s="24"/>
      <c r="M152" s="24">
        <v>4200</v>
      </c>
      <c r="N152" s="24"/>
      <c r="O152" s="24"/>
      <c r="P152" s="24"/>
      <c r="Q152" s="24"/>
      <c r="R152" s="24"/>
      <c r="S152" s="24"/>
      <c r="T152" s="24">
        <v>60</v>
      </c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</row>
    <row r="153" s="58" customFormat="1" ht="22.5" hidden="1" customHeight="1" spans="1:54">
      <c r="A153" s="18"/>
      <c r="B153" s="24"/>
      <c r="C153" s="25" t="s">
        <v>13</v>
      </c>
      <c r="D153" s="24"/>
      <c r="E153" s="24">
        <v>0</v>
      </c>
      <c r="F153" s="74">
        <f ca="1">SUMIF(I$3:$BB152,"入库",I153:$BB153)</f>
        <v>0</v>
      </c>
      <c r="G153" s="24">
        <f ca="1">SUMIF(J$3:$BB152,"出库",J153:$BB153)</f>
        <v>0</v>
      </c>
      <c r="H153" s="27">
        <f ca="1" t="shared" si="2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</row>
    <row r="154" s="58" customFormat="1" ht="22.5" hidden="1" customHeight="1" spans="1:54">
      <c r="A154" s="19"/>
      <c r="B154" s="24"/>
      <c r="C154" s="24" t="s">
        <v>14</v>
      </c>
      <c r="D154" s="24"/>
      <c r="E154" s="24">
        <v>0</v>
      </c>
      <c r="F154" s="74">
        <f ca="1">SUMIF(I$3:$BB153,"入库",I154:$BB154)</f>
        <v>0</v>
      </c>
      <c r="G154" s="24">
        <f ca="1">SUMIF(J$3:$BB153,"出库",J154:$BB154)</f>
        <v>0</v>
      </c>
      <c r="H154" s="27">
        <f ca="1" t="shared" si="2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</row>
    <row r="155" s="58" customFormat="1" ht="39" hidden="1" customHeight="1" spans="1:54">
      <c r="A155" s="72">
        <v>51</v>
      </c>
      <c r="B155" s="24" t="s">
        <v>64</v>
      </c>
      <c r="C155" s="73" t="s">
        <v>12</v>
      </c>
      <c r="D155" s="24"/>
      <c r="E155" s="24">
        <v>0</v>
      </c>
      <c r="F155" s="74">
        <f ca="1">SUMIF(I$3:$BB154,"入库",I155:$BB155)</f>
        <v>3000</v>
      </c>
      <c r="G155" s="24">
        <f ca="1">SUMIF(J$3:$BB154,"出库",J155:$BB155)</f>
        <v>81</v>
      </c>
      <c r="H155" s="27">
        <f ca="1" t="shared" si="2"/>
        <v>2919</v>
      </c>
      <c r="I155" s="24"/>
      <c r="J155" s="24"/>
      <c r="K155" s="24">
        <v>350</v>
      </c>
      <c r="L155" s="24"/>
      <c r="M155" s="24"/>
      <c r="N155" s="24">
        <v>20</v>
      </c>
      <c r="O155" s="24"/>
      <c r="P155" s="24"/>
      <c r="Q155" s="24"/>
      <c r="R155" s="24"/>
      <c r="S155" s="24"/>
      <c r="T155" s="24"/>
      <c r="U155" s="24">
        <v>150</v>
      </c>
      <c r="V155" s="24"/>
      <c r="W155" s="24">
        <v>2500</v>
      </c>
      <c r="X155" s="24"/>
      <c r="Y155" s="24"/>
      <c r="Z155" s="24">
        <v>60</v>
      </c>
      <c r="AA155" s="24"/>
      <c r="AB155" s="24"/>
      <c r="AC155" s="24"/>
      <c r="AD155" s="24"/>
      <c r="AE155" s="24"/>
      <c r="AF155" s="24"/>
      <c r="AG155" s="24"/>
      <c r="AH155" s="24"/>
      <c r="AI155" s="24"/>
      <c r="AJ155" s="24">
        <v>1</v>
      </c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</row>
    <row r="156" s="58" customFormat="1" ht="22.5" hidden="1" customHeight="1" spans="1:54">
      <c r="A156" s="18"/>
      <c r="B156" s="24"/>
      <c r="C156" s="25" t="s">
        <v>13</v>
      </c>
      <c r="D156" s="24"/>
      <c r="E156" s="24">
        <v>0</v>
      </c>
      <c r="F156" s="74">
        <f ca="1">SUMIF(I$3:$BB155,"入库",I156:$BB156)</f>
        <v>40</v>
      </c>
      <c r="G156" s="24">
        <f ca="1">SUMIF(J$3:$BB155,"出库",J156:$BB156)</f>
        <v>0</v>
      </c>
      <c r="H156" s="27">
        <f ca="1" t="shared" si="2"/>
        <v>40</v>
      </c>
      <c r="I156" s="24"/>
      <c r="J156" s="24"/>
      <c r="K156" s="24">
        <v>40</v>
      </c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</row>
    <row r="157" s="58" customFormat="1" ht="22.5" hidden="1" customHeight="1" spans="1:54">
      <c r="A157" s="19"/>
      <c r="B157" s="24"/>
      <c r="C157" s="24" t="s">
        <v>14</v>
      </c>
      <c r="D157" s="24"/>
      <c r="E157" s="24">
        <v>0</v>
      </c>
      <c r="F157" s="74">
        <f ca="1">SUMIF(I$3:$BB156,"入库",I157:$BB157)</f>
        <v>80</v>
      </c>
      <c r="G157" s="24">
        <f ca="1">SUMIF(J$3:$BB156,"出库",J157:$BB157)</f>
        <v>3</v>
      </c>
      <c r="H157" s="27">
        <f ca="1" t="shared" si="2"/>
        <v>77</v>
      </c>
      <c r="I157" s="24"/>
      <c r="J157" s="24"/>
      <c r="K157" s="24">
        <v>80</v>
      </c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>
        <v>3</v>
      </c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</row>
    <row r="158" s="58" customFormat="1" ht="39" hidden="1" customHeight="1" spans="1:54">
      <c r="A158" s="72">
        <v>52</v>
      </c>
      <c r="B158" s="24" t="s">
        <v>65</v>
      </c>
      <c r="C158" s="73" t="s">
        <v>12</v>
      </c>
      <c r="D158" s="24"/>
      <c r="E158" s="24">
        <v>0</v>
      </c>
      <c r="F158" s="74">
        <f ca="1">SUMIF(I$3:$BB157,"入库",I158:$BB158)</f>
        <v>1100</v>
      </c>
      <c r="G158" s="24">
        <f ca="1">SUMIF(J$3:$BB157,"出库",J158:$BB158)</f>
        <v>220</v>
      </c>
      <c r="H158" s="27">
        <f ca="1" t="shared" si="2"/>
        <v>880</v>
      </c>
      <c r="I158" s="24"/>
      <c r="J158" s="24"/>
      <c r="K158" s="24">
        <v>1100</v>
      </c>
      <c r="L158" s="24"/>
      <c r="M158" s="24"/>
      <c r="N158" s="24"/>
      <c r="O158" s="24"/>
      <c r="P158" s="24"/>
      <c r="Q158" s="24"/>
      <c r="R158" s="24"/>
      <c r="S158" s="24"/>
      <c r="T158" s="24">
        <v>200</v>
      </c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>
        <v>20</v>
      </c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</row>
    <row r="159" s="58" customFormat="1" ht="22.5" hidden="1" customHeight="1" spans="1:54">
      <c r="A159" s="18"/>
      <c r="B159" s="24"/>
      <c r="C159" s="25" t="s">
        <v>13</v>
      </c>
      <c r="D159" s="24"/>
      <c r="E159" s="24">
        <v>0</v>
      </c>
      <c r="F159" s="74">
        <f ca="1">SUMIF(I$3:$BB158,"入库",I159:$BB159)</f>
        <v>20</v>
      </c>
      <c r="G159" s="24">
        <f ca="1">SUMIF(J$3:$BB158,"出库",J159:$BB159)</f>
        <v>0</v>
      </c>
      <c r="H159" s="27">
        <f ca="1" t="shared" si="2"/>
        <v>20</v>
      </c>
      <c r="I159" s="24"/>
      <c r="J159" s="24"/>
      <c r="K159" s="24">
        <v>20</v>
      </c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</row>
    <row r="160" s="58" customFormat="1" ht="22.5" hidden="1" customHeight="1" spans="1:54">
      <c r="A160" s="19"/>
      <c r="B160" s="24"/>
      <c r="C160" s="24" t="s">
        <v>14</v>
      </c>
      <c r="D160" s="24"/>
      <c r="E160" s="24">
        <v>0</v>
      </c>
      <c r="F160" s="74">
        <f ca="1">SUMIF(I$3:$BB159,"入库",I160:$BB160)</f>
        <v>200</v>
      </c>
      <c r="G160" s="24">
        <f ca="1">SUMIF(J$3:$BB159,"出库",J160:$BB160)</f>
        <v>0</v>
      </c>
      <c r="H160" s="27">
        <f ca="1" t="shared" ref="H160:H223" si="3">E160+F160-G160</f>
        <v>200</v>
      </c>
      <c r="I160" s="24"/>
      <c r="J160" s="24"/>
      <c r="K160" s="24">
        <v>200</v>
      </c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</row>
    <row r="161" s="58" customFormat="1" ht="39" hidden="1" customHeight="1" spans="1:54">
      <c r="A161" s="72">
        <v>53</v>
      </c>
      <c r="B161" s="24" t="s">
        <v>66</v>
      </c>
      <c r="C161" s="73" t="s">
        <v>12</v>
      </c>
      <c r="D161" s="24"/>
      <c r="E161" s="24">
        <v>0</v>
      </c>
      <c r="F161" s="74">
        <f ca="1">SUMIF(I$3:$BB160,"入库",I161:$BB161)</f>
        <v>4000</v>
      </c>
      <c r="G161" s="24">
        <f ca="1">SUMIF(J$3:$BB160,"出库",J161:$BB161)</f>
        <v>450</v>
      </c>
      <c r="H161" s="27">
        <f ca="1" t="shared" si="3"/>
        <v>3550</v>
      </c>
      <c r="I161" s="24"/>
      <c r="J161" s="24"/>
      <c r="K161" s="24">
        <v>500</v>
      </c>
      <c r="L161" s="24"/>
      <c r="M161" s="24"/>
      <c r="N161" s="24"/>
      <c r="O161" s="24"/>
      <c r="P161" s="24"/>
      <c r="Q161" s="24"/>
      <c r="R161" s="24"/>
      <c r="S161" s="24"/>
      <c r="T161" s="24">
        <v>30</v>
      </c>
      <c r="U161" s="24">
        <v>3500</v>
      </c>
      <c r="V161" s="24"/>
      <c r="W161" s="24"/>
      <c r="X161" s="24">
        <v>200</v>
      </c>
      <c r="Y161" s="24"/>
      <c r="Z161" s="24">
        <v>10</v>
      </c>
      <c r="AA161" s="24"/>
      <c r="AB161" s="24">
        <v>210</v>
      </c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</row>
    <row r="162" s="58" customFormat="1" ht="22.5" hidden="1" customHeight="1" spans="1:54">
      <c r="A162" s="18"/>
      <c r="B162" s="24"/>
      <c r="C162" s="25" t="s">
        <v>13</v>
      </c>
      <c r="D162" s="24"/>
      <c r="E162" s="24">
        <v>0</v>
      </c>
      <c r="F162" s="74">
        <f ca="1">SUMIF(I$3:$BB161,"入库",I162:$BB162)</f>
        <v>10</v>
      </c>
      <c r="G162" s="24">
        <f ca="1">SUMIF(J$3:$BB161,"出库",J162:$BB162)</f>
        <v>0</v>
      </c>
      <c r="H162" s="27">
        <f ca="1" t="shared" si="3"/>
        <v>10</v>
      </c>
      <c r="I162" s="24"/>
      <c r="J162" s="24"/>
      <c r="K162" s="24">
        <v>10</v>
      </c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</row>
    <row r="163" s="58" customFormat="1" ht="22.5" hidden="1" customHeight="1" spans="1:54">
      <c r="A163" s="19"/>
      <c r="B163" s="24"/>
      <c r="C163" s="24" t="s">
        <v>14</v>
      </c>
      <c r="D163" s="24"/>
      <c r="E163" s="24">
        <v>0</v>
      </c>
      <c r="F163" s="74">
        <f ca="1">SUMIF(I$3:$BB162,"入库",I163:$BB163)</f>
        <v>0</v>
      </c>
      <c r="G163" s="24">
        <f ca="1">SUMIF(J$3:$BB162,"出库",J163:$BB163)</f>
        <v>0</v>
      </c>
      <c r="H163" s="27">
        <f ca="1" t="shared" si="3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</row>
    <row r="164" s="58" customFormat="1" ht="39" hidden="1" customHeight="1" spans="1:54">
      <c r="A164" s="72">
        <v>54</v>
      </c>
      <c r="B164" s="24" t="s">
        <v>67</v>
      </c>
      <c r="C164" s="73" t="s">
        <v>12</v>
      </c>
      <c r="D164" s="24"/>
      <c r="E164" s="24">
        <v>0</v>
      </c>
      <c r="F164" s="74">
        <f ca="1">SUMIF(I$3:$BB163,"入库",I164:$BB164)</f>
        <v>8000</v>
      </c>
      <c r="G164" s="24">
        <f ca="1">SUMIF(J$3:$BB163,"出库",J164:$BB164)</f>
        <v>210</v>
      </c>
      <c r="H164" s="27">
        <f ca="1" t="shared" si="3"/>
        <v>7790</v>
      </c>
      <c r="I164" s="24">
        <v>8000</v>
      </c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>
        <v>10</v>
      </c>
      <c r="U164" s="24"/>
      <c r="V164" s="24"/>
      <c r="W164" s="24"/>
      <c r="X164" s="24"/>
      <c r="Y164" s="24"/>
      <c r="Z164" s="24"/>
      <c r="AA164" s="24"/>
      <c r="AB164" s="24">
        <v>200</v>
      </c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</row>
    <row r="165" s="58" customFormat="1" ht="22.5" hidden="1" customHeight="1" spans="1:54">
      <c r="A165" s="18"/>
      <c r="B165" s="24"/>
      <c r="C165" s="25" t="s">
        <v>13</v>
      </c>
      <c r="D165" s="24"/>
      <c r="E165" s="24">
        <v>0</v>
      </c>
      <c r="F165" s="74">
        <f ca="1">SUMIF(I$3:$BB164,"入库",I165:$BB165)</f>
        <v>700</v>
      </c>
      <c r="G165" s="24">
        <f ca="1">SUMIF(J$3:$BB164,"出库",J165:$BB165)</f>
        <v>0</v>
      </c>
      <c r="H165" s="27">
        <f ca="1" t="shared" si="3"/>
        <v>700</v>
      </c>
      <c r="I165" s="24">
        <v>700</v>
      </c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</row>
    <row r="166" s="58" customFormat="1" ht="22.5" hidden="1" customHeight="1" spans="1:54">
      <c r="A166" s="19"/>
      <c r="B166" s="24"/>
      <c r="C166" s="24" t="s">
        <v>14</v>
      </c>
      <c r="D166" s="24"/>
      <c r="E166" s="24">
        <v>0</v>
      </c>
      <c r="F166" s="74">
        <f ca="1">SUMIF(I$3:$BB165,"入库",I166:$BB166)</f>
        <v>0</v>
      </c>
      <c r="G166" s="24">
        <f ca="1">SUMIF(J$3:$BB165,"出库",J166:$BB166)</f>
        <v>0</v>
      </c>
      <c r="H166" s="27">
        <f ca="1" t="shared" si="3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</row>
    <row r="167" s="58" customFormat="1" ht="22.5" hidden="1" customHeight="1" spans="1:54">
      <c r="A167" s="72">
        <v>55</v>
      </c>
      <c r="B167" s="24" t="s">
        <v>68</v>
      </c>
      <c r="C167" s="73" t="s">
        <v>12</v>
      </c>
      <c r="D167" s="24"/>
      <c r="E167" s="24">
        <v>0</v>
      </c>
      <c r="F167" s="74">
        <f ca="1">SUMIF(I$3:$BB166,"入库",I167:$BB167)</f>
        <v>8400</v>
      </c>
      <c r="G167" s="24">
        <f ca="1">SUMIF(J$3:$BB166,"出库",J167:$BB167)</f>
        <v>430</v>
      </c>
      <c r="H167" s="27">
        <f ca="1" t="shared" si="3"/>
        <v>7970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>
        <v>8400</v>
      </c>
      <c r="X167" s="24"/>
      <c r="Y167" s="24"/>
      <c r="Z167" s="24"/>
      <c r="AA167" s="24"/>
      <c r="AB167" s="24">
        <v>30</v>
      </c>
      <c r="AC167" s="24"/>
      <c r="AD167" s="24">
        <v>400</v>
      </c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</row>
    <row r="168" s="58" customFormat="1" ht="22.5" hidden="1" customHeight="1" spans="1:54">
      <c r="A168" s="18"/>
      <c r="B168" s="24"/>
      <c r="C168" s="25" t="s">
        <v>13</v>
      </c>
      <c r="D168" s="24"/>
      <c r="E168" s="24">
        <v>0</v>
      </c>
      <c r="F168" s="74">
        <f ca="1">SUMIF(I$3:$BB167,"入库",I168:$BB168)</f>
        <v>0</v>
      </c>
      <c r="G168" s="24">
        <f ca="1">SUMIF(J$3:$BB167,"出库",J168:$BB168)</f>
        <v>0</v>
      </c>
      <c r="H168" s="27">
        <f ca="1" t="shared" si="3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</row>
    <row r="169" s="58" customFormat="1" ht="22.5" hidden="1" customHeight="1" spans="1:54">
      <c r="A169" s="19"/>
      <c r="B169" s="24"/>
      <c r="C169" s="24" t="s">
        <v>14</v>
      </c>
      <c r="D169" s="24"/>
      <c r="E169" s="24">
        <v>0</v>
      </c>
      <c r="F169" s="74">
        <f ca="1">SUMIF(I$3:$BB168,"入库",I169:$BB169)</f>
        <v>0</v>
      </c>
      <c r="G169" s="24">
        <f ca="1">SUMIF(J$3:$BB168,"出库",J169:$BB169)</f>
        <v>0</v>
      </c>
      <c r="H169" s="27">
        <f ca="1" t="shared" si="3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</row>
    <row r="170" s="58" customFormat="1" ht="22.5" hidden="1" customHeight="1" spans="1:54">
      <c r="A170" s="72">
        <v>56</v>
      </c>
      <c r="B170" s="24" t="s">
        <v>69</v>
      </c>
      <c r="C170" s="73" t="s">
        <v>12</v>
      </c>
      <c r="D170" s="24"/>
      <c r="E170" s="24">
        <v>0</v>
      </c>
      <c r="F170" s="74">
        <f ca="1">SUMIF(I$3:$BB169,"入库",I170:$BB170)</f>
        <v>13300</v>
      </c>
      <c r="G170" s="24">
        <f ca="1">SUMIF(J$3:$BB169,"出库",J170:$BB170)</f>
        <v>100</v>
      </c>
      <c r="H170" s="27">
        <f ca="1" t="shared" si="3"/>
        <v>13200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>
        <v>100</v>
      </c>
      <c r="X170" s="24"/>
      <c r="Y170" s="24">
        <v>7200</v>
      </c>
      <c r="Z170" s="24"/>
      <c r="AA170" s="24"/>
      <c r="AB170" s="24"/>
      <c r="AC170" s="24"/>
      <c r="AD170" s="24"/>
      <c r="AE170" s="24"/>
      <c r="AF170" s="24"/>
      <c r="AG170" s="24">
        <v>6000</v>
      </c>
      <c r="AH170" s="24">
        <v>100</v>
      </c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</row>
    <row r="171" s="58" customFormat="1" ht="22.5" hidden="1" customHeight="1" spans="1:54">
      <c r="A171" s="18"/>
      <c r="B171" s="24"/>
      <c r="C171" s="25" t="s">
        <v>13</v>
      </c>
      <c r="D171" s="24"/>
      <c r="E171" s="24">
        <v>0</v>
      </c>
      <c r="F171" s="74">
        <f ca="1">SUMIF(I$3:$BB170,"入库",I171:$BB171)</f>
        <v>0</v>
      </c>
      <c r="G171" s="24">
        <f ca="1">SUMIF(J$3:$BB170,"出库",J171:$BB171)</f>
        <v>0</v>
      </c>
      <c r="H171" s="27">
        <f ca="1" t="shared" si="3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</row>
    <row r="172" s="58" customFormat="1" ht="22.5" hidden="1" customHeight="1" spans="1:54">
      <c r="A172" s="19"/>
      <c r="B172" s="24"/>
      <c r="C172" s="24" t="s">
        <v>14</v>
      </c>
      <c r="D172" s="24"/>
      <c r="E172" s="24">
        <v>0</v>
      </c>
      <c r="F172" s="74">
        <f ca="1">SUMIF(I$3:$BB171,"入库",I172:$BB172)</f>
        <v>15</v>
      </c>
      <c r="G172" s="24">
        <f ca="1">SUMIF(J$3:$BB171,"出库",J172:$BB172)</f>
        <v>0</v>
      </c>
      <c r="H172" s="27">
        <f ca="1" t="shared" si="3"/>
        <v>15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>
        <v>15</v>
      </c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</row>
    <row r="173" s="58" customFormat="1" ht="39" hidden="1" customHeight="1" spans="1:54">
      <c r="A173" s="72">
        <v>57</v>
      </c>
      <c r="B173" s="24" t="s">
        <v>70</v>
      </c>
      <c r="C173" s="73" t="s">
        <v>12</v>
      </c>
      <c r="D173" s="24"/>
      <c r="E173" s="24">
        <v>0</v>
      </c>
      <c r="F173" s="74">
        <f ca="1">SUMIF(I$3:$BB172,"入库",I173:$BB173)</f>
        <v>2100</v>
      </c>
      <c r="G173" s="24">
        <f ca="1">SUMIF(J$3:$BB172,"出库",J173:$BB173)</f>
        <v>1120</v>
      </c>
      <c r="H173" s="27">
        <f ca="1" t="shared" si="3"/>
        <v>980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>
        <v>2100</v>
      </c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>
        <v>1120</v>
      </c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</row>
    <row r="174" s="58" customFormat="1" ht="22.5" hidden="1" customHeight="1" spans="1:54">
      <c r="A174" s="18"/>
      <c r="B174" s="24"/>
      <c r="C174" s="25" t="s">
        <v>13</v>
      </c>
      <c r="D174" s="24"/>
      <c r="E174" s="24">
        <v>0</v>
      </c>
      <c r="F174" s="74">
        <f ca="1">SUMIF(I$3:$BB173,"入库",I174:$BB174)</f>
        <v>30</v>
      </c>
      <c r="G174" s="24">
        <f ca="1">SUMIF(J$3:$BB173,"出库",J174:$BB174)</f>
        <v>0</v>
      </c>
      <c r="H174" s="27">
        <f ca="1" t="shared" si="3"/>
        <v>30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>
        <v>30</v>
      </c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</row>
    <row r="175" s="58" customFormat="1" ht="22.5" hidden="1" customHeight="1" spans="1:54">
      <c r="A175" s="19"/>
      <c r="B175" s="24"/>
      <c r="C175" s="24" t="s">
        <v>14</v>
      </c>
      <c r="D175" s="24"/>
      <c r="E175" s="24">
        <v>0</v>
      </c>
      <c r="F175" s="74">
        <f ca="1">SUMIF(I$3:$BB174,"入库",I175:$BB175)</f>
        <v>0</v>
      </c>
      <c r="G175" s="24">
        <f ca="1">SUMIF(J$3:$BB174,"出库",J175:$BB175)</f>
        <v>0</v>
      </c>
      <c r="H175" s="27">
        <f ca="1" t="shared" si="3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</row>
    <row r="176" s="58" customFormat="1" ht="22.5" hidden="1" customHeight="1" spans="1:54">
      <c r="A176" s="72">
        <v>58</v>
      </c>
      <c r="B176" s="24" t="s">
        <v>71</v>
      </c>
      <c r="C176" s="73" t="s">
        <v>12</v>
      </c>
      <c r="D176" s="24"/>
      <c r="E176" s="24">
        <v>0</v>
      </c>
      <c r="F176" s="74">
        <f ca="1">SUMIF(I$3:$BB175,"入库",I176:$BB176)</f>
        <v>5550</v>
      </c>
      <c r="G176" s="24">
        <f ca="1">SUMIF(J$3:$BB175,"出库",J176:$BB176)</f>
        <v>860</v>
      </c>
      <c r="H176" s="27">
        <f ca="1" t="shared" si="3"/>
        <v>4690</v>
      </c>
      <c r="I176" s="24"/>
      <c r="J176" s="24"/>
      <c r="K176" s="24"/>
      <c r="L176" s="24"/>
      <c r="M176" s="24">
        <v>350</v>
      </c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>
        <v>350</v>
      </c>
      <c r="Y176" s="24"/>
      <c r="Z176" s="24"/>
      <c r="AA176" s="24"/>
      <c r="AB176" s="24"/>
      <c r="AC176" s="24">
        <v>5200</v>
      </c>
      <c r="AD176" s="24"/>
      <c r="AE176" s="24"/>
      <c r="AF176" s="24"/>
      <c r="AG176" s="24"/>
      <c r="AH176" s="24">
        <v>510</v>
      </c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</row>
    <row r="177" s="58" customFormat="1" ht="22.5" hidden="1" customHeight="1" spans="1:54">
      <c r="A177" s="18"/>
      <c r="B177" s="24"/>
      <c r="C177" s="25" t="s">
        <v>13</v>
      </c>
      <c r="D177" s="24"/>
      <c r="E177" s="24">
        <v>0</v>
      </c>
      <c r="F177" s="74">
        <f ca="1">SUMIF(I$3:$BB176,"入库",I177:$BB177)</f>
        <v>10</v>
      </c>
      <c r="G177" s="24">
        <f ca="1">SUMIF(J$3:$BB176,"出库",J177:$BB177)</f>
        <v>0</v>
      </c>
      <c r="H177" s="27">
        <f ca="1" t="shared" si="3"/>
        <v>10</v>
      </c>
      <c r="I177" s="24"/>
      <c r="J177" s="24"/>
      <c r="K177" s="24"/>
      <c r="L177" s="24"/>
      <c r="M177" s="24">
        <v>10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</row>
    <row r="178" s="58" customFormat="1" ht="22.5" hidden="1" customHeight="1" spans="1:54">
      <c r="A178" s="19"/>
      <c r="B178" s="24"/>
      <c r="C178" s="24" t="s">
        <v>14</v>
      </c>
      <c r="D178" s="24"/>
      <c r="E178" s="24">
        <v>0</v>
      </c>
      <c r="F178" s="74">
        <f ca="1">SUMIF(I$3:$BB177,"入库",I178:$BB178)</f>
        <v>0</v>
      </c>
      <c r="G178" s="24">
        <f ca="1">SUMIF(J$3:$BB177,"出库",J178:$BB178)</f>
        <v>0</v>
      </c>
      <c r="H178" s="27">
        <f ca="1" t="shared" si="3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</row>
    <row r="179" s="58" customFormat="1" ht="22.5" hidden="1" customHeight="1" spans="1:54">
      <c r="A179" s="72">
        <v>59</v>
      </c>
      <c r="B179" s="24" t="s">
        <v>72</v>
      </c>
      <c r="C179" s="73" t="s">
        <v>12</v>
      </c>
      <c r="D179" s="24"/>
      <c r="E179" s="24">
        <v>0</v>
      </c>
      <c r="F179" s="74">
        <f ca="1">SUMIF(I$3:$BB178,"入库",I179:$BB179)</f>
        <v>200</v>
      </c>
      <c r="G179" s="24">
        <f ca="1">SUMIF(J$3:$BB178,"出库",J179:$BB179)</f>
        <v>0</v>
      </c>
      <c r="H179" s="27">
        <f ca="1" t="shared" si="3"/>
        <v>200</v>
      </c>
      <c r="I179" s="24"/>
      <c r="J179" s="24"/>
      <c r="K179" s="24"/>
      <c r="L179" s="24"/>
      <c r="M179" s="24">
        <v>200</v>
      </c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</row>
    <row r="180" s="58" customFormat="1" ht="22.5" hidden="1" customHeight="1" spans="1:54">
      <c r="A180" s="18"/>
      <c r="B180" s="24"/>
      <c r="C180" s="25" t="s">
        <v>13</v>
      </c>
      <c r="D180" s="24"/>
      <c r="E180" s="24">
        <v>0</v>
      </c>
      <c r="F180" s="74">
        <f ca="1">SUMIF(I$3:$BB179,"入库",I180:$BB180)</f>
        <v>50</v>
      </c>
      <c r="G180" s="24">
        <f ca="1">SUMIF(J$3:$BB179,"出库",J180:$BB180)</f>
        <v>0</v>
      </c>
      <c r="H180" s="27">
        <f ca="1" t="shared" si="3"/>
        <v>50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>
        <v>50</v>
      </c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</row>
    <row r="181" s="58" customFormat="1" ht="22.5" hidden="1" customHeight="1" spans="1:54">
      <c r="A181" s="19"/>
      <c r="B181" s="24"/>
      <c r="C181" s="24" t="s">
        <v>14</v>
      </c>
      <c r="D181" s="24"/>
      <c r="E181" s="24">
        <v>0</v>
      </c>
      <c r="F181" s="74">
        <f ca="1">SUMIF(I$3:$BB180,"入库",I181:$BB181)</f>
        <v>0</v>
      </c>
      <c r="G181" s="24">
        <f ca="1">SUMIF(J$3:$BB180,"出库",J181:$BB181)</f>
        <v>0</v>
      </c>
      <c r="H181" s="27">
        <f ca="1" t="shared" si="3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</row>
    <row r="182" s="58" customFormat="1" ht="39" hidden="1" customHeight="1" spans="1:54">
      <c r="A182" s="72">
        <v>60</v>
      </c>
      <c r="B182" s="24" t="s">
        <v>73</v>
      </c>
      <c r="C182" s="73" t="s">
        <v>12</v>
      </c>
      <c r="D182" s="24"/>
      <c r="E182" s="24">
        <v>0</v>
      </c>
      <c r="F182" s="74">
        <f ca="1">SUMIF(I$3:$BB181,"入库",I182:$BB182)</f>
        <v>2800</v>
      </c>
      <c r="G182" s="24">
        <f ca="1">SUMIF(J$3:$BB181,"出库",J182:$BB182)</f>
        <v>180</v>
      </c>
      <c r="H182" s="27">
        <f ca="1" t="shared" si="3"/>
        <v>2620</v>
      </c>
      <c r="I182" s="24"/>
      <c r="J182" s="24"/>
      <c r="K182" s="24">
        <v>2800</v>
      </c>
      <c r="L182" s="24"/>
      <c r="M182" s="24"/>
      <c r="N182" s="24"/>
      <c r="O182" s="24"/>
      <c r="P182" s="24">
        <v>10</v>
      </c>
      <c r="Q182" s="24"/>
      <c r="R182" s="24"/>
      <c r="S182" s="24"/>
      <c r="T182" s="24"/>
      <c r="U182" s="24"/>
      <c r="V182" s="24"/>
      <c r="W182" s="24"/>
      <c r="X182" s="24">
        <v>50</v>
      </c>
      <c r="Y182" s="24"/>
      <c r="Z182" s="24"/>
      <c r="AA182" s="24"/>
      <c r="AB182" s="24"/>
      <c r="AC182" s="24"/>
      <c r="AD182" s="24"/>
      <c r="AE182" s="24"/>
      <c r="AF182" s="24"/>
      <c r="AG182" s="24"/>
      <c r="AH182" s="24">
        <v>80</v>
      </c>
      <c r="AI182" s="24"/>
      <c r="AJ182" s="24">
        <v>40</v>
      </c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</row>
    <row r="183" s="58" customFormat="1" ht="22.5" hidden="1" customHeight="1" spans="1:54">
      <c r="A183" s="18"/>
      <c r="B183" s="24"/>
      <c r="C183" s="25" t="s">
        <v>13</v>
      </c>
      <c r="D183" s="24"/>
      <c r="E183" s="24">
        <v>0</v>
      </c>
      <c r="F183" s="74">
        <f ca="1">SUMIF(I$3:$BB182,"入库",I183:$BB183)</f>
        <v>100</v>
      </c>
      <c r="G183" s="24">
        <f ca="1">SUMIF(J$3:$BB182,"出库",J183:$BB183)</f>
        <v>0</v>
      </c>
      <c r="H183" s="27">
        <f ca="1" t="shared" si="3"/>
        <v>100</v>
      </c>
      <c r="I183" s="24"/>
      <c r="J183" s="24"/>
      <c r="K183" s="24">
        <v>100</v>
      </c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</row>
    <row r="184" s="58" customFormat="1" ht="22.5" hidden="1" customHeight="1" spans="1:54">
      <c r="A184" s="19"/>
      <c r="B184" s="24"/>
      <c r="C184" s="24" t="s">
        <v>14</v>
      </c>
      <c r="D184" s="24"/>
      <c r="E184" s="24">
        <v>0</v>
      </c>
      <c r="F184" s="74">
        <f ca="1">SUMIF(I$3:$BB183,"入库",I184:$BB184)</f>
        <v>0</v>
      </c>
      <c r="G184" s="24">
        <f ca="1">SUMIF(J$3:$BB183,"出库",J184:$BB184)</f>
        <v>0</v>
      </c>
      <c r="H184" s="27">
        <f ca="1" t="shared" si="3"/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</row>
    <row r="185" s="58" customFormat="1" ht="39" hidden="1" customHeight="1" spans="1:54">
      <c r="A185" s="72">
        <v>61</v>
      </c>
      <c r="B185" s="24" t="s">
        <v>74</v>
      </c>
      <c r="C185" s="73" t="s">
        <v>12</v>
      </c>
      <c r="D185" s="24"/>
      <c r="E185" s="24">
        <v>0</v>
      </c>
      <c r="F185" s="74">
        <f ca="1">SUMIF(I$3:$BB184,"入库",I185:$BB185)</f>
        <v>3600</v>
      </c>
      <c r="G185" s="24">
        <f ca="1">SUMIF(J$3:$BB184,"出库",J185:$BB185)</f>
        <v>431</v>
      </c>
      <c r="H185" s="27">
        <f ca="1" t="shared" si="3"/>
        <v>3169</v>
      </c>
      <c r="I185" s="24"/>
      <c r="J185" s="24"/>
      <c r="K185" s="24">
        <v>3600</v>
      </c>
      <c r="L185" s="24">
        <v>200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>
        <v>200</v>
      </c>
      <c r="Y185" s="24"/>
      <c r="Z185" s="24"/>
      <c r="AA185" s="24"/>
      <c r="AB185" s="24">
        <v>1</v>
      </c>
      <c r="AC185" s="24"/>
      <c r="AD185" s="24"/>
      <c r="AE185" s="24"/>
      <c r="AF185" s="24"/>
      <c r="AG185" s="24"/>
      <c r="AH185" s="24"/>
      <c r="AI185" s="24"/>
      <c r="AJ185" s="24">
        <v>30</v>
      </c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</row>
    <row r="186" s="58" customFormat="1" ht="22.5" hidden="1" customHeight="1" spans="1:54">
      <c r="A186" s="18"/>
      <c r="B186" s="24"/>
      <c r="C186" s="25" t="s">
        <v>13</v>
      </c>
      <c r="D186" s="24"/>
      <c r="E186" s="24">
        <v>0</v>
      </c>
      <c r="F186" s="74">
        <f ca="1">SUMIF(I$3:$BB185,"入库",I186:$BB186)</f>
        <v>350</v>
      </c>
      <c r="G186" s="24">
        <f ca="1">SUMIF(J$3:$BB185,"出库",J186:$BB186)</f>
        <v>0</v>
      </c>
      <c r="H186" s="27">
        <f ca="1" t="shared" si="3"/>
        <v>350</v>
      </c>
      <c r="I186" s="24"/>
      <c r="J186" s="24"/>
      <c r="K186" s="24">
        <v>350</v>
      </c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</row>
    <row r="187" s="58" customFormat="1" ht="22.5" hidden="1" customHeight="1" spans="1:54">
      <c r="A187" s="19"/>
      <c r="B187" s="24"/>
      <c r="C187" s="24" t="s">
        <v>14</v>
      </c>
      <c r="D187" s="24"/>
      <c r="E187" s="24">
        <v>0</v>
      </c>
      <c r="F187" s="74">
        <f ca="1">SUMIF(I$3:$BB186,"入库",I187:$BB187)</f>
        <v>50</v>
      </c>
      <c r="G187" s="24">
        <f ca="1">SUMIF(J$3:$BB186,"出库",J187:$BB187)</f>
        <v>0</v>
      </c>
      <c r="H187" s="27">
        <f ca="1" t="shared" si="3"/>
        <v>50</v>
      </c>
      <c r="I187" s="24"/>
      <c r="J187" s="24"/>
      <c r="K187" s="24">
        <v>50</v>
      </c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</row>
    <row r="188" s="58" customFormat="1" ht="39" hidden="1" customHeight="1" spans="1:54">
      <c r="A188" s="72">
        <v>62</v>
      </c>
      <c r="B188" s="24" t="s">
        <v>75</v>
      </c>
      <c r="C188" s="73" t="s">
        <v>12</v>
      </c>
      <c r="D188" s="24"/>
      <c r="E188" s="24">
        <v>0</v>
      </c>
      <c r="F188" s="74">
        <f ca="1">SUMIF(I$3:$BB187,"入库",I188:$BB188)</f>
        <v>3300</v>
      </c>
      <c r="G188" s="24">
        <f ca="1">SUMIF(J$3:$BB187,"出库",J188:$BB188)</f>
        <v>2000</v>
      </c>
      <c r="H188" s="27">
        <f ca="1" t="shared" si="3"/>
        <v>1300</v>
      </c>
      <c r="I188" s="24"/>
      <c r="J188" s="24"/>
      <c r="K188" s="24">
        <v>3300</v>
      </c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>
        <v>2000</v>
      </c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</row>
    <row r="189" s="58" customFormat="1" ht="22.5" hidden="1" customHeight="1" spans="1:54">
      <c r="A189" s="18"/>
      <c r="B189" s="24"/>
      <c r="C189" s="25" t="s">
        <v>13</v>
      </c>
      <c r="D189" s="24"/>
      <c r="E189" s="24">
        <v>0</v>
      </c>
      <c r="F189" s="74">
        <f ca="1">SUMIF(I$3:$BB188,"入库",I189:$BB189)</f>
        <v>500</v>
      </c>
      <c r="G189" s="24">
        <f ca="1">SUMIF(J$3:$BB188,"出库",J189:$BB189)</f>
        <v>0</v>
      </c>
      <c r="H189" s="27">
        <f ca="1" t="shared" si="3"/>
        <v>500</v>
      </c>
      <c r="I189" s="24"/>
      <c r="J189" s="24"/>
      <c r="K189" s="24">
        <v>500</v>
      </c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</row>
    <row r="190" s="58" customFormat="1" ht="22.5" hidden="1" customHeight="1" spans="1:54">
      <c r="A190" s="19"/>
      <c r="B190" s="24"/>
      <c r="C190" s="24" t="s">
        <v>14</v>
      </c>
      <c r="D190" s="24"/>
      <c r="E190" s="24">
        <v>0</v>
      </c>
      <c r="F190" s="74">
        <f ca="1">SUMIF(I$3:$BB189,"入库",I190:$BB190)</f>
        <v>30</v>
      </c>
      <c r="G190" s="24">
        <f ca="1">SUMIF(J$3:$BB189,"出库",J190:$BB190)</f>
        <v>0</v>
      </c>
      <c r="H190" s="27">
        <f ca="1" t="shared" si="3"/>
        <v>30</v>
      </c>
      <c r="I190" s="24"/>
      <c r="J190" s="24"/>
      <c r="K190" s="24">
        <v>30</v>
      </c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</row>
    <row r="191" s="58" customFormat="1" ht="22.5" hidden="1" customHeight="1" spans="1:54">
      <c r="A191" s="72">
        <v>63</v>
      </c>
      <c r="B191" s="24" t="s">
        <v>76</v>
      </c>
      <c r="C191" s="73" t="s">
        <v>12</v>
      </c>
      <c r="D191" s="24"/>
      <c r="E191" s="24">
        <v>0</v>
      </c>
      <c r="F191" s="74">
        <f ca="1">SUMIF(I$3:$BB190,"入库",I191:$BB191)</f>
        <v>900</v>
      </c>
      <c r="G191" s="24">
        <f ca="1">SUMIF(J$3:$BB190,"出库",J191:$BB191)</f>
        <v>0</v>
      </c>
      <c r="H191" s="27">
        <f ca="1" t="shared" si="3"/>
        <v>900</v>
      </c>
      <c r="I191" s="24">
        <v>900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</row>
    <row r="192" s="58" customFormat="1" ht="22.5" hidden="1" customHeight="1" spans="1:54">
      <c r="A192" s="18"/>
      <c r="B192" s="24"/>
      <c r="C192" s="25" t="s">
        <v>13</v>
      </c>
      <c r="D192" s="24"/>
      <c r="E192" s="24">
        <v>0</v>
      </c>
      <c r="F192" s="74">
        <f ca="1">SUMIF(I$3:$BB191,"入库",I192:$BB192)</f>
        <v>30</v>
      </c>
      <c r="G192" s="24">
        <f ca="1">SUMIF(J$3:$BB191,"出库",J192:$BB192)</f>
        <v>0</v>
      </c>
      <c r="H192" s="27">
        <f ca="1" t="shared" si="3"/>
        <v>30</v>
      </c>
      <c r="I192" s="24">
        <v>30</v>
      </c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</row>
    <row r="193" s="58" customFormat="1" ht="22.5" hidden="1" customHeight="1" spans="1:54">
      <c r="A193" s="19"/>
      <c r="B193" s="24"/>
      <c r="C193" s="24" t="s">
        <v>14</v>
      </c>
      <c r="D193" s="24"/>
      <c r="E193" s="24">
        <v>0</v>
      </c>
      <c r="F193" s="74">
        <f ca="1">SUMIF(I$3:$BB192,"入库",I193:$BB193)</f>
        <v>230</v>
      </c>
      <c r="G193" s="24">
        <f ca="1">SUMIF(J$3:$BB192,"出库",J193:$BB193)</f>
        <v>0</v>
      </c>
      <c r="H193" s="27">
        <f ca="1" t="shared" si="3"/>
        <v>230</v>
      </c>
      <c r="I193" s="24">
        <v>230</v>
      </c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</row>
    <row r="194" s="58" customFormat="1" ht="22.5" hidden="1" customHeight="1" spans="1:54">
      <c r="A194" s="72">
        <v>64</v>
      </c>
      <c r="B194" s="24" t="s">
        <v>77</v>
      </c>
      <c r="C194" s="73" t="s">
        <v>12</v>
      </c>
      <c r="D194" s="24"/>
      <c r="E194" s="24">
        <v>0</v>
      </c>
      <c r="F194" s="74">
        <f ca="1">SUMIF(I$3:$BB193,"入库",I194:$BB194)</f>
        <v>5300</v>
      </c>
      <c r="G194" s="24">
        <f ca="1">SUMIF(J$3:$BB193,"出库",J194:$BB194)</f>
        <v>0</v>
      </c>
      <c r="H194" s="27">
        <f ca="1" t="shared" si="3"/>
        <v>5300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>
        <v>100</v>
      </c>
      <c r="X194" s="24"/>
      <c r="Y194" s="24">
        <v>5200</v>
      </c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</row>
    <row r="195" s="58" customFormat="1" ht="22.5" hidden="1" customHeight="1" spans="1:54">
      <c r="A195" s="18"/>
      <c r="B195" s="24"/>
      <c r="C195" s="25" t="s">
        <v>13</v>
      </c>
      <c r="D195" s="24"/>
      <c r="E195" s="24">
        <v>0</v>
      </c>
      <c r="F195" s="74">
        <f ca="1">SUMIF(I$3:$BB194,"入库",I195:$BB195)</f>
        <v>400</v>
      </c>
      <c r="G195" s="24">
        <f ca="1">SUMIF(J$3:$BB194,"出库",J195:$BB195)</f>
        <v>0</v>
      </c>
      <c r="H195" s="27">
        <f ca="1" t="shared" si="3"/>
        <v>400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>
        <v>400</v>
      </c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</row>
    <row r="196" s="58" customFormat="1" ht="22.5" hidden="1" customHeight="1" spans="1:54">
      <c r="A196" s="18"/>
      <c r="B196" s="24"/>
      <c r="C196" s="24" t="s">
        <v>78</v>
      </c>
      <c r="D196" s="24"/>
      <c r="E196" s="24"/>
      <c r="F196" s="74">
        <f ca="1">SUMIF(I$3:$BB195,"入库",I196:$BB196)</f>
        <v>150</v>
      </c>
      <c r="G196" s="24">
        <f ca="1">SUMIF(J$3:$BB195,"出库",J196:$BB196)</f>
        <v>0</v>
      </c>
      <c r="H196" s="27">
        <f ca="1" t="shared" si="3"/>
        <v>150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>
        <v>150</v>
      </c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</row>
    <row r="197" s="58" customFormat="1" ht="22.5" hidden="1" customHeight="1" spans="1:54">
      <c r="A197" s="19"/>
      <c r="B197" s="24"/>
      <c r="C197" s="24" t="s">
        <v>14</v>
      </c>
      <c r="D197" s="24"/>
      <c r="E197" s="24">
        <v>0</v>
      </c>
      <c r="F197" s="74">
        <f ca="1">SUMIF(I$3:$BB195,"入库",I197:$BB197)</f>
        <v>0</v>
      </c>
      <c r="G197" s="24">
        <f ca="1">SUMIF(J$3:$BB195,"出库",J197:$BB197)</f>
        <v>0</v>
      </c>
      <c r="H197" s="27">
        <f ca="1" t="shared" si="3"/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</row>
    <row r="198" s="58" customFormat="1" ht="39" hidden="1" customHeight="1" spans="1:54">
      <c r="A198" s="72">
        <v>65</v>
      </c>
      <c r="B198" s="24" t="s">
        <v>79</v>
      </c>
      <c r="C198" s="73" t="s">
        <v>12</v>
      </c>
      <c r="D198" s="24"/>
      <c r="E198" s="24">
        <v>0</v>
      </c>
      <c r="F198" s="74">
        <f ca="1">SUMIF(I$3:$BB197,"入库",I198:$BB198)</f>
        <v>2100</v>
      </c>
      <c r="G198" s="24">
        <f ca="1">SUMIF(J$3:$BB197,"出库",J198:$BB198)</f>
        <v>1851</v>
      </c>
      <c r="H198" s="27">
        <f ca="1" t="shared" si="3"/>
        <v>249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>
        <v>2100</v>
      </c>
      <c r="X198" s="24">
        <v>50</v>
      </c>
      <c r="Y198" s="24"/>
      <c r="Z198" s="24"/>
      <c r="AA198" s="24"/>
      <c r="AB198" s="24"/>
      <c r="AC198" s="24"/>
      <c r="AD198" s="24"/>
      <c r="AE198" s="24"/>
      <c r="AF198" s="24"/>
      <c r="AG198" s="24"/>
      <c r="AH198" s="24">
        <v>1801</v>
      </c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</row>
    <row r="199" s="58" customFormat="1" ht="22.5" hidden="1" customHeight="1" spans="1:54">
      <c r="A199" s="18"/>
      <c r="B199" s="24"/>
      <c r="C199" s="25" t="s">
        <v>13</v>
      </c>
      <c r="D199" s="24"/>
      <c r="E199" s="24">
        <v>0</v>
      </c>
      <c r="F199" s="74">
        <f ca="1">SUMIF(I$3:$BB198,"入库",I199:$BB199)</f>
        <v>30</v>
      </c>
      <c r="G199" s="24">
        <f ca="1">SUMIF(J$3:$BB198,"出库",J199:$BB199)</f>
        <v>0</v>
      </c>
      <c r="H199" s="27">
        <f ca="1" t="shared" si="3"/>
        <v>30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>
        <v>30</v>
      </c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</row>
    <row r="200" s="58" customFormat="1" ht="22.5" hidden="1" customHeight="1" spans="1:54">
      <c r="A200" s="19"/>
      <c r="B200" s="24"/>
      <c r="C200" s="24" t="s">
        <v>14</v>
      </c>
      <c r="D200" s="24"/>
      <c r="E200" s="24">
        <v>0</v>
      </c>
      <c r="F200" s="74">
        <f ca="1">SUMIF(I$3:$BB199,"入库",I200:$BB200)</f>
        <v>20</v>
      </c>
      <c r="G200" s="24">
        <f ca="1">SUMIF(J$3:$BB199,"出库",J200:$BB200)</f>
        <v>20</v>
      </c>
      <c r="H200" s="27">
        <f ca="1" t="shared" si="3"/>
        <v>0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>
        <v>20</v>
      </c>
      <c r="X200" s="24">
        <v>20</v>
      </c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</row>
    <row r="201" s="58" customFormat="1" ht="39" hidden="1" customHeight="1" spans="1:54">
      <c r="A201" s="72">
        <v>66</v>
      </c>
      <c r="B201" s="24" t="s">
        <v>80</v>
      </c>
      <c r="C201" s="73" t="s">
        <v>12</v>
      </c>
      <c r="D201" s="24"/>
      <c r="E201" s="24">
        <v>0</v>
      </c>
      <c r="F201" s="74">
        <f ca="1">SUMIF(I$3:$BB200,"入库",I201:$BB201)</f>
        <v>2350</v>
      </c>
      <c r="G201" s="24">
        <f ca="1">SUMIF(J$3:$BB200,"出库",J201:$BB201)</f>
        <v>2000</v>
      </c>
      <c r="H201" s="27">
        <f ca="1" t="shared" si="3"/>
        <v>350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>
        <v>2350</v>
      </c>
      <c r="V201" s="24"/>
      <c r="W201" s="24"/>
      <c r="X201" s="24">
        <v>2000</v>
      </c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</row>
    <row r="202" s="58" customFormat="1" ht="22.5" hidden="1" customHeight="1" spans="1:54">
      <c r="A202" s="18"/>
      <c r="B202" s="24"/>
      <c r="C202" s="25" t="s">
        <v>13</v>
      </c>
      <c r="D202" s="24"/>
      <c r="E202" s="24">
        <v>0</v>
      </c>
      <c r="F202" s="74">
        <f ca="1">SUMIF(I$3:$BB201,"入库",I202:$BB202)</f>
        <v>0</v>
      </c>
      <c r="G202" s="24">
        <f ca="1">SUMIF(J$3:$BB201,"出库",J202:$BB202)</f>
        <v>0</v>
      </c>
      <c r="H202" s="27">
        <f ca="1" t="shared" si="3"/>
        <v>0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</row>
    <row r="203" s="58" customFormat="1" ht="22.5" hidden="1" customHeight="1" spans="1:54">
      <c r="A203" s="19"/>
      <c r="B203" s="24"/>
      <c r="C203" s="24" t="s">
        <v>14</v>
      </c>
      <c r="D203" s="24"/>
      <c r="E203" s="24">
        <v>0</v>
      </c>
      <c r="F203" s="74">
        <f ca="1">SUMIF(I$3:$BB202,"入库",I203:$BB203)</f>
        <v>30</v>
      </c>
      <c r="G203" s="24">
        <f ca="1">SUMIF(J$3:$BB202,"出库",J203:$BB203)</f>
        <v>0</v>
      </c>
      <c r="H203" s="27">
        <f ca="1" t="shared" si="3"/>
        <v>30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>
        <v>30</v>
      </c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</row>
    <row r="204" s="58" customFormat="1" ht="39" hidden="1" customHeight="1" spans="1:54">
      <c r="A204" s="72">
        <v>67</v>
      </c>
      <c r="B204" s="24" t="s">
        <v>81</v>
      </c>
      <c r="C204" s="73" t="s">
        <v>12</v>
      </c>
      <c r="D204" s="24"/>
      <c r="E204" s="24">
        <v>0</v>
      </c>
      <c r="F204" s="74">
        <f ca="1">SUMIF(I$3:$BB203,"入库",I204:$BB204)</f>
        <v>9800</v>
      </c>
      <c r="G204" s="24">
        <f ca="1">SUMIF(J$3:$BB203,"出库",J204:$BB204)</f>
        <v>506</v>
      </c>
      <c r="H204" s="27">
        <f ca="1" t="shared" si="3"/>
        <v>9294</v>
      </c>
      <c r="I204" s="24"/>
      <c r="J204" s="24"/>
      <c r="K204" s="24"/>
      <c r="L204" s="24"/>
      <c r="M204" s="24">
        <v>9800</v>
      </c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>
        <v>506</v>
      </c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</row>
    <row r="205" s="58" customFormat="1" ht="22.5" hidden="1" customHeight="1" spans="1:54">
      <c r="A205" s="18"/>
      <c r="B205" s="24"/>
      <c r="C205" s="25" t="s">
        <v>13</v>
      </c>
      <c r="D205" s="24"/>
      <c r="E205" s="24">
        <v>0</v>
      </c>
      <c r="F205" s="74">
        <f ca="1">SUMIF(I$3:$BB204,"入库",I205:$BB205)</f>
        <v>15</v>
      </c>
      <c r="G205" s="24">
        <f ca="1">SUMIF(J$3:$BB204,"出库",J205:$BB205)</f>
        <v>0</v>
      </c>
      <c r="H205" s="27">
        <f ca="1" t="shared" si="3"/>
        <v>15</v>
      </c>
      <c r="I205" s="24"/>
      <c r="J205" s="24"/>
      <c r="K205" s="24"/>
      <c r="L205" s="24"/>
      <c r="M205" s="24">
        <v>15</v>
      </c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</row>
    <row r="206" s="58" customFormat="1" ht="22.5" hidden="1" customHeight="1" spans="1:54">
      <c r="A206" s="19"/>
      <c r="B206" s="24"/>
      <c r="C206" s="24" t="s">
        <v>14</v>
      </c>
      <c r="D206" s="24"/>
      <c r="E206" s="24">
        <v>0</v>
      </c>
      <c r="F206" s="74">
        <f ca="1">SUMIF(I$3:$BB205,"入库",I206:$BB206)</f>
        <v>150</v>
      </c>
      <c r="G206" s="24">
        <f ca="1">SUMIF(J$3:$BB205,"出库",J206:$BB206)</f>
        <v>0</v>
      </c>
      <c r="H206" s="27">
        <f ca="1" t="shared" si="3"/>
        <v>150</v>
      </c>
      <c r="I206" s="24"/>
      <c r="J206" s="24"/>
      <c r="K206" s="24"/>
      <c r="L206" s="24"/>
      <c r="M206" s="24">
        <v>150</v>
      </c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</row>
    <row r="207" s="58" customFormat="1" ht="22.5" hidden="1" customHeight="1" spans="1:54">
      <c r="A207" s="72">
        <v>68</v>
      </c>
      <c r="B207" s="24" t="s">
        <v>82</v>
      </c>
      <c r="C207" s="73" t="s">
        <v>12</v>
      </c>
      <c r="D207" s="24"/>
      <c r="E207" s="24">
        <v>0</v>
      </c>
      <c r="F207" s="74">
        <v>190</v>
      </c>
      <c r="G207" s="24">
        <f ca="1">SUMIF(J$3:$BB206,"出库",J207:$BB207)</f>
        <v>190</v>
      </c>
      <c r="H207" s="27">
        <f ca="1" t="shared" si="3"/>
        <v>0</v>
      </c>
      <c r="I207" s="24"/>
      <c r="J207" s="24"/>
      <c r="K207" s="24"/>
      <c r="L207" s="24"/>
      <c r="M207" s="24">
        <v>300</v>
      </c>
      <c r="N207" s="24"/>
      <c r="O207" s="24"/>
      <c r="P207" s="24"/>
      <c r="Q207" s="24"/>
      <c r="R207" s="24"/>
      <c r="S207" s="24"/>
      <c r="T207" s="24"/>
      <c r="U207" s="24"/>
      <c r="V207" s="24">
        <v>90</v>
      </c>
      <c r="W207" s="24"/>
      <c r="X207" s="24">
        <v>100</v>
      </c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</row>
    <row r="208" s="58" customFormat="1" ht="22.5" hidden="1" customHeight="1" spans="1:54">
      <c r="A208" s="18"/>
      <c r="B208" s="24"/>
      <c r="C208" s="25" t="s">
        <v>13</v>
      </c>
      <c r="D208" s="24"/>
      <c r="E208" s="24">
        <v>0</v>
      </c>
      <c r="F208" s="74">
        <f ca="1">SUMIF(I$3:$BB207,"入库",I208:$BB208)</f>
        <v>70</v>
      </c>
      <c r="G208" s="24">
        <f ca="1">SUMIF(J$3:$BB207,"出库",J208:$BB208)</f>
        <v>0</v>
      </c>
      <c r="H208" s="27">
        <f ca="1" t="shared" si="3"/>
        <v>70</v>
      </c>
      <c r="I208" s="24"/>
      <c r="J208" s="24"/>
      <c r="K208" s="24"/>
      <c r="L208" s="24"/>
      <c r="M208" s="24">
        <v>70</v>
      </c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</row>
    <row r="209" s="58" customFormat="1" ht="22.5" hidden="1" customHeight="1" spans="1:54">
      <c r="A209" s="19"/>
      <c r="B209" s="24"/>
      <c r="C209" s="24" t="s">
        <v>14</v>
      </c>
      <c r="D209" s="24"/>
      <c r="E209" s="24">
        <v>0</v>
      </c>
      <c r="F209" s="74">
        <f ca="1">SUMIF(I$3:$BB208,"入库",I209:$BB209)</f>
        <v>70</v>
      </c>
      <c r="G209" s="24">
        <f ca="1">SUMIF(J$3:$BB208,"出库",J209:$BB209)</f>
        <v>0</v>
      </c>
      <c r="H209" s="27">
        <f ca="1" t="shared" si="3"/>
        <v>70</v>
      </c>
      <c r="I209" s="24"/>
      <c r="J209" s="24"/>
      <c r="K209" s="24"/>
      <c r="L209" s="24"/>
      <c r="M209" s="24">
        <v>70</v>
      </c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</row>
    <row r="210" s="58" customFormat="1" ht="39" hidden="1" customHeight="1" spans="1:54">
      <c r="A210" s="72">
        <v>69</v>
      </c>
      <c r="B210" s="24" t="s">
        <v>83</v>
      </c>
      <c r="C210" s="73" t="s">
        <v>12</v>
      </c>
      <c r="D210" s="24"/>
      <c r="E210" s="24">
        <v>0</v>
      </c>
      <c r="F210" s="74">
        <f ca="1">SUMIF(I$3:$BB209,"入库",I210:$BB210)</f>
        <v>3300</v>
      </c>
      <c r="G210" s="24">
        <f ca="1">SUMIF(J$3:$BB209,"出库",J210:$BB210)</f>
        <v>300</v>
      </c>
      <c r="H210" s="27">
        <f ca="1" t="shared" si="3"/>
        <v>3000</v>
      </c>
      <c r="I210" s="24"/>
      <c r="J210" s="24"/>
      <c r="K210" s="24">
        <v>3300</v>
      </c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>
        <v>200</v>
      </c>
      <c r="Y210" s="24"/>
      <c r="Z210" s="24"/>
      <c r="AA210" s="24"/>
      <c r="AB210" s="24"/>
      <c r="AC210" s="24"/>
      <c r="AD210" s="24">
        <v>100</v>
      </c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</row>
    <row r="211" s="58" customFormat="1" ht="22.5" hidden="1" customHeight="1" spans="1:54">
      <c r="A211" s="18"/>
      <c r="B211" s="24"/>
      <c r="C211" s="25" t="s">
        <v>13</v>
      </c>
      <c r="D211" s="24"/>
      <c r="E211" s="24">
        <v>0</v>
      </c>
      <c r="F211" s="74">
        <f ca="1">SUMIF(I$3:$BB210,"入库",I211:$BB211)</f>
        <v>100</v>
      </c>
      <c r="G211" s="24">
        <f ca="1">SUMIF(J$3:$BB210,"出库",J211:$BB211)</f>
        <v>0</v>
      </c>
      <c r="H211" s="27">
        <f ca="1" t="shared" si="3"/>
        <v>100</v>
      </c>
      <c r="I211" s="24"/>
      <c r="J211" s="24"/>
      <c r="K211" s="24">
        <v>100</v>
      </c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</row>
    <row r="212" s="58" customFormat="1" ht="39" hidden="1" customHeight="1" spans="1:54">
      <c r="A212" s="19"/>
      <c r="B212" s="24"/>
      <c r="C212" s="24" t="s">
        <v>14</v>
      </c>
      <c r="D212" s="24"/>
      <c r="E212" s="24">
        <v>0</v>
      </c>
      <c r="F212" s="74">
        <f ca="1">SUMIF(I$3:$BB211,"入库",I212:$BB212)</f>
        <v>1100</v>
      </c>
      <c r="G212" s="24">
        <f ca="1">SUMIF(J$3:$BB211,"出库",J212:$BB212)</f>
        <v>1</v>
      </c>
      <c r="H212" s="27">
        <f ca="1" t="shared" si="3"/>
        <v>1099</v>
      </c>
      <c r="I212" s="24"/>
      <c r="J212" s="24"/>
      <c r="K212" s="24">
        <v>1100</v>
      </c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>
        <v>1</v>
      </c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</row>
    <row r="213" s="58" customFormat="1" ht="22.5" hidden="1" customHeight="1" spans="1:54">
      <c r="A213" s="72">
        <v>70</v>
      </c>
      <c r="B213" s="24" t="s">
        <v>84</v>
      </c>
      <c r="C213" s="73" t="s">
        <v>12</v>
      </c>
      <c r="D213" s="24"/>
      <c r="E213" s="24">
        <v>0</v>
      </c>
      <c r="F213" s="74">
        <f ca="1">SUMIF(I$3:$BB212,"入库",I213:$BB213)</f>
        <v>700</v>
      </c>
      <c r="G213" s="24">
        <f ca="1">SUMIF(J$3:$BB212,"出库",J213:$BB213)</f>
        <v>10</v>
      </c>
      <c r="H213" s="27">
        <f ca="1" t="shared" si="3"/>
        <v>690</v>
      </c>
      <c r="I213" s="24"/>
      <c r="J213" s="24"/>
      <c r="K213" s="24">
        <v>700</v>
      </c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>
        <v>10</v>
      </c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</row>
    <row r="214" s="58" customFormat="1" ht="22.5" hidden="1" customHeight="1" spans="1:54">
      <c r="A214" s="18"/>
      <c r="B214" s="24"/>
      <c r="C214" s="25" t="s">
        <v>13</v>
      </c>
      <c r="D214" s="24"/>
      <c r="E214" s="24">
        <v>0</v>
      </c>
      <c r="F214" s="74">
        <f ca="1">SUMIF(I$3:$BB213,"入库",I214:$BB214)</f>
        <v>20</v>
      </c>
      <c r="G214" s="24">
        <f ca="1">SUMIF(J$3:$BB213,"出库",J214:$BB214)</f>
        <v>0</v>
      </c>
      <c r="H214" s="27">
        <f ca="1" t="shared" si="3"/>
        <v>20</v>
      </c>
      <c r="I214" s="24"/>
      <c r="J214" s="24"/>
      <c r="K214" s="24">
        <v>20</v>
      </c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</row>
    <row r="215" s="58" customFormat="1" ht="22.5" hidden="1" customHeight="1" spans="1:54">
      <c r="A215" s="19"/>
      <c r="B215" s="24"/>
      <c r="C215" s="24" t="s">
        <v>14</v>
      </c>
      <c r="D215" s="24"/>
      <c r="E215" s="24">
        <v>0</v>
      </c>
      <c r="F215" s="74">
        <f ca="1">SUMIF(I$3:$BB214,"入库",I215:$BB215)</f>
        <v>60</v>
      </c>
      <c r="G215" s="24">
        <f ca="1">SUMIF(J$3:$BB214,"出库",J215:$BB215)</f>
        <v>0</v>
      </c>
      <c r="H215" s="27">
        <f ca="1" t="shared" si="3"/>
        <v>60</v>
      </c>
      <c r="I215" s="24"/>
      <c r="J215" s="24"/>
      <c r="K215" s="24">
        <v>60</v>
      </c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</row>
    <row r="216" s="58" customFormat="1" ht="39" hidden="1" customHeight="1" spans="1:54">
      <c r="A216" s="72">
        <v>71</v>
      </c>
      <c r="B216" s="24" t="s">
        <v>85</v>
      </c>
      <c r="C216" s="73" t="s">
        <v>12</v>
      </c>
      <c r="D216" s="24"/>
      <c r="E216" s="24">
        <v>0</v>
      </c>
      <c r="F216" s="74">
        <f ca="1">SUMIF(I$3:$BB215,"入库",I216:$BB216)</f>
        <v>2800</v>
      </c>
      <c r="G216" s="24">
        <f ca="1">SUMIF(J$3:$BB215,"出库",J216:$BB216)</f>
        <v>50</v>
      </c>
      <c r="H216" s="27">
        <f ca="1" t="shared" si="3"/>
        <v>2750</v>
      </c>
      <c r="I216" s="24"/>
      <c r="J216" s="24"/>
      <c r="K216" s="24">
        <v>2800</v>
      </c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>
        <v>50</v>
      </c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</row>
    <row r="217" s="58" customFormat="1" ht="22.5" hidden="1" customHeight="1" spans="1:54">
      <c r="A217" s="18"/>
      <c r="B217" s="24"/>
      <c r="C217" s="25" t="s">
        <v>13</v>
      </c>
      <c r="D217" s="24"/>
      <c r="E217" s="24">
        <v>0</v>
      </c>
      <c r="F217" s="74">
        <f ca="1">SUMIF(I$3:$BB216,"入库",I217:$BB217)</f>
        <v>80</v>
      </c>
      <c r="G217" s="24">
        <f ca="1">SUMIF(J$3:$BB216,"出库",J217:$BB217)</f>
        <v>50</v>
      </c>
      <c r="H217" s="27">
        <f ca="1" t="shared" si="3"/>
        <v>30</v>
      </c>
      <c r="I217" s="24"/>
      <c r="J217" s="24"/>
      <c r="K217" s="24">
        <v>80</v>
      </c>
      <c r="L217" s="24"/>
      <c r="M217" s="24"/>
      <c r="N217" s="24"/>
      <c r="O217" s="24"/>
      <c r="P217" s="24"/>
      <c r="Q217" s="24"/>
      <c r="R217" s="24"/>
      <c r="S217" s="24"/>
      <c r="T217" s="24">
        <v>50</v>
      </c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</row>
    <row r="218" s="58" customFormat="1" ht="22.5" hidden="1" customHeight="1" spans="1:54">
      <c r="A218" s="19"/>
      <c r="B218" s="24"/>
      <c r="C218" s="24" t="s">
        <v>14</v>
      </c>
      <c r="D218" s="24"/>
      <c r="E218" s="24">
        <v>0</v>
      </c>
      <c r="F218" s="74">
        <f ca="1">SUMIF(I$3:$BB217,"入库",I218:$BB218)</f>
        <v>0</v>
      </c>
      <c r="G218" s="24">
        <f ca="1">SUMIF(J$3:$BB217,"出库",J218:$BB218)</f>
        <v>0</v>
      </c>
      <c r="H218" s="27">
        <f ca="1" t="shared" si="3"/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</row>
    <row r="219" s="58" customFormat="1" ht="22.5" hidden="1" customHeight="1" spans="1:54">
      <c r="A219" s="72">
        <v>72</v>
      </c>
      <c r="B219" s="24" t="s">
        <v>86</v>
      </c>
      <c r="C219" s="73" t="s">
        <v>12</v>
      </c>
      <c r="D219" s="24"/>
      <c r="E219" s="24">
        <v>0</v>
      </c>
      <c r="F219" s="74">
        <f ca="1">SUMIF(I$3:$BB218,"入库",I219:$BB219)</f>
        <v>180</v>
      </c>
      <c r="G219" s="24">
        <f ca="1">SUMIF(J$3:$BB218,"出库",J219:$BB219)</f>
        <v>100</v>
      </c>
      <c r="H219" s="27">
        <f ca="1" t="shared" si="3"/>
        <v>80</v>
      </c>
      <c r="I219" s="24">
        <v>180</v>
      </c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>
        <v>100</v>
      </c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</row>
    <row r="220" s="58" customFormat="1" ht="39" hidden="1" customHeight="1" spans="1:54">
      <c r="A220" s="18"/>
      <c r="B220" s="24"/>
      <c r="C220" s="25" t="s">
        <v>13</v>
      </c>
      <c r="D220" s="24"/>
      <c r="E220" s="24">
        <v>0</v>
      </c>
      <c r="F220" s="74">
        <f ca="1">SUMIF(I$3:$BB219,"入库",I220:$BB220)</f>
        <v>10200</v>
      </c>
      <c r="G220" s="24">
        <f ca="1">SUMIF(J$3:$BB219,"出库",J220:$BB220)</f>
        <v>0</v>
      </c>
      <c r="H220" s="27">
        <f ca="1" t="shared" si="3"/>
        <v>10200</v>
      </c>
      <c r="I220" s="24">
        <v>10200</v>
      </c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</row>
    <row r="221" s="58" customFormat="1" ht="22.5" hidden="1" customHeight="1" spans="1:54">
      <c r="A221" s="19"/>
      <c r="B221" s="24"/>
      <c r="C221" s="24" t="s">
        <v>14</v>
      </c>
      <c r="D221" s="24"/>
      <c r="E221" s="24">
        <v>0</v>
      </c>
      <c r="F221" s="74">
        <f ca="1">SUMIF(I$3:$BB220,"入库",I221:$BB221)</f>
        <v>0</v>
      </c>
      <c r="G221" s="24">
        <f ca="1">SUMIF(J$3:$BB220,"出库",J221:$BB221)</f>
        <v>0</v>
      </c>
      <c r="H221" s="27">
        <f ca="1" t="shared" si="3"/>
        <v>0</v>
      </c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</row>
    <row r="222" s="58" customFormat="1" ht="22.5" hidden="1" customHeight="1" spans="1:54">
      <c r="A222" s="72">
        <v>73</v>
      </c>
      <c r="B222" s="24" t="s">
        <v>87</v>
      </c>
      <c r="C222" s="73" t="s">
        <v>12</v>
      </c>
      <c r="D222" s="24"/>
      <c r="E222" s="24">
        <v>0</v>
      </c>
      <c r="F222" s="74">
        <f ca="1">SUMIF(I$3:$BB221,"入库",I222:$BB222)</f>
        <v>400</v>
      </c>
      <c r="G222" s="24">
        <f ca="1">SUMIF(J$3:$BB221,"出库",J222:$BB222)</f>
        <v>90</v>
      </c>
      <c r="H222" s="27">
        <f ca="1" t="shared" si="3"/>
        <v>310</v>
      </c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>
        <v>400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>
        <v>90</v>
      </c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</row>
    <row r="223" s="58" customFormat="1" ht="22.5" hidden="1" customHeight="1" spans="1:54">
      <c r="A223" s="18"/>
      <c r="B223" s="24"/>
      <c r="C223" s="25" t="s">
        <v>13</v>
      </c>
      <c r="D223" s="24"/>
      <c r="E223" s="24">
        <v>0</v>
      </c>
      <c r="F223" s="74">
        <f ca="1">SUMIF(I$3:$BB222,"入库",I223:$BB223)</f>
        <v>30</v>
      </c>
      <c r="G223" s="24">
        <f ca="1">SUMIF(J$3:$BB222,"出库",J223:$BB223)</f>
        <v>0</v>
      </c>
      <c r="H223" s="27">
        <f ca="1" t="shared" si="3"/>
        <v>30</v>
      </c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>
        <v>30</v>
      </c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</row>
    <row r="224" s="58" customFormat="1" ht="22.5" hidden="1" customHeight="1" spans="1:54">
      <c r="A224" s="19"/>
      <c r="B224" s="24"/>
      <c r="C224" s="24" t="s">
        <v>14</v>
      </c>
      <c r="D224" s="24"/>
      <c r="E224" s="24">
        <v>0</v>
      </c>
      <c r="F224" s="74">
        <f ca="1">SUMIF(I$3:$BB223,"入库",I224:$BB224)</f>
        <v>20</v>
      </c>
      <c r="G224" s="24">
        <f ca="1">SUMIF(J$3:$BB223,"出库",J224:$BB224)</f>
        <v>0</v>
      </c>
      <c r="H224" s="27">
        <f ca="1">E224+F224-G224</f>
        <v>20</v>
      </c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>
        <v>20</v>
      </c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</row>
    <row r="225" s="58" customFormat="1" ht="39" hidden="1" customHeight="1" spans="1:54">
      <c r="A225" s="72">
        <v>74</v>
      </c>
      <c r="B225" s="24" t="s">
        <v>88</v>
      </c>
      <c r="C225" s="73" t="s">
        <v>12</v>
      </c>
      <c r="D225" s="24"/>
      <c r="E225" s="24">
        <v>0</v>
      </c>
      <c r="F225" s="74">
        <f ca="1">SUMIF(I$3:$BB224,"入库",I225:$BB225)</f>
        <v>2600</v>
      </c>
      <c r="G225" s="24">
        <f ca="1">SUMIF(J$3:$BB224,"出库",J225:$BB225)</f>
        <v>130</v>
      </c>
      <c r="H225" s="27">
        <f ca="1" t="shared" ref="H225:H288" si="4">E225+F225-G225</f>
        <v>2470</v>
      </c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>
        <v>2600</v>
      </c>
      <c r="X225" s="24"/>
      <c r="Y225" s="24"/>
      <c r="Z225" s="24">
        <v>100</v>
      </c>
      <c r="AA225" s="24"/>
      <c r="AB225" s="24"/>
      <c r="AC225" s="24"/>
      <c r="AD225" s="24"/>
      <c r="AE225" s="24"/>
      <c r="AF225" s="24"/>
      <c r="AG225" s="24"/>
      <c r="AH225" s="24"/>
      <c r="AI225" s="24"/>
      <c r="AJ225" s="24">
        <v>30</v>
      </c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</row>
    <row r="226" s="58" customFormat="1" ht="22.5" hidden="1" customHeight="1" spans="1:54">
      <c r="A226" s="18"/>
      <c r="B226" s="24"/>
      <c r="C226" s="25" t="s">
        <v>13</v>
      </c>
      <c r="D226" s="24"/>
      <c r="E226" s="24">
        <v>0</v>
      </c>
      <c r="F226" s="74">
        <f ca="1">SUMIF(I$3:$BB225,"入库",I226:$BB226)</f>
        <v>0</v>
      </c>
      <c r="G226" s="24">
        <f ca="1">SUMIF(J$3:$BB225,"出库",J226:$BB226)</f>
        <v>0</v>
      </c>
      <c r="H226" s="27">
        <f ca="1" t="shared" si="4"/>
        <v>0</v>
      </c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</row>
    <row r="227" s="58" customFormat="1" ht="22.5" hidden="1" customHeight="1" spans="1:54">
      <c r="A227" s="19"/>
      <c r="B227" s="24"/>
      <c r="C227" s="24" t="s">
        <v>14</v>
      </c>
      <c r="D227" s="24"/>
      <c r="E227" s="24">
        <v>0</v>
      </c>
      <c r="F227" s="74">
        <f ca="1">SUMIF(I$3:$BB226,"入库",I227:$BB227)</f>
        <v>20</v>
      </c>
      <c r="G227" s="24">
        <f ca="1">SUMIF(J$3:$BB226,"出库",J227:$BB227)</f>
        <v>14</v>
      </c>
      <c r="H227" s="27">
        <f ca="1" t="shared" si="4"/>
        <v>6</v>
      </c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>
        <v>20</v>
      </c>
      <c r="X227" s="24"/>
      <c r="Y227" s="24"/>
      <c r="Z227" s="24"/>
      <c r="AA227" s="24"/>
      <c r="AB227" s="24"/>
      <c r="AC227" s="24"/>
      <c r="AD227" s="24">
        <v>10</v>
      </c>
      <c r="AE227" s="24"/>
      <c r="AF227" s="24"/>
      <c r="AG227" s="24"/>
      <c r="AH227" s="24"/>
      <c r="AI227" s="24"/>
      <c r="AJ227" s="24">
        <v>4</v>
      </c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</row>
    <row r="228" s="58" customFormat="1" ht="39" hidden="1" customHeight="1" spans="1:54">
      <c r="A228" s="72">
        <v>75</v>
      </c>
      <c r="B228" s="24" t="s">
        <v>89</v>
      </c>
      <c r="C228" s="73" t="s">
        <v>12</v>
      </c>
      <c r="D228" s="24"/>
      <c r="E228" s="24">
        <v>0</v>
      </c>
      <c r="F228" s="74">
        <f ca="1">SUMIF(I$3:$BB227,"入库",I228:$BB228)</f>
        <v>4900</v>
      </c>
      <c r="G228" s="24">
        <f ca="1">SUMIF(J$3:$BB227,"出库",J228:$BB228)</f>
        <v>550</v>
      </c>
      <c r="H228" s="27">
        <f ca="1" t="shared" si="4"/>
        <v>4350</v>
      </c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>
        <v>4900</v>
      </c>
      <c r="V228" s="24"/>
      <c r="W228" s="24"/>
      <c r="X228" s="24"/>
      <c r="Y228" s="24"/>
      <c r="Z228" s="24">
        <v>50</v>
      </c>
      <c r="AA228" s="24"/>
      <c r="AB228" s="24"/>
      <c r="AC228" s="24"/>
      <c r="AD228" s="24"/>
      <c r="AE228" s="24"/>
      <c r="AF228" s="24"/>
      <c r="AG228" s="24"/>
      <c r="AH228" s="24">
        <v>500</v>
      </c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</row>
    <row r="229" s="58" customFormat="1" ht="22.5" hidden="1" customHeight="1" spans="1:54">
      <c r="A229" s="18"/>
      <c r="B229" s="24"/>
      <c r="C229" s="25" t="s">
        <v>13</v>
      </c>
      <c r="D229" s="24"/>
      <c r="E229" s="24">
        <v>0</v>
      </c>
      <c r="F229" s="74">
        <f ca="1">SUMIF(I$3:$BB228,"入库",I229:$BB229)</f>
        <v>0</v>
      </c>
      <c r="G229" s="24">
        <f ca="1">SUMIF(J$3:$BB228,"出库",J229:$BB229)</f>
        <v>0</v>
      </c>
      <c r="H229" s="27">
        <f ca="1" t="shared" si="4"/>
        <v>0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</row>
    <row r="230" s="58" customFormat="1" ht="22.5" hidden="1" customHeight="1" spans="1:54">
      <c r="A230" s="19"/>
      <c r="B230" s="24"/>
      <c r="C230" s="24" t="s">
        <v>14</v>
      </c>
      <c r="D230" s="24"/>
      <c r="E230" s="24">
        <v>0</v>
      </c>
      <c r="F230" s="74">
        <f ca="1">SUMIF(I$3:$BB229,"入库",I230:$BB230)</f>
        <v>0</v>
      </c>
      <c r="G230" s="24">
        <f ca="1">SUMIF(J$3:$BB229,"出库",J230:$BB230)</f>
        <v>0</v>
      </c>
      <c r="H230" s="27">
        <f ca="1" t="shared" si="4"/>
        <v>0</v>
      </c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</row>
    <row r="231" s="58" customFormat="1" ht="22.5" hidden="1" customHeight="1" spans="1:54">
      <c r="A231" s="72">
        <v>76</v>
      </c>
      <c r="B231" s="24" t="s">
        <v>90</v>
      </c>
      <c r="C231" s="73" t="s">
        <v>12</v>
      </c>
      <c r="D231" s="24"/>
      <c r="E231" s="24">
        <v>0</v>
      </c>
      <c r="F231" s="74">
        <f ca="1">SUMIF(I$3:$BB230,"入库",I231:$BB231)</f>
        <v>800</v>
      </c>
      <c r="G231" s="24">
        <f ca="1">SUMIF(J$3:$BB230,"出库",J231:$BB231)</f>
        <v>405</v>
      </c>
      <c r="H231" s="27">
        <f ca="1" t="shared" si="4"/>
        <v>395</v>
      </c>
      <c r="I231" s="24"/>
      <c r="J231" s="24"/>
      <c r="K231" s="24"/>
      <c r="L231" s="24"/>
      <c r="M231" s="24">
        <v>800</v>
      </c>
      <c r="N231" s="24"/>
      <c r="O231" s="24"/>
      <c r="P231" s="24">
        <v>205</v>
      </c>
      <c r="Q231" s="24"/>
      <c r="R231" s="24"/>
      <c r="S231" s="24"/>
      <c r="T231" s="24">
        <v>100</v>
      </c>
      <c r="U231" s="24"/>
      <c r="V231" s="24"/>
      <c r="W231" s="24"/>
      <c r="X231" s="24"/>
      <c r="Y231" s="24"/>
      <c r="Z231" s="24"/>
      <c r="AA231" s="24"/>
      <c r="AB231" s="24">
        <v>100</v>
      </c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</row>
    <row r="232" s="58" customFormat="1" ht="22.5" hidden="1" customHeight="1" spans="1:54">
      <c r="A232" s="18"/>
      <c r="B232" s="24"/>
      <c r="C232" s="25" t="s">
        <v>13</v>
      </c>
      <c r="D232" s="24"/>
      <c r="E232" s="24">
        <v>0</v>
      </c>
      <c r="F232" s="74">
        <f ca="1">SUMIF(I$3:$BB231,"入库",I232:$BB232)</f>
        <v>50</v>
      </c>
      <c r="G232" s="24">
        <f ca="1">SUMIF(J$3:$BB231,"出库",J232:$BB232)</f>
        <v>0</v>
      </c>
      <c r="H232" s="27">
        <f ca="1" t="shared" si="4"/>
        <v>50</v>
      </c>
      <c r="I232" s="24"/>
      <c r="J232" s="24"/>
      <c r="K232" s="24"/>
      <c r="L232" s="24"/>
      <c r="M232" s="24">
        <v>50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</row>
    <row r="233" s="58" customFormat="1" ht="22.5" hidden="1" customHeight="1" spans="1:54">
      <c r="A233" s="19"/>
      <c r="B233" s="24"/>
      <c r="C233" s="24" t="s">
        <v>14</v>
      </c>
      <c r="D233" s="24"/>
      <c r="E233" s="24">
        <v>0</v>
      </c>
      <c r="F233" s="74">
        <f ca="1">SUMIF(I$3:$BB232,"入库",I233:$BB233)</f>
        <v>0</v>
      </c>
      <c r="G233" s="24">
        <f ca="1">SUMIF(J$3:$BB232,"出库",J233:$BB233)</f>
        <v>0</v>
      </c>
      <c r="H233" s="27">
        <f ca="1" t="shared" si="4"/>
        <v>0</v>
      </c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</row>
    <row r="234" s="58" customFormat="1" ht="39" hidden="1" customHeight="1" spans="1:54">
      <c r="A234" s="72">
        <v>77</v>
      </c>
      <c r="B234" s="24" t="s">
        <v>91</v>
      </c>
      <c r="C234" s="73" t="s">
        <v>12</v>
      </c>
      <c r="D234" s="24"/>
      <c r="E234" s="24">
        <v>0</v>
      </c>
      <c r="F234" s="74">
        <f ca="1">SUMIF(I$3:$BB233,"入库",I234:$BB234)</f>
        <v>3800</v>
      </c>
      <c r="G234" s="24">
        <f ca="1">SUMIF(J$3:$BB233,"出库",J234:$BB234)</f>
        <v>482</v>
      </c>
      <c r="H234" s="27">
        <f ca="1" t="shared" si="4"/>
        <v>3318</v>
      </c>
      <c r="I234" s="24"/>
      <c r="J234" s="24"/>
      <c r="K234" s="24"/>
      <c r="L234" s="24"/>
      <c r="M234" s="24">
        <v>3800</v>
      </c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>
        <v>50</v>
      </c>
      <c r="AA234" s="24"/>
      <c r="AB234" s="24"/>
      <c r="AC234" s="24"/>
      <c r="AD234" s="24"/>
      <c r="AE234" s="24"/>
      <c r="AF234" s="24"/>
      <c r="AG234" s="24"/>
      <c r="AH234" s="24">
        <v>250</v>
      </c>
      <c r="AI234" s="24"/>
      <c r="AJ234" s="24">
        <v>182</v>
      </c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</row>
    <row r="235" s="58" customFormat="1" ht="22.5" hidden="1" customHeight="1" spans="1:54">
      <c r="A235" s="18"/>
      <c r="B235" s="24"/>
      <c r="C235" s="25" t="s">
        <v>13</v>
      </c>
      <c r="D235" s="24"/>
      <c r="E235" s="24">
        <v>0</v>
      </c>
      <c r="F235" s="74">
        <f ca="1">SUMIF(I$3:$BB234,"入库",I235:$BB235)</f>
        <v>10</v>
      </c>
      <c r="G235" s="24">
        <f ca="1">SUMIF(J$3:$BB234,"出库",J235:$BB235)</f>
        <v>0</v>
      </c>
      <c r="H235" s="27">
        <f ca="1" t="shared" si="4"/>
        <v>10</v>
      </c>
      <c r="I235" s="24"/>
      <c r="J235" s="24"/>
      <c r="K235" s="24"/>
      <c r="L235" s="24"/>
      <c r="M235" s="24">
        <v>10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</row>
    <row r="236" s="58" customFormat="1" ht="39" hidden="1" customHeight="1" spans="1:54">
      <c r="A236" s="19"/>
      <c r="B236" s="24"/>
      <c r="C236" s="24" t="s">
        <v>14</v>
      </c>
      <c r="D236" s="24"/>
      <c r="E236" s="24">
        <v>0</v>
      </c>
      <c r="F236" s="74">
        <f ca="1">SUMIF(I$3:$BB235,"入库",I236:$BB236)</f>
        <v>1200</v>
      </c>
      <c r="G236" s="24">
        <f ca="1">SUMIF(J$3:$BB235,"出库",J236:$BB236)</f>
        <v>1</v>
      </c>
      <c r="H236" s="27">
        <f ca="1" t="shared" si="4"/>
        <v>1199</v>
      </c>
      <c r="I236" s="24"/>
      <c r="J236" s="24"/>
      <c r="K236" s="24"/>
      <c r="L236" s="24"/>
      <c r="M236" s="24">
        <v>1200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>
        <v>1</v>
      </c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</row>
    <row r="237" s="58" customFormat="1" ht="39" hidden="1" customHeight="1" spans="1:54">
      <c r="A237" s="72">
        <v>78</v>
      </c>
      <c r="B237" s="24" t="s">
        <v>92</v>
      </c>
      <c r="C237" s="73" t="s">
        <v>12</v>
      </c>
      <c r="D237" s="24"/>
      <c r="E237" s="24">
        <v>0</v>
      </c>
      <c r="F237" s="74">
        <f ca="1">SUMIF(I$3:$BB236,"入库",I237:$BB237)</f>
        <v>1200</v>
      </c>
      <c r="G237" s="24">
        <f ca="1">SUMIF(J$3:$BB236,"出库",J237:$BB237)</f>
        <v>420</v>
      </c>
      <c r="H237" s="27">
        <f ca="1" t="shared" si="4"/>
        <v>780</v>
      </c>
      <c r="I237" s="24"/>
      <c r="J237" s="24"/>
      <c r="K237" s="24">
        <v>1200</v>
      </c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>
        <v>400</v>
      </c>
      <c r="AE237" s="24"/>
      <c r="AF237" s="24"/>
      <c r="AG237" s="24"/>
      <c r="AH237" s="24">
        <v>10</v>
      </c>
      <c r="AI237" s="24"/>
      <c r="AJ237" s="24">
        <v>10</v>
      </c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</row>
    <row r="238" s="58" customFormat="1" ht="22.5" hidden="1" customHeight="1" spans="1:54">
      <c r="A238" s="18"/>
      <c r="B238" s="24"/>
      <c r="C238" s="25" t="s">
        <v>13</v>
      </c>
      <c r="D238" s="24"/>
      <c r="E238" s="24">
        <v>0</v>
      </c>
      <c r="F238" s="74">
        <f ca="1">SUMIF(I$3:$BB237,"入库",I238:$BB238)</f>
        <v>0</v>
      </c>
      <c r="G238" s="24">
        <f ca="1">SUMIF(J$3:$BB237,"出库",J238:$BB238)</f>
        <v>0</v>
      </c>
      <c r="H238" s="27">
        <f ca="1" t="shared" si="4"/>
        <v>0</v>
      </c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</row>
    <row r="239" s="58" customFormat="1" ht="22.5" hidden="1" customHeight="1" spans="1:54">
      <c r="A239" s="19"/>
      <c r="B239" s="24"/>
      <c r="C239" s="24" t="s">
        <v>14</v>
      </c>
      <c r="D239" s="24"/>
      <c r="E239" s="24">
        <v>0</v>
      </c>
      <c r="F239" s="74">
        <f ca="1">SUMIF(I$3:$BB238,"入库",I239:$BB239)</f>
        <v>50</v>
      </c>
      <c r="G239" s="24">
        <f ca="1">SUMIF(J$3:$BB238,"出库",J239:$BB239)</f>
        <v>1</v>
      </c>
      <c r="H239" s="27">
        <f ca="1" t="shared" si="4"/>
        <v>49</v>
      </c>
      <c r="I239" s="24"/>
      <c r="J239" s="24"/>
      <c r="K239" s="24">
        <v>50</v>
      </c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>
        <v>1</v>
      </c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</row>
    <row r="240" s="58" customFormat="1" ht="39" hidden="1" customHeight="1" spans="1:54">
      <c r="A240" s="72">
        <v>79</v>
      </c>
      <c r="B240" s="24" t="s">
        <v>93</v>
      </c>
      <c r="C240" s="73" t="s">
        <v>12</v>
      </c>
      <c r="D240" s="24"/>
      <c r="E240" s="24">
        <v>0</v>
      </c>
      <c r="F240" s="74">
        <f ca="1">SUMIF(I$3:$BB239,"入库",I240:$BB240)</f>
        <v>900</v>
      </c>
      <c r="G240" s="24">
        <f ca="1">SUMIF(J$3:$BB239,"出库",J240:$BB240)</f>
        <v>85</v>
      </c>
      <c r="H240" s="27">
        <f ca="1" t="shared" si="4"/>
        <v>815</v>
      </c>
      <c r="I240" s="24"/>
      <c r="J240" s="24"/>
      <c r="K240" s="24">
        <v>900</v>
      </c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>
        <v>25</v>
      </c>
      <c r="Y240" s="24"/>
      <c r="Z240" s="24">
        <v>60</v>
      </c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</row>
    <row r="241" s="58" customFormat="1" ht="22.5" hidden="1" customHeight="1" spans="1:54">
      <c r="A241" s="18"/>
      <c r="B241" s="24"/>
      <c r="C241" s="25" t="s">
        <v>13</v>
      </c>
      <c r="D241" s="24"/>
      <c r="E241" s="24">
        <v>0</v>
      </c>
      <c r="F241" s="74">
        <f ca="1">SUMIF(I$3:$BB240,"入库",I241:$BB241)</f>
        <v>60</v>
      </c>
      <c r="G241" s="24">
        <f ca="1">SUMIF(J$3:$BB240,"出库",J241:$BB241)</f>
        <v>0</v>
      </c>
      <c r="H241" s="27">
        <f ca="1" t="shared" si="4"/>
        <v>60</v>
      </c>
      <c r="I241" s="24"/>
      <c r="J241" s="24"/>
      <c r="K241" s="24">
        <v>60</v>
      </c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</row>
    <row r="242" s="58" customFormat="1" ht="22.5" hidden="1" customHeight="1" spans="1:54">
      <c r="A242" s="19"/>
      <c r="B242" s="24"/>
      <c r="C242" s="24" t="s">
        <v>14</v>
      </c>
      <c r="D242" s="24"/>
      <c r="E242" s="24">
        <v>0</v>
      </c>
      <c r="F242" s="74">
        <f ca="1">SUMIF(I$3:$BB241,"入库",I242:$BB242)</f>
        <v>10</v>
      </c>
      <c r="G242" s="24">
        <f ca="1">SUMIF(J$3:$BB241,"出库",J242:$BB242)</f>
        <v>4</v>
      </c>
      <c r="H242" s="27">
        <f ca="1" t="shared" si="4"/>
        <v>6</v>
      </c>
      <c r="I242" s="24"/>
      <c r="J242" s="24"/>
      <c r="K242" s="24">
        <v>10</v>
      </c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>
        <v>3</v>
      </c>
      <c r="AC242" s="24"/>
      <c r="AD242" s="24"/>
      <c r="AE242" s="24"/>
      <c r="AF242" s="24"/>
      <c r="AG242" s="24"/>
      <c r="AH242" s="24">
        <v>1</v>
      </c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</row>
    <row r="243" s="58" customFormat="1" ht="22.5" hidden="1" customHeight="1" spans="1:54">
      <c r="A243" s="72">
        <v>80</v>
      </c>
      <c r="B243" s="24" t="s">
        <v>94</v>
      </c>
      <c r="C243" s="73" t="s">
        <v>12</v>
      </c>
      <c r="D243" s="24"/>
      <c r="E243" s="24">
        <v>0</v>
      </c>
      <c r="F243" s="74">
        <f ca="1">SUMIF(I$3:$BB242,"入库",I243:$BB243)</f>
        <v>700</v>
      </c>
      <c r="G243" s="24">
        <f ca="1">SUMIF(J$3:$BB242,"出库",J243:$BB243)</f>
        <v>100</v>
      </c>
      <c r="H243" s="27">
        <f ca="1" t="shared" si="4"/>
        <v>600</v>
      </c>
      <c r="I243" s="24"/>
      <c r="J243" s="24"/>
      <c r="K243" s="24">
        <v>700</v>
      </c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>
        <v>100</v>
      </c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</row>
    <row r="244" s="58" customFormat="1" ht="22.5" hidden="1" customHeight="1" spans="1:54">
      <c r="A244" s="18"/>
      <c r="B244" s="24"/>
      <c r="C244" s="25" t="s">
        <v>13</v>
      </c>
      <c r="D244" s="24"/>
      <c r="E244" s="24">
        <v>0</v>
      </c>
      <c r="F244" s="74">
        <f ca="1">SUMIF(I$3:$BB243,"入库",I244:$BB244)</f>
        <v>270</v>
      </c>
      <c r="G244" s="24">
        <f ca="1">SUMIF(J$3:$BB243,"出库",J244:$BB244)</f>
        <v>0</v>
      </c>
      <c r="H244" s="27">
        <f ca="1" t="shared" si="4"/>
        <v>270</v>
      </c>
      <c r="I244" s="24"/>
      <c r="J244" s="24"/>
      <c r="K244" s="24">
        <v>270</v>
      </c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</row>
    <row r="245" s="58" customFormat="1" ht="22.5" hidden="1" customHeight="1" spans="1:54">
      <c r="A245" s="19"/>
      <c r="B245" s="24"/>
      <c r="C245" s="24" t="s">
        <v>14</v>
      </c>
      <c r="D245" s="24"/>
      <c r="E245" s="24">
        <v>0</v>
      </c>
      <c r="F245" s="74">
        <f ca="1">SUMIF(I$3:$BB244,"入库",I245:$BB245)</f>
        <v>550</v>
      </c>
      <c r="G245" s="24">
        <f ca="1">SUMIF(J$3:$BB244,"出库",J245:$BB245)</f>
        <v>1</v>
      </c>
      <c r="H245" s="27">
        <f ca="1" t="shared" si="4"/>
        <v>549</v>
      </c>
      <c r="I245" s="24"/>
      <c r="J245" s="24"/>
      <c r="K245" s="24">
        <v>550</v>
      </c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>
        <v>1</v>
      </c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</row>
    <row r="246" s="58" customFormat="1" ht="39" hidden="1" customHeight="1" spans="1:54">
      <c r="A246" s="72">
        <v>81</v>
      </c>
      <c r="B246" s="24" t="s">
        <v>95</v>
      </c>
      <c r="C246" s="73" t="s">
        <v>12</v>
      </c>
      <c r="D246" s="24"/>
      <c r="E246" s="24">
        <v>0</v>
      </c>
      <c r="F246" s="74">
        <f ca="1">SUMIF(I$3:$BB245,"入库",I246:$BB246)</f>
        <v>3200</v>
      </c>
      <c r="G246" s="24">
        <f ca="1">SUMIF(J$3:$BB245,"出库",J246:$BB246)</f>
        <v>130</v>
      </c>
      <c r="H246" s="27">
        <f ca="1" t="shared" si="4"/>
        <v>3070</v>
      </c>
      <c r="I246" s="24">
        <v>3200</v>
      </c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>
        <v>110</v>
      </c>
      <c r="U246" s="24"/>
      <c r="V246" s="24"/>
      <c r="W246" s="24"/>
      <c r="X246" s="24"/>
      <c r="Y246" s="24"/>
      <c r="Z246" s="24">
        <v>20</v>
      </c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</row>
    <row r="247" s="58" customFormat="1" ht="22.5" hidden="1" customHeight="1" spans="1:54">
      <c r="A247" s="18"/>
      <c r="B247" s="24"/>
      <c r="C247" s="25" t="s">
        <v>13</v>
      </c>
      <c r="D247" s="24"/>
      <c r="E247" s="24">
        <v>0</v>
      </c>
      <c r="F247" s="74">
        <f ca="1">SUMIF(I$3:$BB246,"入库",I247:$BB247)</f>
        <v>0</v>
      </c>
      <c r="G247" s="24">
        <f ca="1">SUMIF(J$3:$BB246,"出库",J247:$BB247)</f>
        <v>0</v>
      </c>
      <c r="H247" s="27">
        <f ca="1" t="shared" si="4"/>
        <v>0</v>
      </c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</row>
    <row r="248" s="58" customFormat="1" ht="22.5" hidden="1" customHeight="1" spans="1:54">
      <c r="A248" s="19"/>
      <c r="B248" s="24"/>
      <c r="C248" s="24" t="s">
        <v>14</v>
      </c>
      <c r="D248" s="24"/>
      <c r="E248" s="24">
        <v>0</v>
      </c>
      <c r="F248" s="74">
        <f ca="1">SUMIF(I$3:$BB247,"入库",I248:$BB248)</f>
        <v>650</v>
      </c>
      <c r="G248" s="24">
        <f ca="1">SUMIF(J$3:$BB247,"出库",J248:$BB248)</f>
        <v>0</v>
      </c>
      <c r="H248" s="27">
        <f ca="1" t="shared" si="4"/>
        <v>650</v>
      </c>
      <c r="I248" s="24">
        <v>650</v>
      </c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</row>
    <row r="249" s="58" customFormat="1" ht="22.5" hidden="1" customHeight="1" spans="1:54">
      <c r="A249" s="72">
        <v>82</v>
      </c>
      <c r="B249" s="24" t="s">
        <v>96</v>
      </c>
      <c r="C249" s="73" t="s">
        <v>12</v>
      </c>
      <c r="D249" s="24"/>
      <c r="E249" s="24">
        <v>0</v>
      </c>
      <c r="F249" s="74">
        <f ca="1">SUMIF(I$3:$BB248,"入库",I249:$BB249)</f>
        <v>2650</v>
      </c>
      <c r="G249" s="24">
        <f ca="1">SUMIF(J$3:$BB248,"出库",J249:$BB249)</f>
        <v>306</v>
      </c>
      <c r="H249" s="27">
        <f ca="1" t="shared" si="4"/>
        <v>2344</v>
      </c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>
        <v>2650</v>
      </c>
      <c r="X249" s="24"/>
      <c r="Y249" s="24"/>
      <c r="Z249" s="24"/>
      <c r="AA249" s="24"/>
      <c r="AB249" s="24">
        <v>305</v>
      </c>
      <c r="AC249" s="24"/>
      <c r="AD249" s="24"/>
      <c r="AE249" s="24"/>
      <c r="AF249" s="24"/>
      <c r="AG249" s="24"/>
      <c r="AH249" s="24"/>
      <c r="AI249" s="24"/>
      <c r="AJ249" s="24">
        <v>1</v>
      </c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</row>
    <row r="250" s="58" customFormat="1" ht="22.5" hidden="1" customHeight="1" spans="1:54">
      <c r="A250" s="18"/>
      <c r="B250" s="24"/>
      <c r="C250" s="25" t="s">
        <v>13</v>
      </c>
      <c r="D250" s="24"/>
      <c r="E250" s="24">
        <v>0</v>
      </c>
      <c r="F250" s="74">
        <f ca="1">SUMIF(I$3:$BB249,"入库",I250:$BB250)</f>
        <v>50</v>
      </c>
      <c r="G250" s="24">
        <f ca="1">SUMIF(J$3:$BB249,"出库",J250:$BB250)</f>
        <v>0</v>
      </c>
      <c r="H250" s="27">
        <f ca="1" t="shared" si="4"/>
        <v>50</v>
      </c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>
        <v>50</v>
      </c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</row>
    <row r="251" s="58" customFormat="1" ht="22.5" hidden="1" customHeight="1" spans="1:54">
      <c r="A251" s="19"/>
      <c r="B251" s="24"/>
      <c r="C251" s="24" t="s">
        <v>14</v>
      </c>
      <c r="D251" s="24"/>
      <c r="E251" s="24">
        <v>0</v>
      </c>
      <c r="F251" s="74">
        <f ca="1">SUMIF(I$3:$BB250,"入库",I251:$BB251)</f>
        <v>0</v>
      </c>
      <c r="G251" s="24">
        <f ca="1">SUMIF(J$3:$BB250,"出库",J251:$BB251)</f>
        <v>0</v>
      </c>
      <c r="H251" s="27">
        <f ca="1" t="shared" si="4"/>
        <v>0</v>
      </c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</row>
    <row r="252" s="58" customFormat="1" ht="39" hidden="1" customHeight="1" spans="1:54">
      <c r="A252" s="72">
        <v>83</v>
      </c>
      <c r="B252" s="24" t="s">
        <v>97</v>
      </c>
      <c r="C252" s="73" t="s">
        <v>12</v>
      </c>
      <c r="D252" s="24"/>
      <c r="E252" s="24">
        <v>0</v>
      </c>
      <c r="F252" s="74">
        <f ca="1">SUMIF(I$3:$BB251,"入库",I252:$BB252)</f>
        <v>6500</v>
      </c>
      <c r="G252" s="24">
        <f ca="1">SUMIF(J$3:$BB251,"出库",J252:$BB252)</f>
        <v>0</v>
      </c>
      <c r="H252" s="27">
        <f ca="1" t="shared" si="4"/>
        <v>6500</v>
      </c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>
        <v>6500</v>
      </c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</row>
    <row r="253" s="58" customFormat="1" ht="22.5" hidden="1" customHeight="1" spans="1:54">
      <c r="A253" s="18"/>
      <c r="B253" s="24"/>
      <c r="C253" s="25" t="s">
        <v>13</v>
      </c>
      <c r="D253" s="24"/>
      <c r="E253" s="24">
        <v>0</v>
      </c>
      <c r="F253" s="74">
        <f ca="1">SUMIF(I$3:$BB252,"入库",I253:$BB253)</f>
        <v>800</v>
      </c>
      <c r="G253" s="24">
        <f ca="1">SUMIF(J$3:$BB252,"出库",J253:$BB253)</f>
        <v>0</v>
      </c>
      <c r="H253" s="27">
        <f ca="1" t="shared" si="4"/>
        <v>800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>
        <v>800</v>
      </c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</row>
    <row r="254" s="58" customFormat="1" ht="22.5" hidden="1" customHeight="1" spans="1:54">
      <c r="A254" s="19"/>
      <c r="B254" s="24"/>
      <c r="C254" s="24" t="s">
        <v>14</v>
      </c>
      <c r="D254" s="24"/>
      <c r="E254" s="24">
        <v>0</v>
      </c>
      <c r="F254" s="74">
        <f ca="1">SUMIF(I$3:$BB253,"入库",I254:$BB254)</f>
        <v>15</v>
      </c>
      <c r="G254" s="24">
        <f ca="1">SUMIF(J$3:$BB253,"出库",J254:$BB254)</f>
        <v>0</v>
      </c>
      <c r="H254" s="27">
        <f ca="1" t="shared" si="4"/>
        <v>15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>
        <v>15</v>
      </c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</row>
    <row r="255" s="58" customFormat="1" ht="39" hidden="1" customHeight="1" spans="1:54">
      <c r="A255" s="72">
        <v>84</v>
      </c>
      <c r="B255" s="24" t="s">
        <v>98</v>
      </c>
      <c r="C255" s="73" t="s">
        <v>12</v>
      </c>
      <c r="D255" s="24"/>
      <c r="E255" s="24">
        <v>0</v>
      </c>
      <c r="F255" s="74">
        <f ca="1">SUMIF(I$3:$BB254,"入库",I255:$BB255)</f>
        <v>2700</v>
      </c>
      <c r="G255" s="24">
        <f ca="1">SUMIF(J$3:$BB254,"出库",J255:$BB255)</f>
        <v>850</v>
      </c>
      <c r="H255" s="27">
        <f ca="1" t="shared" si="4"/>
        <v>1850</v>
      </c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>
        <v>2700</v>
      </c>
      <c r="V255" s="24"/>
      <c r="W255" s="24"/>
      <c r="X255" s="24">
        <v>700</v>
      </c>
      <c r="Y255" s="24"/>
      <c r="Z255" s="24"/>
      <c r="AA255" s="24"/>
      <c r="AB255" s="24"/>
      <c r="AC255" s="24"/>
      <c r="AD255" s="24"/>
      <c r="AE255" s="24"/>
      <c r="AF255" s="24"/>
      <c r="AG255" s="24"/>
      <c r="AH255" s="24">
        <v>150</v>
      </c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</row>
    <row r="256" s="58" customFormat="1" ht="39" hidden="1" customHeight="1" spans="1:54">
      <c r="A256" s="18"/>
      <c r="B256" s="24"/>
      <c r="C256" s="25" t="s">
        <v>13</v>
      </c>
      <c r="D256" s="24"/>
      <c r="E256" s="24">
        <v>0</v>
      </c>
      <c r="F256" s="74">
        <f ca="1">SUMIF(I$3:$BB255,"入库",I256:$BB256)</f>
        <v>2280</v>
      </c>
      <c r="G256" s="24">
        <f ca="1">SUMIF(J$3:$BB255,"出库",J256:$BB256)</f>
        <v>0</v>
      </c>
      <c r="H256" s="27">
        <f ca="1" t="shared" si="4"/>
        <v>2280</v>
      </c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>
        <v>2280</v>
      </c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</row>
    <row r="257" s="58" customFormat="1" ht="22.5" hidden="1" customHeight="1" spans="1:54">
      <c r="A257" s="19"/>
      <c r="B257" s="24"/>
      <c r="C257" s="24" t="s">
        <v>14</v>
      </c>
      <c r="D257" s="24"/>
      <c r="E257" s="24">
        <v>0</v>
      </c>
      <c r="F257" s="74">
        <f ca="1">SUMIF(I$3:$BB256,"入库",I257:$BB257)</f>
        <v>0</v>
      </c>
      <c r="G257" s="24">
        <f ca="1">SUMIF(J$3:$BB256,"出库",J257:$BB257)</f>
        <v>0</v>
      </c>
      <c r="H257" s="27">
        <f ca="1" t="shared" si="4"/>
        <v>0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</row>
    <row r="258" s="58" customFormat="1" ht="39" hidden="1" customHeight="1" spans="1:54">
      <c r="A258" s="72">
        <v>85</v>
      </c>
      <c r="B258" s="24" t="s">
        <v>99</v>
      </c>
      <c r="C258" s="73" t="s">
        <v>12</v>
      </c>
      <c r="D258" s="24"/>
      <c r="E258" s="24">
        <v>0</v>
      </c>
      <c r="F258" s="74">
        <f ca="1">SUMIF(I$3:$BB257,"入库",I258:$BB258)</f>
        <v>3200</v>
      </c>
      <c r="G258" s="24">
        <f ca="1">SUMIF(J$3:$BB257,"出库",J258:$BB258)</f>
        <v>411</v>
      </c>
      <c r="H258" s="27">
        <f ca="1" t="shared" si="4"/>
        <v>2789</v>
      </c>
      <c r="I258" s="24"/>
      <c r="J258" s="24"/>
      <c r="K258" s="24"/>
      <c r="L258" s="24"/>
      <c r="M258" s="24">
        <v>3200</v>
      </c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>
        <v>1</v>
      </c>
      <c r="AA258" s="24"/>
      <c r="AB258" s="24"/>
      <c r="AC258" s="24"/>
      <c r="AD258" s="24"/>
      <c r="AE258" s="24"/>
      <c r="AF258" s="24"/>
      <c r="AG258" s="24"/>
      <c r="AH258" s="24">
        <v>410</v>
      </c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</row>
    <row r="259" s="58" customFormat="1" ht="22.5" hidden="1" customHeight="1" spans="1:54">
      <c r="A259" s="18"/>
      <c r="B259" s="24"/>
      <c r="C259" s="25" t="s">
        <v>13</v>
      </c>
      <c r="D259" s="24"/>
      <c r="E259" s="24">
        <v>0</v>
      </c>
      <c r="F259" s="74">
        <f ca="1">SUMIF(I$3:$BB258,"入库",I259:$BB259)</f>
        <v>0</v>
      </c>
      <c r="G259" s="24">
        <f ca="1">SUMIF(J$3:$BB258,"出库",J259:$BB259)</f>
        <v>0</v>
      </c>
      <c r="H259" s="27">
        <f ca="1" t="shared" si="4"/>
        <v>0</v>
      </c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</row>
    <row r="260" s="58" customFormat="1" ht="22.5" hidden="1" customHeight="1" spans="1:54">
      <c r="A260" s="19"/>
      <c r="B260" s="24"/>
      <c r="C260" s="24" t="s">
        <v>14</v>
      </c>
      <c r="D260" s="24"/>
      <c r="E260" s="24">
        <v>0</v>
      </c>
      <c r="F260" s="74">
        <f ca="1">SUMIF(I$3:$BB259,"入库",I260:$BB260)</f>
        <v>30</v>
      </c>
      <c r="G260" s="24">
        <f ca="1">SUMIF(J$3:$BB259,"出库",J260:$BB260)</f>
        <v>11</v>
      </c>
      <c r="H260" s="27">
        <f ca="1" t="shared" si="4"/>
        <v>19</v>
      </c>
      <c r="I260" s="24"/>
      <c r="J260" s="24"/>
      <c r="K260" s="24"/>
      <c r="L260" s="24"/>
      <c r="M260" s="24">
        <v>30</v>
      </c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>
        <v>1</v>
      </c>
      <c r="AA260" s="24"/>
      <c r="AB260" s="24"/>
      <c r="AC260" s="24"/>
      <c r="AD260" s="24"/>
      <c r="AE260" s="24"/>
      <c r="AF260" s="24"/>
      <c r="AG260" s="24"/>
      <c r="AH260" s="24">
        <v>10</v>
      </c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</row>
    <row r="261" s="58" customFormat="1" ht="39" hidden="1" customHeight="1" spans="1:54">
      <c r="A261" s="72">
        <v>86</v>
      </c>
      <c r="B261" s="24" t="s">
        <v>100</v>
      </c>
      <c r="C261" s="73" t="s">
        <v>12</v>
      </c>
      <c r="D261" s="24"/>
      <c r="E261" s="24">
        <v>0</v>
      </c>
      <c r="F261" s="74">
        <f ca="1">SUMIF(I$3:$BB260,"入库",I261:$BB261)</f>
        <v>2800</v>
      </c>
      <c r="G261" s="24">
        <f ca="1">SUMIF(J$3:$BB260,"出库",J261:$BB261)</f>
        <v>851</v>
      </c>
      <c r="H261" s="27">
        <f ca="1" t="shared" si="4"/>
        <v>1949</v>
      </c>
      <c r="I261" s="24"/>
      <c r="J261" s="24"/>
      <c r="K261" s="24"/>
      <c r="L261" s="24"/>
      <c r="M261" s="24">
        <v>2800</v>
      </c>
      <c r="N261" s="24"/>
      <c r="O261" s="24"/>
      <c r="P261" s="24"/>
      <c r="Q261" s="24"/>
      <c r="R261" s="24"/>
      <c r="S261" s="24"/>
      <c r="T261" s="24"/>
      <c r="U261" s="24"/>
      <c r="V261" s="24">
        <v>50</v>
      </c>
      <c r="W261" s="24"/>
      <c r="X261" s="24">
        <v>1</v>
      </c>
      <c r="Y261" s="24"/>
      <c r="Z261" s="24">
        <v>200</v>
      </c>
      <c r="AA261" s="24"/>
      <c r="AB261" s="24">
        <v>600</v>
      </c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</row>
    <row r="262" s="58" customFormat="1" ht="22.5" hidden="1" customHeight="1" spans="1:54">
      <c r="A262" s="18"/>
      <c r="B262" s="24"/>
      <c r="C262" s="25" t="s">
        <v>13</v>
      </c>
      <c r="D262" s="24"/>
      <c r="E262" s="24">
        <v>0</v>
      </c>
      <c r="F262" s="74">
        <f ca="1">SUMIF(I$3:$BB261,"入库",I262:$BB262)</f>
        <v>0</v>
      </c>
      <c r="G262" s="24">
        <f ca="1">SUMIF(J$3:$BB261,"出库",J262:$BB262)</f>
        <v>0</v>
      </c>
      <c r="H262" s="27">
        <f ca="1" t="shared" si="4"/>
        <v>0</v>
      </c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</row>
    <row r="263" s="58" customFormat="1" ht="22.5" hidden="1" customHeight="1" spans="1:54">
      <c r="A263" s="19"/>
      <c r="B263" s="24"/>
      <c r="C263" s="24" t="s">
        <v>14</v>
      </c>
      <c r="D263" s="24"/>
      <c r="E263" s="24">
        <v>0</v>
      </c>
      <c r="F263" s="74">
        <f ca="1">SUMIF(I$3:$BB262,"入库",I263:$BB263)</f>
        <v>300</v>
      </c>
      <c r="G263" s="24">
        <f ca="1">SUMIF(J$3:$BB262,"出库",J263:$BB263)</f>
        <v>2</v>
      </c>
      <c r="H263" s="27">
        <f ca="1" t="shared" si="4"/>
        <v>298</v>
      </c>
      <c r="I263" s="24"/>
      <c r="J263" s="24"/>
      <c r="K263" s="24"/>
      <c r="L263" s="24"/>
      <c r="M263" s="24">
        <v>300</v>
      </c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>
        <v>2</v>
      </c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</row>
    <row r="264" s="58" customFormat="1" ht="39" hidden="1" customHeight="1" spans="1:54">
      <c r="A264" s="72">
        <v>87</v>
      </c>
      <c r="B264" s="24" t="s">
        <v>101</v>
      </c>
      <c r="C264" s="73" t="s">
        <v>12</v>
      </c>
      <c r="D264" s="24"/>
      <c r="E264" s="24">
        <v>0</v>
      </c>
      <c r="F264" s="74">
        <f ca="1">SUMIF(I$3:$BB263,"入库",I264:$BB264)</f>
        <v>900</v>
      </c>
      <c r="G264" s="24">
        <f ca="1">SUMIF(J$3:$BB263,"出库",J264:$BB264)</f>
        <v>131</v>
      </c>
      <c r="H264" s="27">
        <f ca="1" t="shared" si="4"/>
        <v>769</v>
      </c>
      <c r="I264" s="24"/>
      <c r="J264" s="24"/>
      <c r="K264" s="24">
        <v>900</v>
      </c>
      <c r="L264" s="24">
        <v>20</v>
      </c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>
        <v>1</v>
      </c>
      <c r="Y264" s="24"/>
      <c r="Z264" s="24"/>
      <c r="AA264" s="24"/>
      <c r="AB264" s="24">
        <v>100</v>
      </c>
      <c r="AC264" s="24"/>
      <c r="AD264" s="24"/>
      <c r="AE264" s="24"/>
      <c r="AF264" s="24"/>
      <c r="AG264" s="24"/>
      <c r="AH264" s="24"/>
      <c r="AI264" s="24"/>
      <c r="AJ264" s="24">
        <v>10</v>
      </c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</row>
    <row r="265" s="58" customFormat="1" ht="39" hidden="1" customHeight="1" spans="1:54">
      <c r="A265" s="18"/>
      <c r="B265" s="24"/>
      <c r="C265" s="25" t="s">
        <v>13</v>
      </c>
      <c r="D265" s="24"/>
      <c r="E265" s="24">
        <v>0</v>
      </c>
      <c r="F265" s="74">
        <f ca="1">SUMIF(I$3:$BB264,"入库",I265:$BB265)</f>
        <v>3000</v>
      </c>
      <c r="G265" s="24">
        <f ca="1">SUMIF(J$3:$BB264,"出库",J265:$BB265)</f>
        <v>0</v>
      </c>
      <c r="H265" s="27">
        <f ca="1" t="shared" si="4"/>
        <v>3000</v>
      </c>
      <c r="I265" s="24"/>
      <c r="J265" s="24"/>
      <c r="K265" s="24">
        <v>3000</v>
      </c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</row>
    <row r="266" s="58" customFormat="1" ht="22.5" hidden="1" customHeight="1" spans="1:54">
      <c r="A266" s="19"/>
      <c r="B266" s="24"/>
      <c r="C266" s="24" t="s">
        <v>14</v>
      </c>
      <c r="D266" s="24"/>
      <c r="E266" s="24">
        <v>0</v>
      </c>
      <c r="F266" s="74">
        <f ca="1">SUMIF(I$3:$BB265,"入库",I266:$BB266)</f>
        <v>0</v>
      </c>
      <c r="G266" s="24">
        <f ca="1">SUMIF(J$3:$BB265,"出库",J266:$BB266)</f>
        <v>0</v>
      </c>
      <c r="H266" s="27">
        <f ca="1" t="shared" si="4"/>
        <v>0</v>
      </c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</row>
    <row r="267" s="58" customFormat="1" ht="22.5" hidden="1" customHeight="1" spans="1:54">
      <c r="A267" s="72">
        <v>88</v>
      </c>
      <c r="B267" s="24" t="s">
        <v>102</v>
      </c>
      <c r="C267" s="73" t="s">
        <v>12</v>
      </c>
      <c r="D267" s="24"/>
      <c r="E267" s="24">
        <v>0</v>
      </c>
      <c r="F267" s="74">
        <f ca="1">SUMIF(I$3:$BB266,"入库",I267:$BB267)</f>
        <v>700</v>
      </c>
      <c r="G267" s="24">
        <f ca="1">SUMIF(J$3:$BB266,"出库",J267:$BB267)</f>
        <v>125</v>
      </c>
      <c r="H267" s="27">
        <f ca="1" t="shared" si="4"/>
        <v>575</v>
      </c>
      <c r="I267" s="24"/>
      <c r="J267" s="24"/>
      <c r="K267" s="24">
        <v>700</v>
      </c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>
        <v>20</v>
      </c>
      <c r="AA267" s="24"/>
      <c r="AB267" s="24"/>
      <c r="AC267" s="24"/>
      <c r="AD267" s="24"/>
      <c r="AE267" s="24"/>
      <c r="AF267" s="24"/>
      <c r="AG267" s="24"/>
      <c r="AH267" s="24">
        <v>105</v>
      </c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</row>
    <row r="268" s="58" customFormat="1" ht="22.5" hidden="1" customHeight="1" spans="1:54">
      <c r="A268" s="18"/>
      <c r="B268" s="24"/>
      <c r="C268" s="25" t="s">
        <v>13</v>
      </c>
      <c r="D268" s="24"/>
      <c r="E268" s="24">
        <v>0</v>
      </c>
      <c r="F268" s="74">
        <f ca="1">SUMIF(I$3:$BB267,"入库",I268:$BB268)</f>
        <v>0</v>
      </c>
      <c r="G268" s="24">
        <f ca="1">SUMIF(J$3:$BB267,"出库",J268:$BB268)</f>
        <v>0</v>
      </c>
      <c r="H268" s="27">
        <f ca="1" t="shared" si="4"/>
        <v>0</v>
      </c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</row>
    <row r="269" s="58" customFormat="1" ht="22.5" hidden="1" customHeight="1" spans="1:54">
      <c r="A269" s="19"/>
      <c r="B269" s="24"/>
      <c r="C269" s="24" t="s">
        <v>14</v>
      </c>
      <c r="D269" s="24"/>
      <c r="E269" s="24">
        <v>0</v>
      </c>
      <c r="F269" s="74">
        <f ca="1">SUMIF(I$3:$BB268,"入库",I269:$BB269)</f>
        <v>0</v>
      </c>
      <c r="G269" s="24">
        <f ca="1">SUMIF(J$3:$BB268,"出库",J269:$BB269)</f>
        <v>0</v>
      </c>
      <c r="H269" s="27">
        <f ca="1" t="shared" si="4"/>
        <v>0</v>
      </c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</row>
    <row r="270" s="58" customFormat="1" ht="39" hidden="1" customHeight="1" spans="1:54">
      <c r="A270" s="72">
        <v>89</v>
      </c>
      <c r="B270" s="24" t="s">
        <v>103</v>
      </c>
      <c r="C270" s="73" t="s">
        <v>12</v>
      </c>
      <c r="D270" s="24"/>
      <c r="E270" s="24">
        <v>0</v>
      </c>
      <c r="F270" s="74">
        <f ca="1">SUMIF(I$3:$BB269,"入库",I270:$BB270)</f>
        <v>1750</v>
      </c>
      <c r="G270" s="24">
        <f ca="1">SUMIF(J$3:$BB269,"出库",J270:$BB270)</f>
        <v>340</v>
      </c>
      <c r="H270" s="27">
        <f ca="1" t="shared" si="4"/>
        <v>1410</v>
      </c>
      <c r="I270" s="24"/>
      <c r="J270" s="24"/>
      <c r="K270" s="24">
        <v>1750</v>
      </c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>
        <v>340</v>
      </c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</row>
    <row r="271" s="58" customFormat="1" ht="22.5" hidden="1" customHeight="1" spans="1:54">
      <c r="A271" s="18"/>
      <c r="B271" s="24"/>
      <c r="C271" s="25" t="s">
        <v>13</v>
      </c>
      <c r="D271" s="24"/>
      <c r="E271" s="24">
        <v>0</v>
      </c>
      <c r="F271" s="74">
        <f ca="1">SUMIF(I$3:$BB270,"入库",I271:$BB271)</f>
        <v>700</v>
      </c>
      <c r="G271" s="24">
        <f ca="1">SUMIF(J$3:$BB270,"出库",J271:$BB271)</f>
        <v>0</v>
      </c>
      <c r="H271" s="27">
        <f ca="1" t="shared" si="4"/>
        <v>700</v>
      </c>
      <c r="I271" s="24"/>
      <c r="J271" s="24"/>
      <c r="K271" s="24">
        <v>700</v>
      </c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</row>
    <row r="272" s="58" customFormat="1" ht="22.5" hidden="1" customHeight="1" spans="1:54">
      <c r="A272" s="19"/>
      <c r="B272" s="24"/>
      <c r="C272" s="24" t="s">
        <v>14</v>
      </c>
      <c r="D272" s="24"/>
      <c r="E272" s="24">
        <v>0</v>
      </c>
      <c r="F272" s="74">
        <f ca="1">SUMIF(I$3:$BB271,"入库",I272:$BB272)</f>
        <v>0</v>
      </c>
      <c r="G272" s="24">
        <f ca="1">SUMIF(J$3:$BB271,"出库",J272:$BB272)</f>
        <v>0</v>
      </c>
      <c r="H272" s="27">
        <f ca="1" t="shared" si="4"/>
        <v>0</v>
      </c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</row>
    <row r="273" s="58" customFormat="1" ht="39" hidden="1" customHeight="1" spans="1:54">
      <c r="A273" s="72">
        <v>90</v>
      </c>
      <c r="B273" s="24" t="s">
        <v>104</v>
      </c>
      <c r="C273" s="73" t="s">
        <v>12</v>
      </c>
      <c r="D273" s="24"/>
      <c r="E273" s="24">
        <v>0</v>
      </c>
      <c r="F273" s="74">
        <f ca="1">SUMIF(I$3:$BB272,"入库",I273:$BB273)</f>
        <v>1200</v>
      </c>
      <c r="G273" s="24">
        <f ca="1">SUMIF(J$3:$BB272,"出库",J273:$BB273)</f>
        <v>270</v>
      </c>
      <c r="H273" s="27">
        <f ca="1" t="shared" si="4"/>
        <v>930</v>
      </c>
      <c r="I273" s="24">
        <v>1200</v>
      </c>
      <c r="J273" s="24"/>
      <c r="K273" s="24"/>
      <c r="L273" s="24"/>
      <c r="M273" s="24"/>
      <c r="N273" s="24">
        <v>20</v>
      </c>
      <c r="O273" s="24"/>
      <c r="P273" s="24"/>
      <c r="Q273" s="24"/>
      <c r="R273" s="24"/>
      <c r="S273" s="24"/>
      <c r="T273" s="24"/>
      <c r="U273" s="24"/>
      <c r="V273" s="24"/>
      <c r="W273" s="24"/>
      <c r="X273" s="24">
        <v>250</v>
      </c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</row>
    <row r="274" s="58" customFormat="1" ht="22.5" hidden="1" customHeight="1" spans="1:54">
      <c r="A274" s="18"/>
      <c r="B274" s="24"/>
      <c r="C274" s="25" t="s">
        <v>13</v>
      </c>
      <c r="D274" s="24"/>
      <c r="E274" s="24">
        <v>0</v>
      </c>
      <c r="F274" s="74">
        <f ca="1">SUMIF(I$3:$BB273,"入库",I274:$BB274)</f>
        <v>0</v>
      </c>
      <c r="G274" s="24">
        <f ca="1">SUMIF(J$3:$BB273,"出库",J274:$BB274)</f>
        <v>0</v>
      </c>
      <c r="H274" s="27">
        <f ca="1" t="shared" si="4"/>
        <v>0</v>
      </c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</row>
    <row r="275" s="58" customFormat="1" ht="22.5" hidden="1" customHeight="1" spans="1:54">
      <c r="A275" s="19"/>
      <c r="B275" s="24"/>
      <c r="C275" s="24" t="s">
        <v>14</v>
      </c>
      <c r="D275" s="24"/>
      <c r="E275" s="24">
        <v>0</v>
      </c>
      <c r="F275" s="74">
        <f ca="1">SUMIF(I$3:$BB274,"入库",I275:$BB275)</f>
        <v>0</v>
      </c>
      <c r="G275" s="24">
        <f ca="1">SUMIF(J$3:$BB274,"出库",J275:$BB275)</f>
        <v>0</v>
      </c>
      <c r="H275" s="27">
        <f ca="1" t="shared" si="4"/>
        <v>0</v>
      </c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</row>
    <row r="276" s="58" customFormat="1" ht="22.5" hidden="1" customHeight="1" spans="1:54">
      <c r="A276" s="72">
        <v>91</v>
      </c>
      <c r="B276" s="24" t="s">
        <v>105</v>
      </c>
      <c r="C276" s="73" t="s">
        <v>12</v>
      </c>
      <c r="D276" s="24"/>
      <c r="E276" s="24">
        <v>0</v>
      </c>
      <c r="F276" s="74">
        <f ca="1">SUMIF(I$3:$BB275,"入库",I276:$BB276)</f>
        <v>2200</v>
      </c>
      <c r="G276" s="24">
        <f ca="1">SUMIF(J$3:$BB275,"出库",J276:$BB276)</f>
        <v>30</v>
      </c>
      <c r="H276" s="27">
        <f ca="1" t="shared" si="4"/>
        <v>2170</v>
      </c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>
        <v>2200</v>
      </c>
      <c r="X276" s="24"/>
      <c r="Y276" s="24"/>
      <c r="Z276" s="24">
        <v>30</v>
      </c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</row>
    <row r="277" s="58" customFormat="1" ht="22.5" hidden="1" customHeight="1" spans="1:54">
      <c r="A277" s="18"/>
      <c r="B277" s="24"/>
      <c r="C277" s="25" t="s">
        <v>13</v>
      </c>
      <c r="D277" s="24"/>
      <c r="E277" s="24">
        <v>0</v>
      </c>
      <c r="F277" s="74">
        <f ca="1">SUMIF(I$3:$BB276,"入库",I277:$BB277)</f>
        <v>250</v>
      </c>
      <c r="G277" s="24">
        <f ca="1">SUMIF(J$3:$BB276,"出库",J277:$BB277)</f>
        <v>0</v>
      </c>
      <c r="H277" s="27">
        <f ca="1" t="shared" si="4"/>
        <v>250</v>
      </c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>
        <v>50</v>
      </c>
      <c r="X277" s="24"/>
      <c r="Y277" s="24">
        <v>200</v>
      </c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</row>
    <row r="278" s="58" customFormat="1" ht="22.5" hidden="1" customHeight="1" spans="1:54">
      <c r="A278" s="19"/>
      <c r="B278" s="24"/>
      <c r="C278" s="24" t="s">
        <v>14</v>
      </c>
      <c r="D278" s="24"/>
      <c r="E278" s="24">
        <v>0</v>
      </c>
      <c r="F278" s="74">
        <f ca="1">SUMIF(I$3:$BB277,"入库",I278:$BB278)</f>
        <v>10</v>
      </c>
      <c r="G278" s="24">
        <f ca="1">SUMIF(J$3:$BB277,"出库",J278:$BB278)</f>
        <v>0</v>
      </c>
      <c r="H278" s="27">
        <f ca="1" t="shared" si="4"/>
        <v>10</v>
      </c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>
        <v>10</v>
      </c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</row>
    <row r="279" s="58" customFormat="1" ht="22.5" hidden="1" customHeight="1" spans="1:54">
      <c r="A279" s="72">
        <v>92</v>
      </c>
      <c r="B279" s="24" t="s">
        <v>106</v>
      </c>
      <c r="C279" s="73" t="s">
        <v>12</v>
      </c>
      <c r="D279" s="24"/>
      <c r="E279" s="24">
        <v>0</v>
      </c>
      <c r="F279" s="74">
        <f ca="1">SUMIF(I$3:$BB278,"入库",I279:$BB279)</f>
        <v>400</v>
      </c>
      <c r="G279" s="24">
        <f ca="1">SUMIF(J$3:$BB278,"出库",J279:$BB279)</f>
        <v>0</v>
      </c>
      <c r="H279" s="27">
        <f ca="1" t="shared" si="4"/>
        <v>400</v>
      </c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>
        <v>400</v>
      </c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</row>
    <row r="280" s="58" customFormat="1" ht="22.5" hidden="1" customHeight="1" spans="1:54">
      <c r="A280" s="18"/>
      <c r="B280" s="24"/>
      <c r="C280" s="25" t="s">
        <v>13</v>
      </c>
      <c r="D280" s="24"/>
      <c r="E280" s="24">
        <v>0</v>
      </c>
      <c r="F280" s="74">
        <f ca="1">SUMIF(I$3:$BB279,"入库",I280:$BB280)</f>
        <v>0</v>
      </c>
      <c r="G280" s="24">
        <f ca="1">SUMIF(J$3:$BB279,"出库",J280:$BB280)</f>
        <v>0</v>
      </c>
      <c r="H280" s="27">
        <f ca="1" t="shared" si="4"/>
        <v>0</v>
      </c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</row>
    <row r="281" s="58" customFormat="1" ht="22.5" hidden="1" customHeight="1" spans="1:54">
      <c r="A281" s="19"/>
      <c r="B281" s="24"/>
      <c r="C281" s="24" t="s">
        <v>14</v>
      </c>
      <c r="D281" s="24"/>
      <c r="E281" s="24">
        <v>0</v>
      </c>
      <c r="F281" s="74">
        <f ca="1">SUMIF(I$3:$BB280,"入库",I281:$BB281)</f>
        <v>170</v>
      </c>
      <c r="G281" s="24">
        <f ca="1">SUMIF(J$3:$BB280,"出库",J281:$BB281)</f>
        <v>0</v>
      </c>
      <c r="H281" s="27">
        <f ca="1" t="shared" si="4"/>
        <v>170</v>
      </c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>
        <v>170</v>
      </c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</row>
    <row r="282" s="58" customFormat="1" ht="39" hidden="1" customHeight="1" spans="1:54">
      <c r="A282" s="72">
        <v>93</v>
      </c>
      <c r="B282" s="24" t="s">
        <v>107</v>
      </c>
      <c r="C282" s="73" t="s">
        <v>12</v>
      </c>
      <c r="D282" s="24"/>
      <c r="E282" s="24">
        <v>0</v>
      </c>
      <c r="F282" s="74">
        <f ca="1">SUMIF(I$3:$BB281,"入库",I282:$BB282)</f>
        <v>2200</v>
      </c>
      <c r="G282" s="24">
        <f ca="1">SUMIF(J$3:$BB281,"出库",J282:$BB282)</f>
        <v>210</v>
      </c>
      <c r="H282" s="27">
        <f ca="1" t="shared" si="4"/>
        <v>1990</v>
      </c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>
        <v>2200</v>
      </c>
      <c r="V282" s="24">
        <v>10</v>
      </c>
      <c r="W282" s="24"/>
      <c r="X282" s="24"/>
      <c r="Y282" s="24"/>
      <c r="Z282" s="24">
        <v>200</v>
      </c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</row>
    <row r="283" s="58" customFormat="1" ht="22.5" hidden="1" customHeight="1" spans="1:54">
      <c r="A283" s="18"/>
      <c r="B283" s="24"/>
      <c r="C283" s="25" t="s">
        <v>13</v>
      </c>
      <c r="D283" s="24"/>
      <c r="E283" s="24">
        <v>0</v>
      </c>
      <c r="F283" s="74">
        <f ca="1">SUMIF(I$3:$BB282,"入库",I283:$BB283)</f>
        <v>0</v>
      </c>
      <c r="G283" s="24">
        <f ca="1">SUMIF(J$3:$BB282,"出库",J283:$BB283)</f>
        <v>0</v>
      </c>
      <c r="H283" s="27">
        <f ca="1" t="shared" si="4"/>
        <v>0</v>
      </c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</row>
    <row r="284" s="58" customFormat="1" ht="22.5" hidden="1" customHeight="1" spans="1:54">
      <c r="A284" s="19"/>
      <c r="B284" s="24"/>
      <c r="C284" s="24" t="s">
        <v>14</v>
      </c>
      <c r="D284" s="24"/>
      <c r="E284" s="24">
        <v>0</v>
      </c>
      <c r="F284" s="74">
        <f ca="1">SUMIF(I$3:$BB283,"入库",I284:$BB284)</f>
        <v>160</v>
      </c>
      <c r="G284" s="24">
        <f ca="1">SUMIF(J$3:$BB283,"出库",J284:$BB284)</f>
        <v>8</v>
      </c>
      <c r="H284" s="27">
        <f ca="1" t="shared" si="4"/>
        <v>152</v>
      </c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>
        <v>160</v>
      </c>
      <c r="V284" s="24"/>
      <c r="W284" s="24"/>
      <c r="X284" s="24">
        <v>8</v>
      </c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</row>
    <row r="285" s="58" customFormat="1" ht="22.5" hidden="1" customHeight="1" spans="1:54">
      <c r="A285" s="72">
        <v>94</v>
      </c>
      <c r="B285" s="24" t="s">
        <v>108</v>
      </c>
      <c r="C285" s="73" t="s">
        <v>12</v>
      </c>
      <c r="D285" s="24"/>
      <c r="E285" s="24">
        <v>0</v>
      </c>
      <c r="F285" s="74">
        <f ca="1">SUMIF(I$3:$BB284,"入库",I285:$BB285)</f>
        <v>3700</v>
      </c>
      <c r="G285" s="24">
        <v>0</v>
      </c>
      <c r="H285" s="27">
        <v>200</v>
      </c>
      <c r="I285" s="24"/>
      <c r="J285" s="24"/>
      <c r="K285" s="24"/>
      <c r="L285" s="24"/>
      <c r="M285" s="24">
        <v>200</v>
      </c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>
        <v>3500</v>
      </c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</row>
    <row r="286" s="58" customFormat="1" ht="22.5" hidden="1" customHeight="1" spans="1:54">
      <c r="A286" s="18"/>
      <c r="B286" s="24"/>
      <c r="C286" s="25" t="s">
        <v>13</v>
      </c>
      <c r="D286" s="24"/>
      <c r="E286" s="24">
        <v>0</v>
      </c>
      <c r="F286" s="74">
        <f ca="1">SUMIF(I$3:$BB285,"入库",I286:$BB286)</f>
        <v>0</v>
      </c>
      <c r="G286" s="24">
        <f ca="1">SUMIF(J$3:$BB285,"出库",J286:$BB286)</f>
        <v>0</v>
      </c>
      <c r="H286" s="27">
        <f ca="1" t="shared" si="4"/>
        <v>0</v>
      </c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</row>
    <row r="287" s="58" customFormat="1" ht="22.5" hidden="1" customHeight="1" spans="1:54">
      <c r="A287" s="19"/>
      <c r="B287" s="24"/>
      <c r="C287" s="24" t="s">
        <v>14</v>
      </c>
      <c r="D287" s="24"/>
      <c r="E287" s="24">
        <v>0</v>
      </c>
      <c r="F287" s="74">
        <f ca="1">SUMIF(I$3:$BB286,"入库",I287:$BB287)</f>
        <v>50</v>
      </c>
      <c r="G287" s="24">
        <f ca="1">SUMIF(J$3:$BB286,"出库",J287:$BB287)</f>
        <v>0</v>
      </c>
      <c r="H287" s="27">
        <f ca="1" t="shared" si="4"/>
        <v>50</v>
      </c>
      <c r="I287" s="24"/>
      <c r="J287" s="24"/>
      <c r="K287" s="24"/>
      <c r="L287" s="24"/>
      <c r="M287" s="24">
        <v>50</v>
      </c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</row>
    <row r="288" s="58" customFormat="1" ht="39" hidden="1" customHeight="1" spans="1:54">
      <c r="A288" s="72">
        <v>95</v>
      </c>
      <c r="B288" s="24" t="s">
        <v>109</v>
      </c>
      <c r="C288" s="73" t="s">
        <v>12</v>
      </c>
      <c r="D288" s="24"/>
      <c r="E288" s="24">
        <v>0</v>
      </c>
      <c r="F288" s="74">
        <f ca="1">SUMIF(I$3:$BB287,"入库",I288:$BB288)</f>
        <v>2700</v>
      </c>
      <c r="G288" s="24">
        <f ca="1">SUMIF(J$3:$BB287,"出库",J288:$BB288)</f>
        <v>520</v>
      </c>
      <c r="H288" s="27">
        <f ca="1" t="shared" si="4"/>
        <v>2180</v>
      </c>
      <c r="I288" s="24"/>
      <c r="J288" s="24"/>
      <c r="K288" s="24"/>
      <c r="L288" s="24"/>
      <c r="M288" s="24">
        <v>2700</v>
      </c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>
        <v>500</v>
      </c>
      <c r="AA288" s="24"/>
      <c r="AB288" s="24"/>
      <c r="AC288" s="24"/>
      <c r="AD288" s="24"/>
      <c r="AE288" s="24"/>
      <c r="AF288" s="24"/>
      <c r="AG288" s="24"/>
      <c r="AH288" s="24">
        <v>20</v>
      </c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</row>
    <row r="289" s="58" customFormat="1" ht="22.5" hidden="1" customHeight="1" spans="1:54">
      <c r="A289" s="18"/>
      <c r="B289" s="24"/>
      <c r="C289" s="25" t="s">
        <v>13</v>
      </c>
      <c r="D289" s="24"/>
      <c r="E289" s="24">
        <v>0</v>
      </c>
      <c r="F289" s="74">
        <f ca="1">SUMIF(I$3:$BB288,"入库",I289:$BB289)</f>
        <v>40</v>
      </c>
      <c r="G289" s="24">
        <f ca="1">SUMIF(J$3:$BB288,"出库",J289:$BB289)</f>
        <v>0</v>
      </c>
      <c r="H289" s="27">
        <f ca="1" t="shared" ref="H289:H353" si="5">E289+F289-G289</f>
        <v>40</v>
      </c>
      <c r="I289" s="24"/>
      <c r="J289" s="24"/>
      <c r="K289" s="24"/>
      <c r="L289" s="24"/>
      <c r="M289" s="24">
        <v>40</v>
      </c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</row>
    <row r="290" s="58" customFormat="1" ht="22.5" hidden="1" customHeight="1" spans="1:54">
      <c r="A290" s="19"/>
      <c r="B290" s="24"/>
      <c r="C290" s="24" t="s">
        <v>14</v>
      </c>
      <c r="D290" s="24"/>
      <c r="E290" s="24">
        <v>0</v>
      </c>
      <c r="F290" s="74">
        <f ca="1">SUMIF(I$3:$BB289,"入库",I290:$BB290)</f>
        <v>20</v>
      </c>
      <c r="G290" s="24">
        <f ca="1">SUMIF(J$3:$BB289,"出库",J290:$BB290)</f>
        <v>1</v>
      </c>
      <c r="H290" s="27">
        <f ca="1" t="shared" si="5"/>
        <v>19</v>
      </c>
      <c r="I290" s="24"/>
      <c r="J290" s="24"/>
      <c r="K290" s="24"/>
      <c r="L290" s="24"/>
      <c r="M290" s="24">
        <v>20</v>
      </c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>
        <v>1</v>
      </c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</row>
    <row r="291" s="58" customFormat="1" ht="22.5" hidden="1" customHeight="1" spans="1:54">
      <c r="A291" s="72">
        <v>96</v>
      </c>
      <c r="B291" s="24" t="s">
        <v>110</v>
      </c>
      <c r="C291" s="73" t="s">
        <v>12</v>
      </c>
      <c r="D291" s="24"/>
      <c r="E291" s="24">
        <v>0</v>
      </c>
      <c r="F291" s="74">
        <f ca="1">SUMIF(I$3:$BB290,"入库",I291:$BB291)</f>
        <v>200</v>
      </c>
      <c r="G291" s="24">
        <f ca="1">SUMIF(J$3:$BB290,"出库",J291:$BB291)</f>
        <v>51</v>
      </c>
      <c r="H291" s="27">
        <f ca="1" t="shared" si="5"/>
        <v>149</v>
      </c>
      <c r="I291" s="24"/>
      <c r="J291" s="24"/>
      <c r="K291" s="24">
        <v>200</v>
      </c>
      <c r="L291" s="24"/>
      <c r="M291" s="24"/>
      <c r="N291" s="24"/>
      <c r="O291" s="24"/>
      <c r="P291" s="24"/>
      <c r="Q291" s="24"/>
      <c r="R291" s="24"/>
      <c r="S291" s="24"/>
      <c r="T291" s="24">
        <v>50</v>
      </c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>
        <v>1</v>
      </c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</row>
    <row r="292" s="58" customFormat="1" ht="22.5" hidden="1" customHeight="1" spans="1:54">
      <c r="A292" s="18"/>
      <c r="B292" s="24"/>
      <c r="C292" s="25" t="s">
        <v>13</v>
      </c>
      <c r="D292" s="24"/>
      <c r="E292" s="24">
        <v>0</v>
      </c>
      <c r="F292" s="74">
        <f ca="1">SUMIF(I$3:$BB291,"入库",I292:$BB292)</f>
        <v>0</v>
      </c>
      <c r="G292" s="24">
        <f ca="1">SUMIF(J$3:$BB291,"出库",J292:$BB292)</f>
        <v>0</v>
      </c>
      <c r="H292" s="27">
        <f ca="1" t="shared" si="5"/>
        <v>0</v>
      </c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</row>
    <row r="293" s="58" customFormat="1" ht="22.5" hidden="1" customHeight="1" spans="1:54">
      <c r="A293" s="19"/>
      <c r="B293" s="24"/>
      <c r="C293" s="24" t="s">
        <v>14</v>
      </c>
      <c r="D293" s="24"/>
      <c r="E293" s="24">
        <v>0</v>
      </c>
      <c r="F293" s="74">
        <f ca="1">SUMIF(I$3:$BB292,"入库",I293:$BB293)</f>
        <v>100</v>
      </c>
      <c r="G293" s="24">
        <f ca="1">SUMIF(J$3:$BB292,"出库",J293:$BB293)</f>
        <v>1</v>
      </c>
      <c r="H293" s="27">
        <f ca="1" t="shared" si="5"/>
        <v>99</v>
      </c>
      <c r="I293" s="24"/>
      <c r="J293" s="24"/>
      <c r="K293" s="24">
        <v>100</v>
      </c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>
        <v>1</v>
      </c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</row>
    <row r="294" s="58" customFormat="1" ht="39" hidden="1" customHeight="1" spans="1:54">
      <c r="A294" s="72">
        <v>97</v>
      </c>
      <c r="B294" s="24" t="s">
        <v>111</v>
      </c>
      <c r="C294" s="73" t="s">
        <v>12</v>
      </c>
      <c r="D294" s="24"/>
      <c r="E294" s="24">
        <v>0</v>
      </c>
      <c r="F294" s="74">
        <f ca="1">SUMIF(I$3:$BB293,"入库",I294:$BB294)</f>
        <v>1600</v>
      </c>
      <c r="G294" s="24">
        <f ca="1">SUMIF(J$3:$BB293,"出库",J294:$BB294)</f>
        <v>120</v>
      </c>
      <c r="H294" s="27">
        <f ca="1" t="shared" si="5"/>
        <v>1480</v>
      </c>
      <c r="I294" s="24"/>
      <c r="J294" s="24"/>
      <c r="K294" s="24">
        <v>1600</v>
      </c>
      <c r="L294" s="24"/>
      <c r="M294" s="24"/>
      <c r="N294" s="24"/>
      <c r="O294" s="24"/>
      <c r="P294" s="24"/>
      <c r="Q294" s="24"/>
      <c r="R294" s="24"/>
      <c r="S294" s="24"/>
      <c r="T294" s="24">
        <v>40</v>
      </c>
      <c r="U294" s="24"/>
      <c r="V294" s="24"/>
      <c r="W294" s="24"/>
      <c r="X294" s="24">
        <v>40</v>
      </c>
      <c r="Y294" s="24"/>
      <c r="Z294" s="24">
        <v>40</v>
      </c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</row>
    <row r="295" s="58" customFormat="1" ht="22.5" hidden="1" customHeight="1" spans="1:54">
      <c r="A295" s="18"/>
      <c r="B295" s="24"/>
      <c r="C295" s="25" t="s">
        <v>13</v>
      </c>
      <c r="D295" s="24"/>
      <c r="E295" s="24">
        <v>0</v>
      </c>
      <c r="F295" s="74">
        <f ca="1">SUMIF(I$3:$BB294,"入库",I295:$BB295)</f>
        <v>15</v>
      </c>
      <c r="G295" s="24">
        <f ca="1">SUMIF(J$3:$BB294,"出库",J295:$BB295)</f>
        <v>0</v>
      </c>
      <c r="H295" s="27">
        <f ca="1" t="shared" si="5"/>
        <v>15</v>
      </c>
      <c r="I295" s="24"/>
      <c r="J295" s="24"/>
      <c r="K295" s="24">
        <v>15</v>
      </c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</row>
    <row r="296" s="58" customFormat="1" ht="39" hidden="1" customHeight="1" spans="1:54">
      <c r="A296" s="19"/>
      <c r="B296" s="24"/>
      <c r="C296" s="24" t="s">
        <v>14</v>
      </c>
      <c r="D296" s="24"/>
      <c r="E296" s="24">
        <v>0</v>
      </c>
      <c r="F296" s="74">
        <f ca="1">SUMIF(I$3:$BB295,"入库",I296:$BB296)</f>
        <v>1200</v>
      </c>
      <c r="G296" s="24">
        <f ca="1">SUMIF(J$3:$BB295,"出库",J296:$BB296)</f>
        <v>10</v>
      </c>
      <c r="H296" s="27">
        <f ca="1" t="shared" si="5"/>
        <v>1190</v>
      </c>
      <c r="I296" s="24"/>
      <c r="J296" s="24"/>
      <c r="K296" s="24">
        <v>1200</v>
      </c>
      <c r="L296" s="24">
        <v>10</v>
      </c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</row>
    <row r="297" s="58" customFormat="1" ht="39" hidden="1" customHeight="1" spans="1:54">
      <c r="A297" s="72">
        <v>98</v>
      </c>
      <c r="B297" s="24" t="s">
        <v>112</v>
      </c>
      <c r="C297" s="73" t="s">
        <v>12</v>
      </c>
      <c r="D297" s="24"/>
      <c r="E297" s="24">
        <v>0</v>
      </c>
      <c r="F297" s="74">
        <f ca="1">SUMIF(I$3:$BB296,"入库",I297:$BB297)</f>
        <v>3300</v>
      </c>
      <c r="G297" s="24">
        <f ca="1">SUMIF(J$3:$BB296,"出库",J297:$BB297)</f>
        <v>500</v>
      </c>
      <c r="H297" s="27">
        <f ca="1" t="shared" si="5"/>
        <v>2800</v>
      </c>
      <c r="I297" s="24"/>
      <c r="J297" s="24"/>
      <c r="K297" s="24">
        <v>3300</v>
      </c>
      <c r="L297" s="24"/>
      <c r="M297" s="24"/>
      <c r="N297" s="24"/>
      <c r="O297" s="24"/>
      <c r="P297" s="24"/>
      <c r="Q297" s="24"/>
      <c r="R297" s="24"/>
      <c r="S297" s="24"/>
      <c r="T297" s="24">
        <v>500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</row>
    <row r="298" s="58" customFormat="1" ht="22.5" hidden="1" customHeight="1" spans="1:54">
      <c r="A298" s="18"/>
      <c r="B298" s="24"/>
      <c r="C298" s="25" t="s">
        <v>13</v>
      </c>
      <c r="D298" s="24"/>
      <c r="E298" s="24">
        <v>0</v>
      </c>
      <c r="F298" s="74">
        <f ca="1">SUMIF(I$3:$BB297,"入库",I298:$BB298)</f>
        <v>750</v>
      </c>
      <c r="G298" s="24">
        <f ca="1">SUMIF(J$3:$BB297,"出库",J298:$BB298)</f>
        <v>0</v>
      </c>
      <c r="H298" s="27">
        <f ca="1" t="shared" si="5"/>
        <v>750</v>
      </c>
      <c r="I298" s="24"/>
      <c r="J298" s="24"/>
      <c r="K298" s="24">
        <v>750</v>
      </c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</row>
    <row r="299" s="58" customFormat="1" ht="22.5" hidden="1" customHeight="1" spans="1:54">
      <c r="A299" s="19"/>
      <c r="B299" s="24"/>
      <c r="C299" s="24" t="s">
        <v>14</v>
      </c>
      <c r="D299" s="24"/>
      <c r="E299" s="24">
        <v>0</v>
      </c>
      <c r="F299" s="74">
        <f ca="1">SUMIF(I$3:$BB298,"入库",I299:$BB299)</f>
        <v>80</v>
      </c>
      <c r="G299" s="24">
        <f ca="1">SUMIF(J$3:$BB298,"出库",J299:$BB299)</f>
        <v>0</v>
      </c>
      <c r="H299" s="27">
        <f ca="1" t="shared" si="5"/>
        <v>80</v>
      </c>
      <c r="I299" s="24"/>
      <c r="J299" s="24"/>
      <c r="K299" s="24">
        <v>80</v>
      </c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</row>
    <row r="300" s="58" customFormat="1" ht="39" hidden="1" customHeight="1" spans="1:54">
      <c r="A300" s="72">
        <v>99</v>
      </c>
      <c r="B300" s="24" t="s">
        <v>113</v>
      </c>
      <c r="C300" s="73" t="s">
        <v>12</v>
      </c>
      <c r="D300" s="24"/>
      <c r="E300" s="24">
        <v>0</v>
      </c>
      <c r="F300" s="74">
        <f ca="1">SUMIF(I$3:$BB299,"入库",I300:$BB300)</f>
        <v>7800</v>
      </c>
      <c r="G300" s="24">
        <f ca="1">SUMIF(J$3:$BB299,"出库",J300:$BB300)</f>
        <v>50</v>
      </c>
      <c r="H300" s="27">
        <f ca="1" t="shared" si="5"/>
        <v>7750</v>
      </c>
      <c r="I300" s="24">
        <v>7800</v>
      </c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>
        <v>50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</row>
    <row r="301" s="58" customFormat="1" ht="22.5" hidden="1" customHeight="1" spans="1:54">
      <c r="A301" s="18"/>
      <c r="B301" s="24"/>
      <c r="C301" s="25" t="s">
        <v>13</v>
      </c>
      <c r="D301" s="24"/>
      <c r="E301" s="24">
        <v>0</v>
      </c>
      <c r="F301" s="74">
        <f ca="1">SUMIF(I$3:$BB300,"入库",I301:$BB301)</f>
        <v>20</v>
      </c>
      <c r="G301" s="24">
        <f ca="1">SUMIF(J$3:$BB300,"出库",J301:$BB301)</f>
        <v>0</v>
      </c>
      <c r="H301" s="27">
        <f ca="1" t="shared" si="5"/>
        <v>20</v>
      </c>
      <c r="I301" s="24">
        <v>20</v>
      </c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</row>
    <row r="302" s="58" customFormat="1" ht="22.5" hidden="1" customHeight="1" spans="1:54">
      <c r="A302" s="19"/>
      <c r="B302" s="24"/>
      <c r="C302" s="24" t="s">
        <v>14</v>
      </c>
      <c r="D302" s="24"/>
      <c r="E302" s="24">
        <v>0</v>
      </c>
      <c r="F302" s="74">
        <f ca="1">SUMIF(I$3:$BB301,"入库",I302:$BB302)</f>
        <v>100</v>
      </c>
      <c r="G302" s="24">
        <f ca="1">SUMIF(J$3:$BB301,"出库",J302:$BB302)</f>
        <v>0</v>
      </c>
      <c r="H302" s="27">
        <f ca="1" t="shared" si="5"/>
        <v>100</v>
      </c>
      <c r="I302" s="24">
        <v>100</v>
      </c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</row>
    <row r="303" s="58" customFormat="1" ht="22.5" hidden="1" customHeight="1" spans="1:54">
      <c r="A303" s="72">
        <v>100</v>
      </c>
      <c r="B303" s="24" t="s">
        <v>114</v>
      </c>
      <c r="C303" s="73" t="s">
        <v>12</v>
      </c>
      <c r="D303" s="24"/>
      <c r="E303" s="24">
        <v>0</v>
      </c>
      <c r="F303" s="74">
        <f ca="1">SUMIF(I$3:$BB302,"入库",I303:$BB303)</f>
        <v>4300</v>
      </c>
      <c r="G303" s="24">
        <f ca="1">SUMIF(J$3:$BB302,"出库",J303:$BB303)</f>
        <v>400</v>
      </c>
      <c r="H303" s="27">
        <f ca="1" t="shared" si="5"/>
        <v>3900</v>
      </c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>
        <v>4300</v>
      </c>
      <c r="X303" s="24"/>
      <c r="Y303" s="24"/>
      <c r="Z303" s="24"/>
      <c r="AA303" s="24"/>
      <c r="AB303" s="24">
        <v>100</v>
      </c>
      <c r="AC303" s="24"/>
      <c r="AD303" s="24">
        <v>300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</row>
    <row r="304" s="58" customFormat="1" ht="22.5" hidden="1" customHeight="1" spans="1:54">
      <c r="A304" s="18"/>
      <c r="B304" s="24"/>
      <c r="C304" s="25" t="s">
        <v>13</v>
      </c>
      <c r="D304" s="24"/>
      <c r="E304" s="24">
        <v>0</v>
      </c>
      <c r="F304" s="74">
        <f ca="1">SUMIF(I$3:$BB303,"入库",I304:$BB304)</f>
        <v>200</v>
      </c>
      <c r="G304" s="24">
        <f ca="1">SUMIF(J$3:$BB303,"出库",J304:$BB304)</f>
        <v>0</v>
      </c>
      <c r="H304" s="27">
        <f ca="1" t="shared" si="5"/>
        <v>200</v>
      </c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>
        <v>200</v>
      </c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</row>
    <row r="305" s="58" customFormat="1" ht="22.5" hidden="1" customHeight="1" spans="1:54">
      <c r="A305" s="19"/>
      <c r="B305" s="24"/>
      <c r="C305" s="24" t="s">
        <v>14</v>
      </c>
      <c r="D305" s="24"/>
      <c r="E305" s="24">
        <v>0</v>
      </c>
      <c r="F305" s="74">
        <f ca="1">SUMIF(I$3:$BB304,"入库",I305:$BB305)</f>
        <v>330</v>
      </c>
      <c r="G305" s="24">
        <f ca="1">SUMIF(J$3:$BB304,"出库",J305:$BB305)</f>
        <v>100</v>
      </c>
      <c r="H305" s="27">
        <f ca="1" t="shared" si="5"/>
        <v>230</v>
      </c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>
        <v>330</v>
      </c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>
        <v>100</v>
      </c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</row>
    <row r="306" s="58" customFormat="1" ht="39" hidden="1" customHeight="1" spans="1:54">
      <c r="A306" s="72">
        <v>101</v>
      </c>
      <c r="B306" s="24" t="s">
        <v>115</v>
      </c>
      <c r="C306" s="73" t="s">
        <v>12</v>
      </c>
      <c r="D306" s="24"/>
      <c r="E306" s="24">
        <v>0</v>
      </c>
      <c r="F306" s="74">
        <f ca="1">SUMIF(I$3:$BB305,"入库",I306:$BB306)</f>
        <v>2550</v>
      </c>
      <c r="G306" s="24">
        <f ca="1">SUMIF(J$3:$BB305,"出库",J306:$BB306)</f>
        <v>500</v>
      </c>
      <c r="H306" s="27">
        <f ca="1" t="shared" si="5"/>
        <v>2050</v>
      </c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>
        <v>2550</v>
      </c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>
        <v>500</v>
      </c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</row>
    <row r="307" s="58" customFormat="1" ht="22.5" hidden="1" customHeight="1" spans="1:54">
      <c r="A307" s="18"/>
      <c r="B307" s="24"/>
      <c r="C307" s="25" t="s">
        <v>13</v>
      </c>
      <c r="D307" s="24"/>
      <c r="E307" s="24">
        <v>0</v>
      </c>
      <c r="F307" s="74">
        <f ca="1">SUMIF(I$3:$BB306,"入库",I307:$BB307)</f>
        <v>15</v>
      </c>
      <c r="G307" s="24">
        <f ca="1">SUMIF(J$3:$BB306,"出库",J307:$BB307)</f>
        <v>0</v>
      </c>
      <c r="H307" s="27">
        <f ca="1" t="shared" si="5"/>
        <v>15</v>
      </c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>
        <v>15</v>
      </c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</row>
    <row r="308" s="58" customFormat="1" ht="22.5" hidden="1" customHeight="1" spans="1:54">
      <c r="A308" s="19"/>
      <c r="B308" s="24"/>
      <c r="C308" s="24" t="s">
        <v>14</v>
      </c>
      <c r="D308" s="24"/>
      <c r="E308" s="24">
        <v>0</v>
      </c>
      <c r="F308" s="74">
        <f ca="1">SUMIF(I$3:$BB307,"入库",I308:$BB308)</f>
        <v>0</v>
      </c>
      <c r="G308" s="24">
        <f ca="1">SUMIF(J$3:$BB307,"出库",J308:$BB308)</f>
        <v>0</v>
      </c>
      <c r="H308" s="27">
        <f ca="1" t="shared" si="5"/>
        <v>0</v>
      </c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</row>
    <row r="309" s="58" customFormat="1" ht="39" hidden="1" customHeight="1" spans="1:54">
      <c r="A309" s="72">
        <v>102</v>
      </c>
      <c r="B309" s="24" t="s">
        <v>116</v>
      </c>
      <c r="C309" s="73" t="s">
        <v>12</v>
      </c>
      <c r="D309" s="24"/>
      <c r="E309" s="24">
        <v>0</v>
      </c>
      <c r="F309" s="74">
        <f ca="1">SUMIF(I$3:$BB308,"入库",I309:$BB309)</f>
        <v>1630</v>
      </c>
      <c r="G309" s="24">
        <f ca="1">SUMIF(J$3:$BB308,"出库",J309:$BB309)</f>
        <v>0</v>
      </c>
      <c r="H309" s="27">
        <f ca="1" t="shared" si="5"/>
        <v>1630</v>
      </c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>
        <v>1630</v>
      </c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</row>
    <row r="310" s="58" customFormat="1" ht="22.5" hidden="1" customHeight="1" spans="1:54">
      <c r="A310" s="18"/>
      <c r="B310" s="24"/>
      <c r="C310" s="25" t="s">
        <v>13</v>
      </c>
      <c r="D310" s="24"/>
      <c r="E310" s="24">
        <v>0</v>
      </c>
      <c r="F310" s="74">
        <f ca="1">SUMIF(I$3:$BB309,"入库",I310:$BB310)</f>
        <v>0</v>
      </c>
      <c r="G310" s="24">
        <f ca="1">SUMIF(J$3:$BB309,"出库",J310:$BB310)</f>
        <v>0</v>
      </c>
      <c r="H310" s="27">
        <f ca="1" t="shared" si="5"/>
        <v>0</v>
      </c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</row>
    <row r="311" s="58" customFormat="1" ht="22.5" hidden="1" customHeight="1" spans="1:54">
      <c r="A311" s="19"/>
      <c r="B311" s="24"/>
      <c r="C311" s="24" t="s">
        <v>14</v>
      </c>
      <c r="D311" s="24"/>
      <c r="E311" s="24">
        <v>0</v>
      </c>
      <c r="F311" s="74">
        <f ca="1">SUMIF(I$3:$BB310,"入库",I311:$BB311)</f>
        <v>50</v>
      </c>
      <c r="G311" s="24">
        <f ca="1">SUMIF(J$3:$BB310,"出库",J311:$BB311)</f>
        <v>24</v>
      </c>
      <c r="H311" s="27">
        <f ca="1" t="shared" si="5"/>
        <v>26</v>
      </c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>
        <v>50</v>
      </c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>
        <v>4</v>
      </c>
      <c r="AI311" s="24"/>
      <c r="AJ311" s="24">
        <v>20</v>
      </c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</row>
    <row r="312" s="58" customFormat="1" ht="39" hidden="1" customHeight="1" spans="1:54">
      <c r="A312" s="72">
        <v>103</v>
      </c>
      <c r="B312" s="24" t="s">
        <v>117</v>
      </c>
      <c r="C312" s="73" t="s">
        <v>12</v>
      </c>
      <c r="D312" s="24"/>
      <c r="E312" s="24">
        <v>0</v>
      </c>
      <c r="F312" s="74">
        <f ca="1">SUMIF(I$3:$BB311,"入库",I312:$BB312)</f>
        <v>1500</v>
      </c>
      <c r="G312" s="24">
        <f ca="1">SUMIF(J$3:$BB311,"出库",J312:$BB312)</f>
        <v>300</v>
      </c>
      <c r="H312" s="27">
        <f ca="1" t="shared" si="5"/>
        <v>1200</v>
      </c>
      <c r="I312" s="24"/>
      <c r="J312" s="24"/>
      <c r="K312" s="24"/>
      <c r="L312" s="24"/>
      <c r="M312" s="24">
        <v>1500</v>
      </c>
      <c r="N312" s="24"/>
      <c r="O312" s="24"/>
      <c r="P312" s="24"/>
      <c r="Q312" s="24"/>
      <c r="R312" s="24"/>
      <c r="S312" s="24"/>
      <c r="T312" s="24"/>
      <c r="U312" s="24"/>
      <c r="V312" s="24">
        <v>300</v>
      </c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</row>
    <row r="313" s="58" customFormat="1" ht="22.5" hidden="1" customHeight="1" spans="1:54">
      <c r="A313" s="18"/>
      <c r="B313" s="24"/>
      <c r="C313" s="25" t="s">
        <v>13</v>
      </c>
      <c r="D313" s="24"/>
      <c r="E313" s="24">
        <v>0</v>
      </c>
      <c r="F313" s="74">
        <f ca="1">SUMIF(I$3:$BB312,"入库",I313:$BB313)</f>
        <v>15</v>
      </c>
      <c r="G313" s="24">
        <f ca="1">SUMIF(J$3:$BB312,"出库",J313:$BB313)</f>
        <v>0</v>
      </c>
      <c r="H313" s="27">
        <f ca="1" t="shared" si="5"/>
        <v>15</v>
      </c>
      <c r="I313" s="24"/>
      <c r="J313" s="24"/>
      <c r="K313" s="24"/>
      <c r="L313" s="24"/>
      <c r="M313" s="24">
        <v>15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</row>
    <row r="314" s="58" customFormat="1" ht="22.5" hidden="1" customHeight="1" spans="1:54">
      <c r="A314" s="19"/>
      <c r="B314" s="24"/>
      <c r="C314" s="24" t="s">
        <v>14</v>
      </c>
      <c r="D314" s="24"/>
      <c r="E314" s="24">
        <v>0</v>
      </c>
      <c r="F314" s="74">
        <f ca="1">SUMIF(I$3:$BB313,"入库",I314:$BB314)</f>
        <v>0</v>
      </c>
      <c r="G314" s="24">
        <f ca="1">SUMIF(J$3:$BB313,"出库",J314:$BB314)</f>
        <v>0</v>
      </c>
      <c r="H314" s="27">
        <f ca="1" t="shared" si="5"/>
        <v>0</v>
      </c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</row>
    <row r="315" s="58" customFormat="1" ht="22.5" hidden="1" customHeight="1" spans="1:54">
      <c r="A315" s="72">
        <v>104</v>
      </c>
      <c r="B315" s="24" t="s">
        <v>118</v>
      </c>
      <c r="C315" s="73" t="s">
        <v>12</v>
      </c>
      <c r="D315" s="24"/>
      <c r="E315" s="24">
        <v>0</v>
      </c>
      <c r="F315" s="74">
        <f ca="1">SUMIF(I$3:$BB314,"入库",I315:$BB315)</f>
        <v>300</v>
      </c>
      <c r="G315" s="24">
        <f ca="1">SUMIF(J$3:$BB314,"出库",J315:$BB315)</f>
        <v>35</v>
      </c>
      <c r="H315" s="27">
        <f ca="1" t="shared" si="5"/>
        <v>265</v>
      </c>
      <c r="I315" s="24"/>
      <c r="J315" s="24"/>
      <c r="K315" s="24"/>
      <c r="L315" s="24"/>
      <c r="M315" s="24">
        <v>300</v>
      </c>
      <c r="N315" s="24"/>
      <c r="O315" s="24"/>
      <c r="P315" s="24"/>
      <c r="Q315" s="24"/>
      <c r="R315" s="24"/>
      <c r="S315" s="24"/>
      <c r="T315" s="24">
        <v>20</v>
      </c>
      <c r="U315" s="24"/>
      <c r="V315" s="24">
        <v>15</v>
      </c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</row>
    <row r="316" s="58" customFormat="1" ht="22.5" hidden="1" customHeight="1" spans="1:54">
      <c r="A316" s="18"/>
      <c r="B316" s="24"/>
      <c r="C316" s="25" t="s">
        <v>13</v>
      </c>
      <c r="D316" s="24"/>
      <c r="E316" s="24">
        <v>0</v>
      </c>
      <c r="F316" s="74">
        <f ca="1">SUMIF(I$3:$BB315,"入库",I316:$BB316)</f>
        <v>0</v>
      </c>
      <c r="G316" s="24">
        <f ca="1">SUMIF(J$3:$BB315,"出库",J316:$BB316)</f>
        <v>0</v>
      </c>
      <c r="H316" s="27">
        <f ca="1" t="shared" si="5"/>
        <v>0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</row>
    <row r="317" s="58" customFormat="1" ht="22.5" hidden="1" customHeight="1" spans="1:54">
      <c r="A317" s="19"/>
      <c r="B317" s="24"/>
      <c r="C317" s="24" t="s">
        <v>14</v>
      </c>
      <c r="D317" s="24"/>
      <c r="E317" s="24">
        <v>0</v>
      </c>
      <c r="F317" s="74">
        <f ca="1">SUMIF(I$3:$BB316,"入库",I317:$BB317)</f>
        <v>250</v>
      </c>
      <c r="G317" s="24">
        <f ca="1">SUMIF(J$3:$BB316,"出库",J317:$BB317)</f>
        <v>4</v>
      </c>
      <c r="H317" s="27">
        <f ca="1" t="shared" si="5"/>
        <v>246</v>
      </c>
      <c r="I317" s="24"/>
      <c r="J317" s="24"/>
      <c r="K317" s="24"/>
      <c r="L317" s="24"/>
      <c r="M317" s="24">
        <v>250</v>
      </c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>
        <v>3</v>
      </c>
      <c r="AC317" s="24"/>
      <c r="AD317" s="24"/>
      <c r="AE317" s="24"/>
      <c r="AF317" s="24"/>
      <c r="AG317" s="24"/>
      <c r="AH317" s="24">
        <v>1</v>
      </c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</row>
    <row r="318" s="58" customFormat="1" ht="39" hidden="1" customHeight="1" spans="1:54">
      <c r="A318" s="72">
        <v>105</v>
      </c>
      <c r="B318" s="24" t="s">
        <v>119</v>
      </c>
      <c r="C318" s="73" t="s">
        <v>12</v>
      </c>
      <c r="D318" s="24"/>
      <c r="E318" s="24">
        <v>0</v>
      </c>
      <c r="F318" s="74">
        <f ca="1">SUMIF(I$3:$BB317,"入库",I318:$BB318)</f>
        <v>1800</v>
      </c>
      <c r="G318" s="24">
        <f ca="1">SUMIF(J$3:$BB317,"出库",J318:$BB318)</f>
        <v>0</v>
      </c>
      <c r="H318" s="27">
        <f ca="1" t="shared" si="5"/>
        <v>1800</v>
      </c>
      <c r="I318" s="24"/>
      <c r="J318" s="24"/>
      <c r="K318" s="24">
        <v>1800</v>
      </c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</row>
    <row r="319" s="58" customFormat="1" ht="22.5" hidden="1" customHeight="1" spans="1:54">
      <c r="A319" s="18"/>
      <c r="B319" s="24"/>
      <c r="C319" s="25" t="s">
        <v>13</v>
      </c>
      <c r="D319" s="24"/>
      <c r="E319" s="24">
        <v>0</v>
      </c>
      <c r="F319" s="74">
        <f ca="1">SUMIF(I$3:$BB318,"入库",I319:$BB319)</f>
        <v>140</v>
      </c>
      <c r="G319" s="24">
        <f ca="1">SUMIF(J$3:$BB318,"出库",J319:$BB319)</f>
        <v>0</v>
      </c>
      <c r="H319" s="27">
        <f ca="1" t="shared" si="5"/>
        <v>140</v>
      </c>
      <c r="I319" s="24"/>
      <c r="J319" s="24"/>
      <c r="K319" s="24">
        <v>140</v>
      </c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</row>
    <row r="320" s="58" customFormat="1" ht="22.5" hidden="1" customHeight="1" spans="1:54">
      <c r="A320" s="19"/>
      <c r="B320" s="24"/>
      <c r="C320" s="24" t="s">
        <v>14</v>
      </c>
      <c r="D320" s="24"/>
      <c r="E320" s="24">
        <v>0</v>
      </c>
      <c r="F320" s="74">
        <f ca="1">SUMIF(I$3:$BB319,"入库",I320:$BB320)</f>
        <v>0</v>
      </c>
      <c r="G320" s="24">
        <f ca="1">SUMIF(J$3:$BB319,"出库",J320:$BB320)</f>
        <v>0</v>
      </c>
      <c r="H320" s="27">
        <f ca="1" t="shared" si="5"/>
        <v>0</v>
      </c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</row>
    <row r="321" s="58" customFormat="1" ht="22.5" hidden="1" customHeight="1" spans="1:54">
      <c r="A321" s="72">
        <v>106</v>
      </c>
      <c r="B321" s="24" t="s">
        <v>120</v>
      </c>
      <c r="C321" s="73" t="s">
        <v>12</v>
      </c>
      <c r="D321" s="24"/>
      <c r="E321" s="24">
        <v>0</v>
      </c>
      <c r="F321" s="74">
        <f ca="1">SUMIF(I$3:$BB320,"入库",I321:$BB321)</f>
        <v>600</v>
      </c>
      <c r="G321" s="24">
        <f ca="1">SUMIF(J$3:$BB320,"出库",J321:$BB321)</f>
        <v>319</v>
      </c>
      <c r="H321" s="27">
        <f ca="1" t="shared" si="5"/>
        <v>281</v>
      </c>
      <c r="I321" s="24"/>
      <c r="J321" s="24"/>
      <c r="K321" s="24">
        <v>300</v>
      </c>
      <c r="L321" s="24">
        <v>200</v>
      </c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>
        <v>100</v>
      </c>
      <c r="AA321" s="24"/>
      <c r="AB321" s="24"/>
      <c r="AC321" s="24">
        <v>300</v>
      </c>
      <c r="AD321" s="24"/>
      <c r="AE321" s="24"/>
      <c r="AF321" s="24"/>
      <c r="AG321" s="24"/>
      <c r="AH321" s="24"/>
      <c r="AI321" s="24"/>
      <c r="AJ321" s="24">
        <v>19</v>
      </c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</row>
    <row r="322" s="58" customFormat="1" ht="22.5" hidden="1" customHeight="1" spans="1:54">
      <c r="A322" s="18"/>
      <c r="B322" s="24"/>
      <c r="C322" s="25" t="s">
        <v>13</v>
      </c>
      <c r="D322" s="24"/>
      <c r="E322" s="24">
        <v>0</v>
      </c>
      <c r="F322" s="74">
        <f ca="1">SUMIF(I$3:$BB321,"入库",I322:$BB322)</f>
        <v>0</v>
      </c>
      <c r="G322" s="24">
        <f ca="1">SUMIF(J$3:$BB321,"出库",J322:$BB322)</f>
        <v>0</v>
      </c>
      <c r="H322" s="27">
        <f ca="1" t="shared" si="5"/>
        <v>0</v>
      </c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</row>
    <row r="323" s="58" customFormat="1" ht="22.5" hidden="1" customHeight="1" spans="1:54">
      <c r="A323" s="19"/>
      <c r="B323" s="24"/>
      <c r="C323" s="24" t="s">
        <v>14</v>
      </c>
      <c r="D323" s="24"/>
      <c r="E323" s="24">
        <v>0</v>
      </c>
      <c r="F323" s="74">
        <f ca="1">SUMIF(I$3:$BB322,"入库",I323:$BB323)</f>
        <v>20</v>
      </c>
      <c r="G323" s="24">
        <f ca="1">SUMIF(J$3:$BB322,"出库",J323:$BB323)</f>
        <v>5</v>
      </c>
      <c r="H323" s="27">
        <f ca="1" t="shared" si="5"/>
        <v>15</v>
      </c>
      <c r="I323" s="24"/>
      <c r="J323" s="24"/>
      <c r="K323" s="24">
        <v>20</v>
      </c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>
        <v>3</v>
      </c>
      <c r="AC323" s="24"/>
      <c r="AD323" s="24"/>
      <c r="AE323" s="24"/>
      <c r="AF323" s="24"/>
      <c r="AG323" s="24"/>
      <c r="AH323" s="24">
        <v>1</v>
      </c>
      <c r="AI323" s="24"/>
      <c r="AJ323" s="24">
        <v>1</v>
      </c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</row>
    <row r="324" s="58" customFormat="1" ht="22.5" hidden="1" customHeight="1" spans="1:54">
      <c r="A324" s="72">
        <v>107</v>
      </c>
      <c r="B324" s="24" t="s">
        <v>121</v>
      </c>
      <c r="C324" s="73" t="s">
        <v>12</v>
      </c>
      <c r="D324" s="24"/>
      <c r="E324" s="24">
        <v>0</v>
      </c>
      <c r="F324" s="74">
        <f ca="1">SUMIF(I$3:$BB323,"入库",I324:$BB324)</f>
        <v>650</v>
      </c>
      <c r="G324" s="24">
        <f ca="1">SUMIF(J$3:$BB323,"出库",J324:$BB324)</f>
        <v>105</v>
      </c>
      <c r="H324" s="27">
        <f ca="1" t="shared" si="5"/>
        <v>545</v>
      </c>
      <c r="I324" s="24"/>
      <c r="J324" s="24"/>
      <c r="K324" s="24">
        <v>650</v>
      </c>
      <c r="L324" s="24"/>
      <c r="M324" s="24"/>
      <c r="N324" s="24"/>
      <c r="O324" s="24"/>
      <c r="P324" s="24"/>
      <c r="Q324" s="24"/>
      <c r="R324" s="24"/>
      <c r="S324" s="24"/>
      <c r="T324" s="24">
        <v>100</v>
      </c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>
        <v>5</v>
      </c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</row>
    <row r="325" s="58" customFormat="1" ht="22.5" hidden="1" customHeight="1" spans="1:54">
      <c r="A325" s="18"/>
      <c r="B325" s="24"/>
      <c r="C325" s="25" t="s">
        <v>13</v>
      </c>
      <c r="D325" s="24"/>
      <c r="E325" s="24">
        <v>0</v>
      </c>
      <c r="F325" s="74">
        <f ca="1">SUMIF(I$3:$BB324,"入库",I325:$BB325)</f>
        <v>40</v>
      </c>
      <c r="G325" s="24">
        <f ca="1">SUMIF(J$3:$BB324,"出库",J325:$BB325)</f>
        <v>0</v>
      </c>
      <c r="H325" s="27">
        <f ca="1" t="shared" si="5"/>
        <v>40</v>
      </c>
      <c r="I325" s="24"/>
      <c r="J325" s="24"/>
      <c r="K325" s="24">
        <v>40</v>
      </c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</row>
    <row r="326" s="58" customFormat="1" ht="22.5" hidden="1" customHeight="1" spans="1:54">
      <c r="A326" s="19"/>
      <c r="B326" s="24"/>
      <c r="C326" s="24" t="s">
        <v>14</v>
      </c>
      <c r="D326" s="24"/>
      <c r="E326" s="24">
        <v>0</v>
      </c>
      <c r="F326" s="74">
        <f ca="1">SUMIF(I$3:$BB325,"入库",I326:$BB326)</f>
        <v>600</v>
      </c>
      <c r="G326" s="24">
        <f ca="1">SUMIF(J$3:$BB325,"出库",J326:$BB326)</f>
        <v>0</v>
      </c>
      <c r="H326" s="27">
        <f ca="1" t="shared" si="5"/>
        <v>600</v>
      </c>
      <c r="I326" s="24"/>
      <c r="J326" s="24"/>
      <c r="K326" s="24">
        <v>600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</row>
    <row r="327" s="58" customFormat="1" ht="39" hidden="1" customHeight="1" spans="1:54">
      <c r="A327" s="72">
        <v>108</v>
      </c>
      <c r="B327" s="24" t="s">
        <v>122</v>
      </c>
      <c r="C327" s="73" t="s">
        <v>12</v>
      </c>
      <c r="D327" s="24"/>
      <c r="E327" s="24">
        <v>0</v>
      </c>
      <c r="F327" s="74">
        <f ca="1">SUMIF(I$3:$BB326,"入库",I327:$BB327)</f>
        <v>3000</v>
      </c>
      <c r="G327" s="24">
        <f ca="1">SUMIF(J$3:$BB326,"出库",J327:$BB327)</f>
        <v>0</v>
      </c>
      <c r="H327" s="27">
        <f ca="1" t="shared" si="5"/>
        <v>3000</v>
      </c>
      <c r="I327" s="24">
        <v>3000</v>
      </c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</row>
    <row r="328" s="58" customFormat="1" ht="22.5" hidden="1" customHeight="1" spans="1:54">
      <c r="A328" s="18"/>
      <c r="B328" s="24"/>
      <c r="C328" s="25" t="s">
        <v>13</v>
      </c>
      <c r="D328" s="24"/>
      <c r="E328" s="24">
        <v>0</v>
      </c>
      <c r="F328" s="74">
        <f ca="1">SUMIF(I$3:$BB327,"入库",I328:$BB328)</f>
        <v>0</v>
      </c>
      <c r="G328" s="24">
        <f ca="1">SUMIF(J$3:$BB327,"出库",J328:$BB328)</f>
        <v>0</v>
      </c>
      <c r="H328" s="27">
        <f ca="1" t="shared" si="5"/>
        <v>0</v>
      </c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</row>
    <row r="329" s="58" customFormat="1" ht="22.5" hidden="1" customHeight="1" spans="1:54">
      <c r="A329" s="19"/>
      <c r="B329" s="24"/>
      <c r="C329" s="24" t="s">
        <v>14</v>
      </c>
      <c r="D329" s="24"/>
      <c r="E329" s="24">
        <v>0</v>
      </c>
      <c r="F329" s="74">
        <f ca="1">SUMIF(I$3:$BB328,"入库",I329:$BB329)</f>
        <v>0</v>
      </c>
      <c r="G329" s="24">
        <f ca="1">SUMIF(J$3:$BB328,"出库",J329:$BB329)</f>
        <v>0</v>
      </c>
      <c r="H329" s="27">
        <f ca="1" t="shared" si="5"/>
        <v>0</v>
      </c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</row>
    <row r="330" s="58" customFormat="1" ht="22.5" hidden="1" customHeight="1" spans="1:54">
      <c r="A330" s="72">
        <v>109</v>
      </c>
      <c r="B330" s="24" t="s">
        <v>123</v>
      </c>
      <c r="C330" s="73" t="s">
        <v>12</v>
      </c>
      <c r="D330" s="24"/>
      <c r="E330" s="24">
        <v>0</v>
      </c>
      <c r="F330" s="74">
        <f ca="1">SUMIF(I$3:$BB329,"入库",I330:$BB330)</f>
        <v>1800</v>
      </c>
      <c r="G330" s="24">
        <f ca="1">SUMIF(J$3:$BB329,"出库",J330:$BB330)</f>
        <v>0</v>
      </c>
      <c r="H330" s="27">
        <f ca="1" t="shared" si="5"/>
        <v>1800</v>
      </c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>
        <v>1800</v>
      </c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</row>
    <row r="331" s="58" customFormat="1" ht="22.5" hidden="1" customHeight="1" spans="1:54">
      <c r="A331" s="18"/>
      <c r="B331" s="24"/>
      <c r="C331" s="25" t="s">
        <v>13</v>
      </c>
      <c r="D331" s="24"/>
      <c r="E331" s="24">
        <v>0</v>
      </c>
      <c r="F331" s="74">
        <f ca="1">SUMIF(I$3:$BB330,"入库",I331:$BB331)</f>
        <v>30</v>
      </c>
      <c r="G331" s="24">
        <f ca="1">SUMIF(J$3:$BB330,"出库",J331:$BB331)</f>
        <v>0</v>
      </c>
      <c r="H331" s="27">
        <f ca="1" t="shared" si="5"/>
        <v>30</v>
      </c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>
        <v>30</v>
      </c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</row>
    <row r="332" s="58" customFormat="1" ht="22.5" hidden="1" customHeight="1" spans="1:54">
      <c r="A332" s="19"/>
      <c r="B332" s="24"/>
      <c r="C332" s="24" t="s">
        <v>14</v>
      </c>
      <c r="D332" s="24"/>
      <c r="E332" s="24">
        <v>0</v>
      </c>
      <c r="F332" s="74">
        <f ca="1">SUMIF(I$3:$BB331,"入库",I332:$BB332)</f>
        <v>730</v>
      </c>
      <c r="G332" s="24">
        <f ca="1">SUMIF(J$3:$BB331,"出库",J332:$BB332)</f>
        <v>0</v>
      </c>
      <c r="H332" s="27">
        <f ca="1" t="shared" si="5"/>
        <v>730</v>
      </c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>
        <v>730</v>
      </c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</row>
    <row r="333" s="58" customFormat="1" ht="39" hidden="1" customHeight="1" spans="1:54">
      <c r="A333" s="72">
        <v>110</v>
      </c>
      <c r="B333" s="24" t="s">
        <v>124</v>
      </c>
      <c r="C333" s="73" t="s">
        <v>12</v>
      </c>
      <c r="D333" s="24"/>
      <c r="E333" s="24">
        <v>0</v>
      </c>
      <c r="F333" s="74">
        <f ca="1">SUMIF(I$3:$BB332,"入库",I333:$BB333)</f>
        <v>5900</v>
      </c>
      <c r="G333" s="24">
        <f ca="1">SUMIF(J$3:$BB332,"出库",J333:$BB333)</f>
        <v>230</v>
      </c>
      <c r="H333" s="27">
        <f ca="1" t="shared" si="5"/>
        <v>5670</v>
      </c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>
        <v>5900</v>
      </c>
      <c r="X333" s="24">
        <v>30</v>
      </c>
      <c r="Y333" s="24"/>
      <c r="Z333" s="24">
        <v>200</v>
      </c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</row>
    <row r="334" s="58" customFormat="1" ht="22.5" hidden="1" customHeight="1" spans="1:54">
      <c r="A334" s="18"/>
      <c r="B334" s="24"/>
      <c r="C334" s="25" t="s">
        <v>13</v>
      </c>
      <c r="D334" s="24"/>
      <c r="E334" s="24">
        <v>0</v>
      </c>
      <c r="F334" s="74">
        <f ca="1">SUMIF(I$3:$BB333,"入库",I334:$BB334)</f>
        <v>130</v>
      </c>
      <c r="G334" s="24">
        <f ca="1">SUMIF(J$3:$BB333,"出库",J334:$BB334)</f>
        <v>0</v>
      </c>
      <c r="H334" s="27">
        <f ca="1" t="shared" si="5"/>
        <v>130</v>
      </c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>
        <v>130</v>
      </c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</row>
    <row r="335" s="58" customFormat="1" ht="22.5" hidden="1" customHeight="1" spans="1:54">
      <c r="A335" s="19"/>
      <c r="B335" s="24"/>
      <c r="C335" s="24" t="s">
        <v>14</v>
      </c>
      <c r="D335" s="24"/>
      <c r="E335" s="24">
        <v>0</v>
      </c>
      <c r="F335" s="74">
        <f ca="1">SUMIF(I$3:$BB334,"入库",I335:$BB335)</f>
        <v>20</v>
      </c>
      <c r="G335" s="24">
        <f ca="1">SUMIF(J$3:$BB334,"出库",J335:$BB335)</f>
        <v>0</v>
      </c>
      <c r="H335" s="27">
        <f ca="1" t="shared" si="5"/>
        <v>20</v>
      </c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>
        <v>20</v>
      </c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</row>
    <row r="336" s="58" customFormat="1" ht="39" hidden="1" customHeight="1" spans="1:54">
      <c r="A336" s="72">
        <v>111</v>
      </c>
      <c r="B336" s="24" t="s">
        <v>125</v>
      </c>
      <c r="C336" s="73" t="s">
        <v>12</v>
      </c>
      <c r="D336" s="24"/>
      <c r="E336" s="24">
        <v>0</v>
      </c>
      <c r="F336" s="74">
        <f ca="1">SUMIF(I$3:$BB335,"入库",I336:$BB336)</f>
        <v>4650</v>
      </c>
      <c r="G336" s="24">
        <f ca="1">SUMIF(J$3:$BB335,"出库",J336:$BB336)</f>
        <v>0</v>
      </c>
      <c r="H336" s="27">
        <f ca="1" t="shared" si="5"/>
        <v>4650</v>
      </c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>
        <v>4650</v>
      </c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</row>
    <row r="337" s="58" customFormat="1" ht="39" hidden="1" customHeight="1" spans="1:54">
      <c r="A337" s="18"/>
      <c r="B337" s="24"/>
      <c r="C337" s="25" t="s">
        <v>13</v>
      </c>
      <c r="D337" s="24"/>
      <c r="E337" s="24">
        <v>0</v>
      </c>
      <c r="F337" s="74">
        <f ca="1">SUMIF(I$3:$BB336,"入库",I337:$BB337)</f>
        <v>1100</v>
      </c>
      <c r="G337" s="24">
        <f ca="1">SUMIF(J$3:$BB336,"出库",J337:$BB337)</f>
        <v>0</v>
      </c>
      <c r="H337" s="27">
        <f ca="1" t="shared" si="5"/>
        <v>1100</v>
      </c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>
        <v>1100</v>
      </c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</row>
    <row r="338" s="58" customFormat="1" ht="22.5" hidden="1" customHeight="1" spans="1:54">
      <c r="A338" s="19"/>
      <c r="B338" s="24"/>
      <c r="C338" s="24" t="s">
        <v>14</v>
      </c>
      <c r="D338" s="24"/>
      <c r="E338" s="24">
        <v>0</v>
      </c>
      <c r="F338" s="74">
        <f ca="1">SUMIF(I$3:$BB337,"入库",I338:$BB338)</f>
        <v>0</v>
      </c>
      <c r="G338" s="24">
        <f ca="1">SUMIF(J$3:$BB337,"出库",J338:$BB338)</f>
        <v>0</v>
      </c>
      <c r="H338" s="27">
        <f ca="1" t="shared" si="5"/>
        <v>0</v>
      </c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</row>
    <row r="339" s="58" customFormat="1" ht="39" hidden="1" customHeight="1" spans="1:54">
      <c r="A339" s="72">
        <v>112</v>
      </c>
      <c r="B339" s="24" t="s">
        <v>126</v>
      </c>
      <c r="C339" s="73" t="s">
        <v>12</v>
      </c>
      <c r="D339" s="24"/>
      <c r="E339" s="24">
        <v>0</v>
      </c>
      <c r="F339" s="74">
        <v>350</v>
      </c>
      <c r="G339" s="24">
        <f ca="1">SUMIF(J$3:$BB338,"出库",J339:$BB339)</f>
        <v>126</v>
      </c>
      <c r="H339" s="27">
        <v>120</v>
      </c>
      <c r="I339" s="24"/>
      <c r="J339" s="24"/>
      <c r="K339" s="24"/>
      <c r="L339" s="24"/>
      <c r="M339" s="24">
        <v>350</v>
      </c>
      <c r="N339" s="24" t="s">
        <v>127</v>
      </c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>
        <v>126</v>
      </c>
      <c r="AC339" s="24"/>
      <c r="AD339" s="24"/>
      <c r="AE339" s="24"/>
      <c r="AF339" s="24"/>
      <c r="AG339" s="24">
        <v>1100</v>
      </c>
      <c r="AH339" s="24"/>
      <c r="AI339" s="24">
        <v>4500</v>
      </c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</row>
    <row r="340" s="58" customFormat="1" ht="22.5" hidden="1" customHeight="1" spans="1:54">
      <c r="A340" s="18"/>
      <c r="B340" s="24"/>
      <c r="C340" s="25" t="s">
        <v>13</v>
      </c>
      <c r="D340" s="24"/>
      <c r="E340" s="24">
        <v>0</v>
      </c>
      <c r="F340" s="74">
        <f ca="1">SUMIF(I$3:$BB339,"入库",I340:$BB340)</f>
        <v>0</v>
      </c>
      <c r="G340" s="24">
        <f ca="1">SUMIF(J$3:$BB339,"出库",J340:$BB340)</f>
        <v>0</v>
      </c>
      <c r="H340" s="27">
        <f ca="1" t="shared" si="5"/>
        <v>0</v>
      </c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</row>
    <row r="341" s="58" customFormat="1" ht="22.5" hidden="1" customHeight="1" spans="1:54">
      <c r="A341" s="19"/>
      <c r="B341" s="24"/>
      <c r="C341" s="24" t="s">
        <v>14</v>
      </c>
      <c r="D341" s="24"/>
      <c r="E341" s="24">
        <v>0</v>
      </c>
      <c r="F341" s="74">
        <f ca="1">SUMIF(I$3:$BB340,"入库",I341:$BB341)</f>
        <v>30</v>
      </c>
      <c r="G341" s="24">
        <f ca="1">SUMIF(J$3:$BB340,"出库",J341:$BB341)</f>
        <v>1</v>
      </c>
      <c r="H341" s="27">
        <f ca="1" t="shared" si="5"/>
        <v>29</v>
      </c>
      <c r="I341" s="24"/>
      <c r="J341" s="24"/>
      <c r="K341" s="24"/>
      <c r="L341" s="24"/>
      <c r="M341" s="24">
        <v>30</v>
      </c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>
        <v>1</v>
      </c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</row>
    <row r="342" s="58" customFormat="1" ht="22.5" hidden="1" customHeight="1" spans="1:54">
      <c r="A342" s="72">
        <v>113</v>
      </c>
      <c r="B342" s="24" t="s">
        <v>128</v>
      </c>
      <c r="C342" s="73" t="s">
        <v>12</v>
      </c>
      <c r="D342" s="24"/>
      <c r="E342" s="24">
        <v>0</v>
      </c>
      <c r="F342" s="74">
        <f ca="1">SUMIF(I$3:$BB341,"入库",I342:$BB342)</f>
        <v>250</v>
      </c>
      <c r="G342" s="24">
        <f ca="1">SUMIF(J$3:$BB341,"出库",J342:$BB342)</f>
        <v>150</v>
      </c>
      <c r="H342" s="27">
        <f ca="1" t="shared" si="5"/>
        <v>100</v>
      </c>
      <c r="I342" s="24"/>
      <c r="J342" s="24"/>
      <c r="K342" s="24"/>
      <c r="L342" s="24"/>
      <c r="M342" s="24">
        <v>250</v>
      </c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>
        <v>50</v>
      </c>
      <c r="AC342" s="24"/>
      <c r="AD342" s="24">
        <v>100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</row>
    <row r="343" s="58" customFormat="1" ht="22.5" hidden="1" customHeight="1" spans="1:54">
      <c r="A343" s="18"/>
      <c r="B343" s="24"/>
      <c r="C343" s="25" t="s">
        <v>13</v>
      </c>
      <c r="D343" s="24"/>
      <c r="E343" s="24">
        <v>0</v>
      </c>
      <c r="F343" s="74">
        <f ca="1">SUMIF(I$3:$BB342,"入库",I343:$BB343)</f>
        <v>180</v>
      </c>
      <c r="G343" s="24">
        <f ca="1">SUMIF(J$3:$BB342,"出库",J343:$BB343)</f>
        <v>0</v>
      </c>
      <c r="H343" s="27">
        <f ca="1" t="shared" si="5"/>
        <v>180</v>
      </c>
      <c r="I343" s="24"/>
      <c r="J343" s="24"/>
      <c r="K343" s="24"/>
      <c r="L343" s="24"/>
      <c r="M343" s="24">
        <v>180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</row>
    <row r="344" s="58" customFormat="1" ht="22.5" hidden="1" customHeight="1" spans="1:54">
      <c r="A344" s="19"/>
      <c r="B344" s="24"/>
      <c r="C344" s="24" t="s">
        <v>14</v>
      </c>
      <c r="D344" s="24"/>
      <c r="E344" s="24">
        <v>0</v>
      </c>
      <c r="F344" s="74">
        <f ca="1">SUMIF(I$3:$BB343,"入库",I344:$BB344)</f>
        <v>0</v>
      </c>
      <c r="G344" s="24">
        <f ca="1">SUMIF(J$3:$BB343,"出库",J344:$BB344)</f>
        <v>0</v>
      </c>
      <c r="H344" s="27">
        <f ca="1" t="shared" si="5"/>
        <v>0</v>
      </c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</row>
    <row r="345" s="58" customFormat="1" ht="39" hidden="1" customHeight="1" spans="1:54">
      <c r="A345" s="72">
        <v>114</v>
      </c>
      <c r="B345" s="24" t="s">
        <v>129</v>
      </c>
      <c r="C345" s="73" t="s">
        <v>12</v>
      </c>
      <c r="D345" s="24"/>
      <c r="E345" s="24">
        <v>0</v>
      </c>
      <c r="F345" s="74">
        <f ca="1">SUMIF(I$3:$BB344,"入库",I345:$BB345)</f>
        <v>1500</v>
      </c>
      <c r="G345" s="24">
        <f ca="1">SUMIF(J$3:$BB344,"出库",J345:$BB345)</f>
        <v>60</v>
      </c>
      <c r="H345" s="27">
        <f ca="1" t="shared" si="5"/>
        <v>1440</v>
      </c>
      <c r="I345" s="24"/>
      <c r="J345" s="24"/>
      <c r="K345" s="24">
        <v>1500</v>
      </c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>
        <v>60</v>
      </c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</row>
    <row r="346" s="58" customFormat="1" ht="22.5" hidden="1" customHeight="1" spans="1:54">
      <c r="A346" s="18"/>
      <c r="B346" s="24"/>
      <c r="C346" s="25" t="s">
        <v>13</v>
      </c>
      <c r="D346" s="24"/>
      <c r="E346" s="24">
        <v>0</v>
      </c>
      <c r="F346" s="74">
        <f ca="1">SUMIF(I$3:$BB345,"入库",I346:$BB346)</f>
        <v>380</v>
      </c>
      <c r="G346" s="24">
        <f ca="1">SUMIF(J$3:$BB345,"出库",J346:$BB346)</f>
        <v>0</v>
      </c>
      <c r="H346" s="27">
        <f ca="1" t="shared" si="5"/>
        <v>380</v>
      </c>
      <c r="I346" s="24"/>
      <c r="J346" s="24"/>
      <c r="K346" s="24">
        <v>380</v>
      </c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</row>
    <row r="347" s="58" customFormat="1" ht="22.5" hidden="1" customHeight="1" spans="1:54">
      <c r="A347" s="19"/>
      <c r="B347" s="24"/>
      <c r="C347" s="24" t="s">
        <v>14</v>
      </c>
      <c r="D347" s="24"/>
      <c r="E347" s="24">
        <v>0</v>
      </c>
      <c r="F347" s="74">
        <f ca="1">SUMIF(I$3:$BB346,"入库",I347:$BB347)</f>
        <v>300</v>
      </c>
      <c r="G347" s="24">
        <f ca="1">SUMIF(J$3:$BB346,"出库",J347:$BB347)</f>
        <v>0</v>
      </c>
      <c r="H347" s="27">
        <f ca="1" t="shared" si="5"/>
        <v>300</v>
      </c>
      <c r="I347" s="24"/>
      <c r="J347" s="24"/>
      <c r="K347" s="24">
        <v>300</v>
      </c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</row>
    <row r="348" s="58" customFormat="1" ht="39" hidden="1" customHeight="1" spans="1:54">
      <c r="A348" s="72">
        <v>115</v>
      </c>
      <c r="B348" s="24" t="s">
        <v>130</v>
      </c>
      <c r="C348" s="73" t="s">
        <v>12</v>
      </c>
      <c r="D348" s="24"/>
      <c r="E348" s="24">
        <v>0</v>
      </c>
      <c r="F348" s="74">
        <f ca="1">SUMIF(I$3:$BB347,"入库",I348:$BB348)</f>
        <v>3500</v>
      </c>
      <c r="G348" s="24">
        <f ca="1">SUMIF(J$3:$BB347,"出库",J348:$BB348)</f>
        <v>392</v>
      </c>
      <c r="H348" s="27">
        <f ca="1" t="shared" si="5"/>
        <v>3108</v>
      </c>
      <c r="I348" s="24"/>
      <c r="J348" s="24"/>
      <c r="K348" s="24">
        <v>3500</v>
      </c>
      <c r="L348" s="24"/>
      <c r="M348" s="24"/>
      <c r="N348" s="24">
        <v>100</v>
      </c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>
        <v>100</v>
      </c>
      <c r="AC348" s="24"/>
      <c r="AD348" s="24"/>
      <c r="AE348" s="24"/>
      <c r="AF348" s="24"/>
      <c r="AG348" s="24"/>
      <c r="AH348" s="24">
        <v>142</v>
      </c>
      <c r="AI348" s="24"/>
      <c r="AJ348" s="24">
        <v>50</v>
      </c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</row>
    <row r="349" s="58" customFormat="1" ht="39" hidden="1" customHeight="1" spans="1:54">
      <c r="A349" s="18"/>
      <c r="B349" s="24"/>
      <c r="C349" s="25" t="s">
        <v>13</v>
      </c>
      <c r="D349" s="24"/>
      <c r="E349" s="24">
        <v>0</v>
      </c>
      <c r="F349" s="74">
        <f ca="1">SUMIF(I$3:$BB348,"入库",I349:$BB349)</f>
        <v>2250</v>
      </c>
      <c r="G349" s="24">
        <f ca="1">SUMIF(J$3:$BB348,"出库",J349:$BB349)</f>
        <v>0</v>
      </c>
      <c r="H349" s="27">
        <f ca="1" t="shared" si="5"/>
        <v>2250</v>
      </c>
      <c r="I349" s="24"/>
      <c r="J349" s="24"/>
      <c r="K349" s="24">
        <v>2250</v>
      </c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</row>
    <row r="350" s="58" customFormat="1" ht="22.5" hidden="1" customHeight="1" spans="1:54">
      <c r="A350" s="19"/>
      <c r="B350" s="24"/>
      <c r="C350" s="24" t="s">
        <v>14</v>
      </c>
      <c r="D350" s="24"/>
      <c r="E350" s="24">
        <v>0</v>
      </c>
      <c r="F350" s="74">
        <f ca="1">SUMIF(I$3:$BB349,"入库",I350:$BB350)</f>
        <v>80</v>
      </c>
      <c r="G350" s="24">
        <f ca="1">SUMIF(J$3:$BB349,"出库",J350:$BB350)</f>
        <v>0</v>
      </c>
      <c r="H350" s="27">
        <f ca="1" t="shared" si="5"/>
        <v>80</v>
      </c>
      <c r="I350" s="24"/>
      <c r="J350" s="24"/>
      <c r="K350" s="24">
        <v>80</v>
      </c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</row>
    <row r="351" s="58" customFormat="1" ht="22.5" hidden="1" customHeight="1" spans="1:54">
      <c r="A351" s="72">
        <v>116</v>
      </c>
      <c r="B351" s="24" t="s">
        <v>131</v>
      </c>
      <c r="C351" s="73" t="s">
        <v>12</v>
      </c>
      <c r="D351" s="24"/>
      <c r="E351" s="24">
        <v>0</v>
      </c>
      <c r="F351" s="74">
        <f ca="1">SUMIF(I$3:$BB350,"入库",I351:$BB351)</f>
        <v>60</v>
      </c>
      <c r="G351" s="24">
        <f ca="1">SUMIF(J$3:$BB350,"出库",J351:$BB351)</f>
        <v>0</v>
      </c>
      <c r="H351" s="27">
        <f ca="1" t="shared" si="5"/>
        <v>60</v>
      </c>
      <c r="I351" s="24"/>
      <c r="J351" s="24"/>
      <c r="K351" s="24">
        <v>60</v>
      </c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</row>
    <row r="352" s="58" customFormat="1" ht="22.5" hidden="1" customHeight="1" spans="1:54">
      <c r="A352" s="18"/>
      <c r="B352" s="24"/>
      <c r="C352" s="25" t="s">
        <v>13</v>
      </c>
      <c r="D352" s="24"/>
      <c r="E352" s="24">
        <v>0</v>
      </c>
      <c r="F352" s="74">
        <f ca="1">SUMIF(I$3:$BB351,"入库",I352:$BB352)</f>
        <v>450</v>
      </c>
      <c r="G352" s="24">
        <f ca="1">SUMIF(J$3:$BB351,"出库",J352:$BB352)</f>
        <v>0</v>
      </c>
      <c r="H352" s="27">
        <f ca="1" t="shared" si="5"/>
        <v>450</v>
      </c>
      <c r="I352" s="24"/>
      <c r="J352" s="24"/>
      <c r="K352" s="24">
        <v>450</v>
      </c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</row>
    <row r="353" s="58" customFormat="1" ht="22.5" hidden="1" customHeight="1" spans="1:54">
      <c r="A353" s="19"/>
      <c r="B353" s="24"/>
      <c r="C353" s="24" t="s">
        <v>14</v>
      </c>
      <c r="D353" s="24"/>
      <c r="E353" s="24">
        <v>0</v>
      </c>
      <c r="F353" s="74">
        <f ca="1">SUMIF(I$3:$BB352,"入库",I353:$BB353)</f>
        <v>250</v>
      </c>
      <c r="G353" s="24">
        <f ca="1">SUMIF(J$3:$BB352,"出库",J353:$BB353)</f>
        <v>0</v>
      </c>
      <c r="H353" s="27">
        <f ca="1" t="shared" si="5"/>
        <v>250</v>
      </c>
      <c r="I353" s="24"/>
      <c r="J353" s="24"/>
      <c r="K353" s="24">
        <v>250</v>
      </c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</row>
    <row r="354" s="58" customFormat="1" ht="22.5" hidden="1" customHeight="1" spans="1:54">
      <c r="A354" s="72">
        <v>117</v>
      </c>
      <c r="B354" s="24" t="s">
        <v>132</v>
      </c>
      <c r="C354" s="73" t="s">
        <v>12</v>
      </c>
      <c r="D354" s="24"/>
      <c r="E354" s="24">
        <v>0</v>
      </c>
      <c r="F354" s="74">
        <f ca="1">SUMIF(I$3:$BB353,"入库",I354:$BB354)</f>
        <v>30</v>
      </c>
      <c r="G354" s="24">
        <f ca="1">SUMIF(J$3:$BB353,"出库",J354:$BB354)</f>
        <v>0</v>
      </c>
      <c r="H354" s="27">
        <f ca="1" t="shared" ref="H354:H360" si="6">E354+F354-G354</f>
        <v>30</v>
      </c>
      <c r="I354" s="24">
        <v>30</v>
      </c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</row>
    <row r="355" s="58" customFormat="1" ht="22.5" hidden="1" customHeight="1" spans="1:54">
      <c r="A355" s="18"/>
      <c r="B355" s="24"/>
      <c r="C355" s="25" t="s">
        <v>13</v>
      </c>
      <c r="D355" s="24"/>
      <c r="E355" s="24">
        <v>0</v>
      </c>
      <c r="F355" s="74">
        <f ca="1">SUMIF(I$3:$BB354,"入库",I355:$BB355)</f>
        <v>0</v>
      </c>
      <c r="G355" s="24">
        <f ca="1">SUMIF(J$3:$BB354,"出库",J355:$BB355)</f>
        <v>0</v>
      </c>
      <c r="H355" s="27">
        <f ca="1" t="shared" si="6"/>
        <v>0</v>
      </c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</row>
    <row r="356" s="58" customFormat="1" ht="22.5" hidden="1" customHeight="1" spans="1:54">
      <c r="A356" s="19"/>
      <c r="B356" s="24"/>
      <c r="C356" s="24" t="s">
        <v>14</v>
      </c>
      <c r="D356" s="24"/>
      <c r="E356" s="24">
        <v>0</v>
      </c>
      <c r="F356" s="74">
        <f ca="1">SUMIF(I$3:$BB355,"入库",I356:$BB356)</f>
        <v>0</v>
      </c>
      <c r="G356" s="24">
        <f ca="1">SUMIF(J$3:$BB355,"出库",J356:$BB356)</f>
        <v>0</v>
      </c>
      <c r="H356" s="27">
        <f ca="1" t="shared" si="6"/>
        <v>0</v>
      </c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</row>
    <row r="357" s="58" customFormat="1" ht="22.5" hidden="1" customHeight="1" spans="1:54">
      <c r="A357" s="72">
        <v>118</v>
      </c>
      <c r="B357" s="72" t="s">
        <v>133</v>
      </c>
      <c r="C357" s="73" t="s">
        <v>12</v>
      </c>
      <c r="D357" s="24"/>
      <c r="E357" s="24">
        <v>0</v>
      </c>
      <c r="F357" s="74">
        <f ca="1">SUMIF(I$3:$BB356,"入库",I357:$BB357)</f>
        <v>700</v>
      </c>
      <c r="G357" s="24">
        <f ca="1">SUMIF(J$3:$BB356,"出库",J357:$BB357)</f>
        <v>655</v>
      </c>
      <c r="H357" s="27">
        <f ca="1" t="shared" si="6"/>
        <v>45</v>
      </c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>
        <v>700</v>
      </c>
      <c r="X357" s="24"/>
      <c r="Y357" s="24"/>
      <c r="Z357" s="24"/>
      <c r="AA357" s="24"/>
      <c r="AB357" s="24">
        <v>250</v>
      </c>
      <c r="AC357" s="24"/>
      <c r="AD357" s="24"/>
      <c r="AE357" s="24"/>
      <c r="AF357" s="24"/>
      <c r="AG357" s="24"/>
      <c r="AH357" s="24">
        <v>405</v>
      </c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</row>
    <row r="358" s="58" customFormat="1" ht="22.5" hidden="1" customHeight="1" spans="1:54">
      <c r="A358" s="18"/>
      <c r="B358" s="18"/>
      <c r="C358" s="25" t="s">
        <v>13</v>
      </c>
      <c r="D358" s="24"/>
      <c r="E358" s="24">
        <v>0</v>
      </c>
      <c r="F358" s="74">
        <f ca="1">SUMIF(I$3:$BB357,"入库",I358:$BB358)</f>
        <v>0</v>
      </c>
      <c r="G358" s="24">
        <f ca="1">SUMIF(J$3:$BB357,"出库",J358:$BB358)</f>
        <v>0</v>
      </c>
      <c r="H358" s="27">
        <f ca="1" t="shared" si="6"/>
        <v>0</v>
      </c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</row>
    <row r="359" s="58" customFormat="1" ht="22.5" hidden="1" customHeight="1" spans="1:54">
      <c r="A359" s="18"/>
      <c r="B359" s="18"/>
      <c r="C359" s="24" t="s">
        <v>14</v>
      </c>
      <c r="D359" s="24"/>
      <c r="E359" s="24">
        <v>0</v>
      </c>
      <c r="F359" s="74">
        <f ca="1">SUMIF(I$3:$BB358,"入库",I359:$BB359)</f>
        <v>730</v>
      </c>
      <c r="G359" s="24">
        <f ca="1">SUMIF(J$3:$BB358,"出库",J359:$BB359)</f>
        <v>50</v>
      </c>
      <c r="H359" s="27">
        <f ca="1" t="shared" si="6"/>
        <v>680</v>
      </c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>
        <v>730</v>
      </c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>
        <v>50</v>
      </c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</row>
    <row r="360" s="58" customFormat="1" ht="39" hidden="1" customHeight="1" spans="1:54">
      <c r="A360" s="18"/>
      <c r="B360" s="19"/>
      <c r="C360" s="76" t="s">
        <v>134</v>
      </c>
      <c r="D360" s="77" t="s">
        <v>135</v>
      </c>
      <c r="E360" s="24">
        <v>0</v>
      </c>
      <c r="F360" s="74">
        <f ca="1">SUMIF(I$3:$BB359,"入库",I360:$BB360)</f>
        <v>50</v>
      </c>
      <c r="G360" s="24">
        <f ca="1">SUMIF(J$3:$BB359,"出库",J360:$BB360)</f>
        <v>0</v>
      </c>
      <c r="H360" s="27">
        <f ca="1" t="shared" si="6"/>
        <v>50</v>
      </c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>
        <v>50</v>
      </c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</row>
    <row r="361" s="58" customFormat="1" ht="39" hidden="1" customHeight="1" spans="1:54">
      <c r="A361" s="72">
        <v>119</v>
      </c>
      <c r="B361" s="24" t="s">
        <v>136</v>
      </c>
      <c r="C361" s="73" t="s">
        <v>12</v>
      </c>
      <c r="D361" s="24"/>
      <c r="E361" s="24">
        <v>0</v>
      </c>
      <c r="F361" s="74">
        <f ca="1">SUMIF(I$3:$BB359,"入库",I361:$BB361)</f>
        <v>3300</v>
      </c>
      <c r="G361" s="24">
        <f ca="1">SUMIF(J$3:$BB359,"出库",J361:$BB361)</f>
        <v>1215</v>
      </c>
      <c r="H361" s="27">
        <f ca="1" t="shared" ref="H361:H379" si="7">E361+F361-G361</f>
        <v>2085</v>
      </c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>
        <v>3300</v>
      </c>
      <c r="X361" s="24">
        <v>100</v>
      </c>
      <c r="Y361" s="24"/>
      <c r="Z361" s="24">
        <v>15</v>
      </c>
      <c r="AA361" s="24"/>
      <c r="AB361" s="24"/>
      <c r="AC361" s="24"/>
      <c r="AD361" s="24"/>
      <c r="AE361" s="24"/>
      <c r="AF361" s="24"/>
      <c r="AG361" s="24"/>
      <c r="AH361" s="24">
        <v>50</v>
      </c>
      <c r="AI361" s="24"/>
      <c r="AJ361" s="24">
        <v>1050</v>
      </c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</row>
    <row r="362" s="58" customFormat="1" ht="22.5" hidden="1" customHeight="1" spans="1:54">
      <c r="A362" s="18"/>
      <c r="B362" s="24"/>
      <c r="C362" s="25" t="s">
        <v>13</v>
      </c>
      <c r="D362" s="24"/>
      <c r="E362" s="24">
        <v>0</v>
      </c>
      <c r="F362" s="74">
        <f ca="1">SUMIF(I$3:$BB361,"入库",I362:$BB362)</f>
        <v>25</v>
      </c>
      <c r="G362" s="24">
        <f ca="1">SUMIF(J$3:$BB361,"出库",J362:$BB362)</f>
        <v>0</v>
      </c>
      <c r="H362" s="27">
        <f ca="1" t="shared" si="7"/>
        <v>25</v>
      </c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>
        <v>25</v>
      </c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</row>
    <row r="363" s="58" customFormat="1" ht="22.5" hidden="1" customHeight="1" spans="1:54">
      <c r="A363" s="19"/>
      <c r="B363" s="24"/>
      <c r="C363" s="24" t="s">
        <v>14</v>
      </c>
      <c r="D363" s="24"/>
      <c r="E363" s="24">
        <v>0</v>
      </c>
      <c r="F363" s="74">
        <f ca="1">SUMIF(I$3:$BB362,"入库",I363:$BB363)</f>
        <v>0</v>
      </c>
      <c r="G363" s="24">
        <f ca="1">SUMIF(J$3:$BB362,"出库",J363:$BB363)</f>
        <v>0</v>
      </c>
      <c r="H363" s="27">
        <f ca="1" t="shared" si="7"/>
        <v>0</v>
      </c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</row>
    <row r="364" s="58" customFormat="1" ht="39" hidden="1" customHeight="1" spans="1:54">
      <c r="A364" s="72">
        <v>120</v>
      </c>
      <c r="B364" s="24" t="s">
        <v>137</v>
      </c>
      <c r="C364" s="73" t="s">
        <v>12</v>
      </c>
      <c r="D364" s="24"/>
      <c r="E364" s="24">
        <v>0</v>
      </c>
      <c r="F364" s="74">
        <f ca="1">SUMIF(I$3:$BB363,"入库",I364:$BB364)</f>
        <v>3500</v>
      </c>
      <c r="G364" s="24">
        <f ca="1">SUMIF(J$3:$BB363,"出库",J364:$BB364)</f>
        <v>700</v>
      </c>
      <c r="H364" s="27">
        <f ca="1" t="shared" si="7"/>
        <v>2800</v>
      </c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>
        <v>3500</v>
      </c>
      <c r="V364" s="24">
        <v>200</v>
      </c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>
        <v>500</v>
      </c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</row>
    <row r="365" s="58" customFormat="1" ht="22.5" hidden="1" customHeight="1" spans="1:54">
      <c r="A365" s="18"/>
      <c r="B365" s="24"/>
      <c r="C365" s="25" t="s">
        <v>13</v>
      </c>
      <c r="D365" s="24"/>
      <c r="E365" s="24">
        <v>0</v>
      </c>
      <c r="F365" s="74">
        <f ca="1">SUMIF(I$3:$BB364,"入库",I365:$BB365)</f>
        <v>0</v>
      </c>
      <c r="G365" s="24">
        <f ca="1">SUMIF(J$3:$BB364,"出库",J365:$BB365)</f>
        <v>0</v>
      </c>
      <c r="H365" s="27">
        <f ca="1" t="shared" si="7"/>
        <v>0</v>
      </c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</row>
    <row r="366" s="58" customFormat="1" ht="22.5" hidden="1" customHeight="1" spans="1:54">
      <c r="A366" s="19"/>
      <c r="B366" s="24"/>
      <c r="C366" s="24" t="s">
        <v>14</v>
      </c>
      <c r="D366" s="24"/>
      <c r="E366" s="24">
        <v>0</v>
      </c>
      <c r="F366" s="74">
        <f ca="1">SUMIF(I$3:$BB365,"入库",I366:$BB366)</f>
        <v>15</v>
      </c>
      <c r="G366" s="24">
        <f ca="1">SUMIF(J$3:$BB365,"出库",J366:$BB366)</f>
        <v>0</v>
      </c>
      <c r="H366" s="27">
        <f ca="1" t="shared" si="7"/>
        <v>15</v>
      </c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>
        <v>15</v>
      </c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</row>
    <row r="367" s="58" customFormat="1" ht="39" hidden="1" customHeight="1" spans="1:54">
      <c r="A367" s="72">
        <v>121</v>
      </c>
      <c r="B367" s="24" t="s">
        <v>138</v>
      </c>
      <c r="C367" s="73" t="s">
        <v>12</v>
      </c>
      <c r="D367" s="24"/>
      <c r="E367" s="24">
        <v>0</v>
      </c>
      <c r="F367" s="74">
        <f ca="1">SUMIF(I$3:$BB366,"入库",I367:$BB367)</f>
        <v>3000</v>
      </c>
      <c r="G367" s="24">
        <f ca="1">SUMIF(J$3:$BB366,"出库",J367:$BB367)</f>
        <v>650</v>
      </c>
      <c r="H367" s="27">
        <f ca="1" t="shared" si="7"/>
        <v>2350</v>
      </c>
      <c r="I367" s="24"/>
      <c r="J367" s="24"/>
      <c r="K367" s="24"/>
      <c r="L367" s="24"/>
      <c r="M367" s="24">
        <v>3000</v>
      </c>
      <c r="N367" s="24"/>
      <c r="O367" s="24"/>
      <c r="P367" s="24">
        <v>200</v>
      </c>
      <c r="Q367" s="24"/>
      <c r="R367" s="24"/>
      <c r="S367" s="24"/>
      <c r="T367" s="24">
        <v>200</v>
      </c>
      <c r="U367" s="24"/>
      <c r="V367" s="24">
        <v>200</v>
      </c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>
        <v>50</v>
      </c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</row>
    <row r="368" s="58" customFormat="1" ht="22.5" hidden="1" customHeight="1" spans="1:54">
      <c r="A368" s="18"/>
      <c r="B368" s="24"/>
      <c r="C368" s="25" t="s">
        <v>13</v>
      </c>
      <c r="D368" s="24"/>
      <c r="E368" s="24">
        <v>0</v>
      </c>
      <c r="F368" s="74">
        <f ca="1">SUMIF(I$3:$BB367,"入库",I368:$BB368)</f>
        <v>0</v>
      </c>
      <c r="G368" s="24">
        <f ca="1">SUMIF(J$3:$BB367,"出库",J368:$BB368)</f>
        <v>0</v>
      </c>
      <c r="H368" s="27">
        <f ca="1" t="shared" si="7"/>
        <v>0</v>
      </c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</row>
    <row r="369" s="58" customFormat="1" ht="22.5" hidden="1" customHeight="1" spans="1:54">
      <c r="A369" s="19"/>
      <c r="B369" s="24"/>
      <c r="C369" s="24" t="s">
        <v>14</v>
      </c>
      <c r="D369" s="24"/>
      <c r="E369" s="24">
        <v>0</v>
      </c>
      <c r="F369" s="74">
        <f ca="1">SUMIF(I$3:$BB368,"入库",I369:$BB369)</f>
        <v>0</v>
      </c>
      <c r="G369" s="24">
        <f ca="1">SUMIF(J$3:$BB368,"出库",J369:$BB369)</f>
        <v>0</v>
      </c>
      <c r="H369" s="27">
        <f ca="1" t="shared" si="7"/>
        <v>0</v>
      </c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</row>
    <row r="370" s="58" customFormat="1" ht="22.5" hidden="1" customHeight="1" spans="1:54">
      <c r="A370" s="72">
        <v>122</v>
      </c>
      <c r="B370" s="24" t="s">
        <v>139</v>
      </c>
      <c r="C370" s="73" t="s">
        <v>12</v>
      </c>
      <c r="D370" s="24"/>
      <c r="E370" s="24">
        <v>0</v>
      </c>
      <c r="F370" s="74">
        <f ca="1">SUMIF(I$3:$BB369,"入库",I370:$BB370)</f>
        <v>200</v>
      </c>
      <c r="G370" s="24">
        <f ca="1">SUMIF(J$3:$BB369,"出库",J370:$BB370)</f>
        <v>200</v>
      </c>
      <c r="H370" s="27">
        <f ca="1" t="shared" si="7"/>
        <v>0</v>
      </c>
      <c r="I370" s="24"/>
      <c r="J370" s="24"/>
      <c r="K370" s="24"/>
      <c r="L370" s="24"/>
      <c r="M370" s="24">
        <v>200</v>
      </c>
      <c r="N370" s="24">
        <v>100</v>
      </c>
      <c r="O370" s="24"/>
      <c r="P370" s="24"/>
      <c r="Q370" s="24"/>
      <c r="R370" s="24"/>
      <c r="S370" s="24"/>
      <c r="T370" s="24">
        <v>50</v>
      </c>
      <c r="U370" s="24"/>
      <c r="V370" s="24"/>
      <c r="W370" s="24"/>
      <c r="X370" s="24"/>
      <c r="Y370" s="24"/>
      <c r="Z370" s="24">
        <v>50</v>
      </c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</row>
    <row r="371" s="58" customFormat="1" ht="22.5" hidden="1" customHeight="1" spans="1:54">
      <c r="A371" s="18"/>
      <c r="B371" s="24"/>
      <c r="C371" s="25" t="s">
        <v>13</v>
      </c>
      <c r="D371" s="24"/>
      <c r="E371" s="24">
        <v>0</v>
      </c>
      <c r="F371" s="74">
        <f ca="1">SUMIF(I$3:$BB370,"入库",I371:$BB371)</f>
        <v>0</v>
      </c>
      <c r="G371" s="24">
        <f ca="1">SUMIF(J$3:$BB370,"出库",J371:$BB371)</f>
        <v>0</v>
      </c>
      <c r="H371" s="27">
        <f ca="1" t="shared" si="7"/>
        <v>0</v>
      </c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</row>
    <row r="372" s="58" customFormat="1" ht="22.5" hidden="1" customHeight="1" spans="1:54">
      <c r="A372" s="19"/>
      <c r="B372" s="24"/>
      <c r="C372" s="24" t="s">
        <v>14</v>
      </c>
      <c r="D372" s="24"/>
      <c r="E372" s="24">
        <v>0</v>
      </c>
      <c r="F372" s="74">
        <f ca="1">SUMIF(I$3:$BB371,"入库",I372:$BB372)</f>
        <v>0</v>
      </c>
      <c r="G372" s="24">
        <f ca="1">SUMIF(J$3:$BB371,"出库",J372:$BB372)</f>
        <v>0</v>
      </c>
      <c r="H372" s="27">
        <f ca="1" t="shared" si="7"/>
        <v>0</v>
      </c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</row>
    <row r="373" s="58" customFormat="1" ht="39" hidden="1" customHeight="1" spans="1:54">
      <c r="A373" s="72">
        <v>123</v>
      </c>
      <c r="B373" s="24" t="s">
        <v>140</v>
      </c>
      <c r="C373" s="73" t="s">
        <v>12</v>
      </c>
      <c r="D373" s="24"/>
      <c r="E373" s="24">
        <v>0</v>
      </c>
      <c r="F373" s="74">
        <f ca="1">SUMIF(I$3:$BB372,"入库",I373:$BB373)</f>
        <v>1400</v>
      </c>
      <c r="G373" s="24">
        <f ca="1">SUMIF(J$3:$BB372,"出库",J373:$BB373)</f>
        <v>150</v>
      </c>
      <c r="H373" s="27">
        <f ca="1" t="shared" si="7"/>
        <v>1250</v>
      </c>
      <c r="I373" s="24"/>
      <c r="J373" s="24"/>
      <c r="K373" s="24">
        <v>1400</v>
      </c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>
        <v>150</v>
      </c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</row>
    <row r="374" s="58" customFormat="1" ht="22.5" hidden="1" customHeight="1" spans="1:54">
      <c r="A374" s="18"/>
      <c r="B374" s="24"/>
      <c r="C374" s="25" t="s">
        <v>13</v>
      </c>
      <c r="D374" s="24"/>
      <c r="E374" s="24">
        <v>0</v>
      </c>
      <c r="F374" s="74">
        <f ca="1">SUMIF(I$3:$BB373,"入库",I374:$BB374)</f>
        <v>0</v>
      </c>
      <c r="G374" s="24">
        <f ca="1">SUMIF(J$3:$BB373,"出库",J374:$BB374)</f>
        <v>0</v>
      </c>
      <c r="H374" s="27">
        <f ca="1" t="shared" si="7"/>
        <v>0</v>
      </c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</row>
    <row r="375" s="58" customFormat="1" ht="22.5" hidden="1" customHeight="1" spans="1:54">
      <c r="A375" s="19"/>
      <c r="B375" s="24"/>
      <c r="C375" s="24" t="s">
        <v>14</v>
      </c>
      <c r="D375" s="24"/>
      <c r="E375" s="24">
        <v>0</v>
      </c>
      <c r="F375" s="74">
        <f ca="1">SUMIF(I$3:$BB374,"入库",I375:$BB375)</f>
        <v>300</v>
      </c>
      <c r="G375" s="24">
        <f ca="1">SUMIF(J$3:$BB374,"出库",J375:$BB375)</f>
        <v>0</v>
      </c>
      <c r="H375" s="27">
        <f ca="1" t="shared" si="7"/>
        <v>300</v>
      </c>
      <c r="I375" s="24"/>
      <c r="J375" s="24"/>
      <c r="K375" s="24">
        <v>300</v>
      </c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</row>
    <row r="376" s="58" customFormat="1" ht="22.5" hidden="1" customHeight="1" spans="1:54">
      <c r="A376" s="72">
        <v>124</v>
      </c>
      <c r="B376" s="24" t="s">
        <v>141</v>
      </c>
      <c r="C376" s="73" t="s">
        <v>12</v>
      </c>
      <c r="D376" s="24"/>
      <c r="E376" s="24">
        <v>0</v>
      </c>
      <c r="F376" s="74">
        <f ca="1">SUMIF(I$3:$BB375,"入库",I376:$BB376)</f>
        <v>600</v>
      </c>
      <c r="G376" s="24">
        <f ca="1">SUMIF(J$3:$BB375,"出库",J376:$BB376)</f>
        <v>0</v>
      </c>
      <c r="H376" s="27">
        <f ca="1" t="shared" si="7"/>
        <v>600</v>
      </c>
      <c r="I376" s="24"/>
      <c r="J376" s="24"/>
      <c r="K376" s="24">
        <v>600</v>
      </c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</row>
    <row r="377" s="58" customFormat="1" ht="39" hidden="1" customHeight="1" spans="1:54">
      <c r="A377" s="18"/>
      <c r="B377" s="24"/>
      <c r="C377" s="25" t="s">
        <v>13</v>
      </c>
      <c r="D377" s="24"/>
      <c r="E377" s="24">
        <v>0</v>
      </c>
      <c r="F377" s="74">
        <f ca="1">SUMIF(I$3:$BB376,"入库",I377:$BB377)</f>
        <v>3100</v>
      </c>
      <c r="G377" s="24">
        <f ca="1">SUMIF(J$3:$BB376,"出库",J377:$BB377)</f>
        <v>0</v>
      </c>
      <c r="H377" s="27">
        <f ca="1" t="shared" si="7"/>
        <v>3100</v>
      </c>
      <c r="I377" s="24"/>
      <c r="J377" s="24"/>
      <c r="K377" s="24">
        <v>3100</v>
      </c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</row>
    <row r="378" s="58" customFormat="1" ht="22.5" hidden="1" customHeight="1" spans="1:54">
      <c r="A378" s="19"/>
      <c r="B378" s="24"/>
      <c r="C378" s="24" t="s">
        <v>14</v>
      </c>
      <c r="D378" s="24"/>
      <c r="E378" s="24">
        <v>0</v>
      </c>
      <c r="F378" s="74">
        <f ca="1">SUMIF(I$3:$BB377,"入库",I378:$BB378)</f>
        <v>0</v>
      </c>
      <c r="G378" s="24">
        <f ca="1">SUMIF(J$3:$BB377,"出库",J378:$BB378)</f>
        <v>0</v>
      </c>
      <c r="H378" s="27">
        <f ca="1" t="shared" si="7"/>
        <v>0</v>
      </c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</row>
    <row r="379" s="58" customFormat="1" ht="39" hidden="1" customHeight="1" spans="1:54">
      <c r="A379" s="72">
        <v>125</v>
      </c>
      <c r="B379" s="24" t="s">
        <v>142</v>
      </c>
      <c r="C379" s="73" t="s">
        <v>12</v>
      </c>
      <c r="D379" s="24"/>
      <c r="E379" s="24">
        <v>0</v>
      </c>
      <c r="F379" s="74">
        <f ca="1">SUMIF(I$3:$BB378,"入库",I379:$BB379)</f>
        <v>1500</v>
      </c>
      <c r="G379" s="24">
        <f ca="1">SUMIF(J$3:$BB378,"出库",J379:$BB379)</f>
        <v>0</v>
      </c>
      <c r="H379" s="27">
        <f ca="1" t="shared" si="7"/>
        <v>1500</v>
      </c>
      <c r="I379" s="24"/>
      <c r="J379" s="24"/>
      <c r="K379" s="24">
        <v>1500</v>
      </c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</row>
    <row r="380" s="58" customFormat="1" ht="22.5" hidden="1" customHeight="1" spans="1:54">
      <c r="A380" s="18"/>
      <c r="B380" s="24"/>
      <c r="C380" s="25" t="s">
        <v>13</v>
      </c>
      <c r="D380" s="24"/>
      <c r="E380" s="24">
        <v>0</v>
      </c>
      <c r="F380" s="74">
        <f ca="1">SUMIF(I$3:$BB379,"入库",I380:$BB380)</f>
        <v>20</v>
      </c>
      <c r="G380" s="24">
        <f ca="1">SUMIF(J$3:$BB379,"出库",J380:$BB380)</f>
        <v>0</v>
      </c>
      <c r="H380" s="27">
        <f ca="1" t="shared" ref="H380:H385" si="8">E380+F380-G380</f>
        <v>20</v>
      </c>
      <c r="I380" s="24"/>
      <c r="J380" s="24"/>
      <c r="K380" s="24">
        <v>20</v>
      </c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</row>
    <row r="381" s="58" customFormat="1" ht="22.5" hidden="1" customHeight="1" spans="1:54">
      <c r="A381" s="19"/>
      <c r="B381" s="24"/>
      <c r="C381" s="24" t="s">
        <v>14</v>
      </c>
      <c r="D381" s="24"/>
      <c r="E381" s="24">
        <v>0</v>
      </c>
      <c r="F381" s="74">
        <f ca="1">SUMIF(I$3:$BB380,"入库",I381:$BB381)</f>
        <v>10</v>
      </c>
      <c r="G381" s="24">
        <f ca="1">SUMIF(J$3:$BB380,"出库",J381:$BB381)</f>
        <v>0</v>
      </c>
      <c r="H381" s="27">
        <f ca="1" t="shared" si="8"/>
        <v>10</v>
      </c>
      <c r="I381" s="24"/>
      <c r="J381" s="24"/>
      <c r="K381" s="24">
        <v>10</v>
      </c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</row>
    <row r="382" s="58" customFormat="1" ht="22.5" hidden="1" customHeight="1" spans="1:54">
      <c r="A382" s="72">
        <v>126</v>
      </c>
      <c r="B382" s="24" t="s">
        <v>143</v>
      </c>
      <c r="C382" s="73" t="s">
        <v>12</v>
      </c>
      <c r="D382" s="24"/>
      <c r="E382" s="24">
        <v>0</v>
      </c>
      <c r="F382" s="74">
        <f ca="1">SUMIF(I$3:$BB381,"入库",I382:$BB382)</f>
        <v>800</v>
      </c>
      <c r="G382" s="24">
        <f ca="1">SUMIF(J$3:$BB381,"出库",J382:$BB382)</f>
        <v>11</v>
      </c>
      <c r="H382" s="27">
        <f ca="1" t="shared" si="8"/>
        <v>789</v>
      </c>
      <c r="I382" s="24">
        <v>800</v>
      </c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>
        <v>10</v>
      </c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>
        <v>1</v>
      </c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</row>
    <row r="383" s="58" customFormat="1" ht="22.5" hidden="1" customHeight="1" spans="1:54">
      <c r="A383" s="18"/>
      <c r="B383" s="24"/>
      <c r="C383" s="25" t="s">
        <v>13</v>
      </c>
      <c r="D383" s="24"/>
      <c r="E383" s="24">
        <v>0</v>
      </c>
      <c r="F383" s="74">
        <f ca="1">SUMIF(I$3:$BB382,"入库",I383:$BB383)</f>
        <v>0</v>
      </c>
      <c r="G383" s="24">
        <f ca="1">SUMIF(J$3:$BB382,"出库",J383:$BB383)</f>
        <v>0</v>
      </c>
      <c r="H383" s="27">
        <f ca="1" t="shared" si="8"/>
        <v>0</v>
      </c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</row>
    <row r="384" s="58" customFormat="1" ht="22.5" hidden="1" customHeight="1" spans="1:54">
      <c r="A384" s="19"/>
      <c r="B384" s="24"/>
      <c r="C384" s="24" t="s">
        <v>14</v>
      </c>
      <c r="D384" s="24"/>
      <c r="E384" s="24">
        <v>0</v>
      </c>
      <c r="F384" s="74">
        <f ca="1">SUMIF(I$3:$BB383,"入库",I384:$BB384)</f>
        <v>0</v>
      </c>
      <c r="G384" s="24">
        <f ca="1">SUMIF(J$3:$BB383,"出库",J384:$BB384)</f>
        <v>0</v>
      </c>
      <c r="H384" s="27">
        <f ca="1" t="shared" si="8"/>
        <v>0</v>
      </c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</row>
    <row r="385" s="58" customFormat="1" ht="22.5" hidden="1" customHeight="1" spans="1:54">
      <c r="A385" s="18"/>
      <c r="B385" s="72" t="s">
        <v>144</v>
      </c>
      <c r="C385" s="24" t="s">
        <v>134</v>
      </c>
      <c r="D385" s="24"/>
      <c r="E385" s="24"/>
      <c r="F385" s="74">
        <f ca="1">SUMIF(I$3:$BB384,"入库",I385:$BB385)</f>
        <v>65</v>
      </c>
      <c r="G385" s="24">
        <f ca="1">SUMIF(J$3:$BB384,"出库",J385:$BB385)</f>
        <v>0</v>
      </c>
      <c r="H385" s="27">
        <f ca="1" t="shared" si="8"/>
        <v>65</v>
      </c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>
        <v>65</v>
      </c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</row>
    <row r="386" s="58" customFormat="1" ht="22.5" hidden="1" customHeight="1" spans="1:54">
      <c r="A386" s="72">
        <v>127</v>
      </c>
      <c r="B386" s="18"/>
      <c r="C386" s="73" t="s">
        <v>12</v>
      </c>
      <c r="D386" s="24"/>
      <c r="E386" s="24">
        <v>0</v>
      </c>
      <c r="F386" s="74">
        <f ca="1">SUMIF(I$3:$BB384,"入库",I386:$BB386)</f>
        <v>6600</v>
      </c>
      <c r="G386" s="24">
        <f ca="1">SUMIF(J$3:$BB384,"出库",J386:$BB386)</f>
        <v>251</v>
      </c>
      <c r="H386" s="27">
        <f ca="1" t="shared" ref="H386:H418" si="9">E386+F386-G386</f>
        <v>6349</v>
      </c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>
        <v>6600</v>
      </c>
      <c r="X386" s="24"/>
      <c r="Z386" s="24"/>
      <c r="AA386" s="24"/>
      <c r="AB386" s="24"/>
      <c r="AC386" s="24"/>
      <c r="AD386" s="24">
        <v>250</v>
      </c>
      <c r="AE386" s="24"/>
      <c r="AF386" s="24"/>
      <c r="AG386" s="24"/>
      <c r="AH386" s="24"/>
      <c r="AI386" s="24"/>
      <c r="AJ386" s="24">
        <v>1</v>
      </c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</row>
    <row r="387" s="58" customFormat="1" ht="22.5" hidden="1" customHeight="1" spans="1:54">
      <c r="A387" s="18"/>
      <c r="B387" s="18"/>
      <c r="C387" s="25" t="s">
        <v>13</v>
      </c>
      <c r="D387" s="24"/>
      <c r="E387" s="24">
        <v>0</v>
      </c>
      <c r="F387" s="74">
        <f ca="1">SUMIF(I$3:$BB386,"入库",I387:$BB387)</f>
        <v>80</v>
      </c>
      <c r="G387" s="24">
        <f ca="1">SUMIF(J$3:$BB386,"出库",J387:$BB387)</f>
        <v>0</v>
      </c>
      <c r="H387" s="27">
        <f ca="1" t="shared" si="9"/>
        <v>80</v>
      </c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>
        <v>80</v>
      </c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</row>
    <row r="388" s="58" customFormat="1" ht="22.5" hidden="1" customHeight="1" spans="1:54">
      <c r="A388" s="19"/>
      <c r="B388" s="19"/>
      <c r="C388" s="24" t="s">
        <v>14</v>
      </c>
      <c r="D388" s="24"/>
      <c r="E388" s="24">
        <v>0</v>
      </c>
      <c r="F388" s="74">
        <f ca="1">SUMIF(I$3:$BB387,"入库",I388:$BB388)</f>
        <v>100</v>
      </c>
      <c r="G388" s="24">
        <f ca="1">SUMIF(J$3:$BB387,"出库",J388:$BB388)</f>
        <v>0</v>
      </c>
      <c r="H388" s="27">
        <f ca="1" t="shared" si="9"/>
        <v>100</v>
      </c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>
        <v>100</v>
      </c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</row>
    <row r="389" s="58" customFormat="1" ht="22.5" hidden="1" customHeight="1" spans="1:54">
      <c r="A389" s="72">
        <v>128</v>
      </c>
      <c r="B389" s="24" t="s">
        <v>145</v>
      </c>
      <c r="C389" s="73" t="s">
        <v>12</v>
      </c>
      <c r="D389" s="24"/>
      <c r="E389" s="24">
        <v>0</v>
      </c>
      <c r="F389" s="74">
        <f ca="1">SUMIF(I$3:$BB388,"入库",I389:$BB389)</f>
        <v>300</v>
      </c>
      <c r="G389" s="24">
        <f ca="1">SUMIF(J$3:$BB388,"出库",J389:$BB389)</f>
        <v>0</v>
      </c>
      <c r="H389" s="27">
        <f ca="1" t="shared" si="9"/>
        <v>300</v>
      </c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>
        <v>300</v>
      </c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</row>
    <row r="390" s="58" customFormat="1" ht="22.5" hidden="1" customHeight="1" spans="1:54">
      <c r="A390" s="18"/>
      <c r="B390" s="24"/>
      <c r="C390" s="25" t="s">
        <v>13</v>
      </c>
      <c r="D390" s="24"/>
      <c r="E390" s="24">
        <v>0</v>
      </c>
      <c r="F390" s="74">
        <f ca="1">SUMIF(I$3:$BB389,"入库",I390:$BB390)</f>
        <v>400</v>
      </c>
      <c r="G390" s="24">
        <f ca="1">SUMIF(J$3:$BB389,"出库",J390:$BB390)</f>
        <v>55</v>
      </c>
      <c r="H390" s="27">
        <f ca="1" t="shared" si="9"/>
        <v>345</v>
      </c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>
        <v>400</v>
      </c>
      <c r="X390" s="24">
        <v>55</v>
      </c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</row>
    <row r="391" s="58" customFormat="1" ht="22.5" hidden="1" customHeight="1" spans="1:54">
      <c r="A391" s="19"/>
      <c r="B391" s="24"/>
      <c r="C391" s="24" t="s">
        <v>14</v>
      </c>
      <c r="D391" s="24"/>
      <c r="E391" s="24">
        <v>0</v>
      </c>
      <c r="F391" s="74">
        <f ca="1">SUMIF(I$3:$BB390,"入库",I391:$BB391)</f>
        <v>20</v>
      </c>
      <c r="G391" s="24">
        <f ca="1">SUMIF(J$3:$BB390,"出库",J391:$BB391)</f>
        <v>0</v>
      </c>
      <c r="H391" s="27">
        <f ca="1" t="shared" si="9"/>
        <v>20</v>
      </c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>
        <v>20</v>
      </c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</row>
    <row r="392" s="58" customFormat="1" ht="22.5" hidden="1" customHeight="1" spans="1:54">
      <c r="A392" s="72">
        <v>129</v>
      </c>
      <c r="B392" s="24" t="s">
        <v>146</v>
      </c>
      <c r="C392" s="73" t="s">
        <v>12</v>
      </c>
      <c r="D392" s="24"/>
      <c r="E392" s="24">
        <v>0</v>
      </c>
      <c r="F392" s="74">
        <f ca="1">SUMIF(I$3:$BB391,"入库",I392:$BB392)</f>
        <v>300</v>
      </c>
      <c r="G392" s="24">
        <f ca="1">SUMIF(J$3:$BB391,"出库",J392:$BB392)</f>
        <v>0</v>
      </c>
      <c r="H392" s="27">
        <f ca="1" t="shared" si="9"/>
        <v>300</v>
      </c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>
        <v>300</v>
      </c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</row>
    <row r="393" s="58" customFormat="1" ht="22.5" hidden="1" customHeight="1" spans="1:54">
      <c r="A393" s="18"/>
      <c r="B393" s="24"/>
      <c r="C393" s="25" t="s">
        <v>13</v>
      </c>
      <c r="D393" s="24"/>
      <c r="E393" s="24">
        <v>0</v>
      </c>
      <c r="F393" s="74">
        <f ca="1">SUMIF(I$3:$BB392,"入库",I393:$BB393)</f>
        <v>650</v>
      </c>
      <c r="G393" s="24">
        <f ca="1">SUMIF(J$3:$BB392,"出库",J393:$BB393)</f>
        <v>0</v>
      </c>
      <c r="H393" s="27">
        <f ca="1" t="shared" si="9"/>
        <v>650</v>
      </c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>
        <v>650</v>
      </c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</row>
    <row r="394" s="58" customFormat="1" ht="22.5" hidden="1" customHeight="1" spans="1:54">
      <c r="A394" s="19"/>
      <c r="B394" s="24"/>
      <c r="C394" s="24" t="s">
        <v>14</v>
      </c>
      <c r="D394" s="24"/>
      <c r="E394" s="24">
        <v>0</v>
      </c>
      <c r="F394" s="74">
        <f ca="1">SUMIF(I$3:$BB393,"入库",I394:$BB394)</f>
        <v>0</v>
      </c>
      <c r="G394" s="24">
        <f ca="1">SUMIF(J$3:$BB393,"出库",J394:$BB394)</f>
        <v>0</v>
      </c>
      <c r="H394" s="27">
        <f ca="1" t="shared" si="9"/>
        <v>0</v>
      </c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</row>
    <row r="395" s="58" customFormat="1" ht="39" hidden="1" customHeight="1" spans="1:54">
      <c r="A395" s="72">
        <v>130</v>
      </c>
      <c r="B395" s="24" t="s">
        <v>147</v>
      </c>
      <c r="C395" s="73" t="s">
        <v>12</v>
      </c>
      <c r="D395" s="24"/>
      <c r="E395" s="24">
        <v>0</v>
      </c>
      <c r="F395" s="74">
        <f ca="1">SUMIF(I$3:$BB394,"入库",I395:$BB395)</f>
        <v>1900</v>
      </c>
      <c r="G395" s="24">
        <f ca="1">SUMIF(J$3:$BB394,"出库",J395:$BB395)</f>
        <v>300</v>
      </c>
      <c r="H395" s="27">
        <f ca="1" t="shared" si="9"/>
        <v>1600</v>
      </c>
      <c r="I395" s="24"/>
      <c r="J395" s="24"/>
      <c r="K395" s="24"/>
      <c r="L395" s="24"/>
      <c r="M395" s="24">
        <v>1600</v>
      </c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>
        <v>100</v>
      </c>
      <c r="Y395" s="24"/>
      <c r="Z395" s="24"/>
      <c r="AA395" s="24"/>
      <c r="AB395" s="24"/>
      <c r="AC395" s="24"/>
      <c r="AD395" s="24">
        <v>100</v>
      </c>
      <c r="AE395" s="24"/>
      <c r="AF395" s="24"/>
      <c r="AG395" s="24"/>
      <c r="AH395" s="24"/>
      <c r="AI395" s="24">
        <v>300</v>
      </c>
      <c r="AJ395" s="24">
        <v>100</v>
      </c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</row>
    <row r="396" s="58" customFormat="1" ht="22.5" hidden="1" customHeight="1" spans="1:54">
      <c r="A396" s="18"/>
      <c r="B396" s="24"/>
      <c r="C396" s="25" t="s">
        <v>13</v>
      </c>
      <c r="D396" s="24"/>
      <c r="E396" s="24">
        <v>0</v>
      </c>
      <c r="F396" s="74">
        <f ca="1">SUMIF(I$3:$BB395,"入库",I396:$BB396)</f>
        <v>0</v>
      </c>
      <c r="G396" s="24">
        <f ca="1">SUMIF(J$3:$BB395,"出库",J396:$BB396)</f>
        <v>0</v>
      </c>
      <c r="H396" s="27">
        <f ca="1" t="shared" si="9"/>
        <v>0</v>
      </c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</row>
    <row r="397" s="58" customFormat="1" ht="22.5" hidden="1" customHeight="1" spans="1:54">
      <c r="A397" s="19"/>
      <c r="B397" s="24"/>
      <c r="C397" s="24" t="s">
        <v>14</v>
      </c>
      <c r="D397" s="24"/>
      <c r="E397" s="24">
        <v>0</v>
      </c>
      <c r="F397" s="74">
        <f ca="1">SUMIF(I$3:$BB396,"入库",I397:$BB397)</f>
        <v>20</v>
      </c>
      <c r="G397" s="24">
        <f ca="1">SUMIF(J$3:$BB396,"出库",J397:$BB397)</f>
        <v>0</v>
      </c>
      <c r="H397" s="27">
        <f ca="1" t="shared" si="9"/>
        <v>20</v>
      </c>
      <c r="I397" s="24"/>
      <c r="J397" s="24"/>
      <c r="K397" s="24"/>
      <c r="L397" s="24"/>
      <c r="M397" s="24">
        <v>20</v>
      </c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</row>
    <row r="398" s="58" customFormat="1" ht="39" hidden="1" customHeight="1" spans="1:54">
      <c r="A398" s="72">
        <v>131</v>
      </c>
      <c r="B398" s="24" t="s">
        <v>148</v>
      </c>
      <c r="C398" s="73" t="s">
        <v>12</v>
      </c>
      <c r="D398" s="24"/>
      <c r="E398" s="24">
        <v>0</v>
      </c>
      <c r="F398" s="74">
        <f ca="1">SUMIF(I$3:$BB397,"入库",I398:$BB398)</f>
        <v>1800</v>
      </c>
      <c r="G398" s="24">
        <f ca="1">SUMIF(J$3:$BB397,"出库",J398:$BB398)</f>
        <v>215</v>
      </c>
      <c r="H398" s="27">
        <f ca="1" t="shared" si="9"/>
        <v>1585</v>
      </c>
      <c r="I398" s="24"/>
      <c r="J398" s="24"/>
      <c r="K398" s="24"/>
      <c r="L398" s="24"/>
      <c r="M398" s="24">
        <v>1600</v>
      </c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>
        <v>15</v>
      </c>
      <c r="Y398" s="24"/>
      <c r="Z398" s="24">
        <v>200</v>
      </c>
      <c r="AA398" s="24"/>
      <c r="AB398" s="24"/>
      <c r="AC398" s="24"/>
      <c r="AD398" s="24"/>
      <c r="AE398" s="24"/>
      <c r="AF398" s="24"/>
      <c r="AG398" s="24"/>
      <c r="AH398" s="24"/>
      <c r="AI398" s="24">
        <v>200</v>
      </c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</row>
    <row r="399" s="58" customFormat="1" ht="22.5" hidden="1" customHeight="1" spans="1:54">
      <c r="A399" s="18"/>
      <c r="B399" s="24"/>
      <c r="C399" s="25" t="s">
        <v>13</v>
      </c>
      <c r="D399" s="24"/>
      <c r="E399" s="24">
        <v>0</v>
      </c>
      <c r="F399" s="74">
        <f ca="1">SUMIF(I$3:$BB398,"入库",I399:$BB399)</f>
        <v>0</v>
      </c>
      <c r="G399" s="24">
        <f ca="1">SUMIF(J$3:$BB398,"出库",J399:$BB399)</f>
        <v>0</v>
      </c>
      <c r="H399" s="27">
        <f ca="1" t="shared" si="9"/>
        <v>0</v>
      </c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</row>
    <row r="400" s="58" customFormat="1" ht="22.5" hidden="1" customHeight="1" spans="1:54">
      <c r="A400" s="19"/>
      <c r="B400" s="24"/>
      <c r="C400" s="24" t="s">
        <v>14</v>
      </c>
      <c r="D400" s="24"/>
      <c r="E400" s="24">
        <v>0</v>
      </c>
      <c r="F400" s="74">
        <f ca="1">SUMIF(I$3:$BB399,"入库",I400:$BB400)</f>
        <v>180</v>
      </c>
      <c r="G400" s="24">
        <f ca="1">SUMIF(J$3:$BB399,"出库",J400:$BB400)</f>
        <v>0</v>
      </c>
      <c r="H400" s="27">
        <f ca="1" t="shared" si="9"/>
        <v>180</v>
      </c>
      <c r="I400" s="24"/>
      <c r="J400" s="24"/>
      <c r="K400" s="24"/>
      <c r="L400" s="24"/>
      <c r="M400" s="24">
        <v>180</v>
      </c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</row>
    <row r="401" s="58" customFormat="1" ht="39" hidden="1" customHeight="1" spans="1:54">
      <c r="A401" s="72">
        <v>132</v>
      </c>
      <c r="B401" s="24" t="s">
        <v>149</v>
      </c>
      <c r="C401" s="73" t="s">
        <v>12</v>
      </c>
      <c r="D401" s="24"/>
      <c r="E401" s="24">
        <v>0</v>
      </c>
      <c r="F401" s="74">
        <f ca="1">SUMIF(I$3:$BB400,"入库",I401:$BB401)</f>
        <v>4400</v>
      </c>
      <c r="G401" s="24">
        <f ca="1">SUMIF(J$3:$BB400,"出库",J401:$BB401)</f>
        <v>440</v>
      </c>
      <c r="H401" s="27">
        <f ca="1" t="shared" si="9"/>
        <v>3960</v>
      </c>
      <c r="I401" s="24"/>
      <c r="J401" s="24"/>
      <c r="K401" s="24">
        <v>4400</v>
      </c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>
        <v>440</v>
      </c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</row>
    <row r="402" s="58" customFormat="1" ht="22.5" hidden="1" customHeight="1" spans="1:54">
      <c r="A402" s="18"/>
      <c r="B402" s="24"/>
      <c r="C402" s="25" t="s">
        <v>13</v>
      </c>
      <c r="D402" s="24"/>
      <c r="E402" s="24">
        <v>0</v>
      </c>
      <c r="F402" s="74">
        <f ca="1">SUMIF(I$3:$BB401,"入库",I402:$BB402)</f>
        <v>20</v>
      </c>
      <c r="G402" s="24">
        <f ca="1">SUMIF(J$3:$BB401,"出库",J402:$BB402)</f>
        <v>0</v>
      </c>
      <c r="H402" s="27">
        <f ca="1" t="shared" si="9"/>
        <v>20</v>
      </c>
      <c r="I402" s="24"/>
      <c r="J402" s="24"/>
      <c r="K402" s="24">
        <v>20</v>
      </c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</row>
    <row r="403" s="58" customFormat="1" ht="22.5" hidden="1" customHeight="1" spans="1:54">
      <c r="A403" s="19"/>
      <c r="B403" s="24"/>
      <c r="C403" s="24" t="s">
        <v>14</v>
      </c>
      <c r="D403" s="24"/>
      <c r="E403" s="24">
        <v>0</v>
      </c>
      <c r="F403" s="74">
        <f ca="1">SUMIF(I$3:$BB402,"入库",I403:$BB403)</f>
        <v>150</v>
      </c>
      <c r="G403" s="24">
        <f ca="1">SUMIF(J$3:$BB402,"出库",J403:$BB403)</f>
        <v>0</v>
      </c>
      <c r="H403" s="27">
        <f ca="1" t="shared" si="9"/>
        <v>150</v>
      </c>
      <c r="I403" s="24"/>
      <c r="J403" s="24"/>
      <c r="K403" s="24">
        <v>150</v>
      </c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</row>
    <row r="404" s="58" customFormat="1" ht="22.5" hidden="1" customHeight="1" spans="1:54">
      <c r="A404" s="72">
        <v>133</v>
      </c>
      <c r="B404" s="24" t="s">
        <v>150</v>
      </c>
      <c r="C404" s="73" t="s">
        <v>12</v>
      </c>
      <c r="D404" s="24"/>
      <c r="E404" s="24">
        <v>0</v>
      </c>
      <c r="F404" s="74">
        <f ca="1">SUMIF(I$3:$BB403,"入库",I404:$BB404)</f>
        <v>50</v>
      </c>
      <c r="G404" s="24">
        <f ca="1">SUMIF(J$3:$BB403,"出库",J404:$BB404)</f>
        <v>32</v>
      </c>
      <c r="H404" s="27">
        <f ca="1" t="shared" si="9"/>
        <v>18</v>
      </c>
      <c r="I404" s="24"/>
      <c r="J404" s="24"/>
      <c r="K404" s="24">
        <v>50</v>
      </c>
      <c r="L404" s="24"/>
      <c r="M404" s="24"/>
      <c r="N404" s="24"/>
      <c r="O404" s="24"/>
      <c r="P404" s="24"/>
      <c r="Q404" s="24"/>
      <c r="R404" s="24"/>
      <c r="S404" s="24"/>
      <c r="T404" s="24">
        <v>32</v>
      </c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</row>
    <row r="405" s="58" customFormat="1" ht="22.5" hidden="1" customHeight="1" spans="1:54">
      <c r="A405" s="18"/>
      <c r="B405" s="24"/>
      <c r="C405" s="25" t="s">
        <v>13</v>
      </c>
      <c r="D405" s="24"/>
      <c r="E405" s="24">
        <v>0</v>
      </c>
      <c r="F405" s="74">
        <f ca="1">SUMIF(I$3:$BB404,"入库",I405:$BB405)</f>
        <v>60</v>
      </c>
      <c r="G405" s="24">
        <f ca="1">SUMIF(J$3:$BB404,"出库",J405:$BB405)</f>
        <v>0</v>
      </c>
      <c r="H405" s="27">
        <f ca="1" t="shared" si="9"/>
        <v>60</v>
      </c>
      <c r="I405" s="24"/>
      <c r="J405" s="24"/>
      <c r="K405" s="24">
        <v>60</v>
      </c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</row>
    <row r="406" s="58" customFormat="1" ht="22.5" hidden="1" customHeight="1" spans="1:54">
      <c r="A406" s="19"/>
      <c r="B406" s="24"/>
      <c r="C406" s="24" t="s">
        <v>14</v>
      </c>
      <c r="D406" s="24"/>
      <c r="E406" s="24">
        <v>0</v>
      </c>
      <c r="F406" s="74">
        <f ca="1">SUMIF(I$3:$BB405,"入库",I406:$BB406)</f>
        <v>10</v>
      </c>
      <c r="G406" s="24">
        <f ca="1">SUMIF(J$3:$BB405,"出库",J406:$BB406)</f>
        <v>0</v>
      </c>
      <c r="H406" s="27">
        <f ca="1" t="shared" si="9"/>
        <v>10</v>
      </c>
      <c r="I406" s="24"/>
      <c r="J406" s="24"/>
      <c r="K406" s="24">
        <v>10</v>
      </c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</row>
    <row r="407" s="58" customFormat="1" ht="22.5" hidden="1" customHeight="1" spans="1:54">
      <c r="A407" s="72">
        <v>134</v>
      </c>
      <c r="B407" s="24" t="s">
        <v>151</v>
      </c>
      <c r="C407" s="73" t="s">
        <v>12</v>
      </c>
      <c r="D407" s="24"/>
      <c r="E407" s="24">
        <v>0</v>
      </c>
      <c r="F407" s="74">
        <f ca="1">SUMIF(I$3:$BB406,"入库",I407:$BB407)</f>
        <v>350</v>
      </c>
      <c r="G407" s="24">
        <f ca="1">SUMIF(J$3:$BB406,"出库",J407:$BB407)</f>
        <v>300</v>
      </c>
      <c r="H407" s="27">
        <f ca="1" t="shared" si="9"/>
        <v>50</v>
      </c>
      <c r="I407" s="24"/>
      <c r="J407" s="24"/>
      <c r="K407" s="24">
        <v>350</v>
      </c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>
        <v>200</v>
      </c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>
        <v>100</v>
      </c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</row>
    <row r="408" s="58" customFormat="1" ht="22.5" hidden="1" customHeight="1" spans="1:54">
      <c r="A408" s="18"/>
      <c r="B408" s="24"/>
      <c r="C408" s="25" t="s">
        <v>13</v>
      </c>
      <c r="D408" s="24"/>
      <c r="E408" s="24">
        <v>0</v>
      </c>
      <c r="F408" s="74">
        <f ca="1">SUMIF(I$3:$BB407,"入库",I408:$BB408)</f>
        <v>250</v>
      </c>
      <c r="G408" s="24">
        <f ca="1">SUMIF(J$3:$BB407,"出库",J408:$BB408)</f>
        <v>0</v>
      </c>
      <c r="H408" s="27">
        <f ca="1" t="shared" si="9"/>
        <v>250</v>
      </c>
      <c r="I408" s="24"/>
      <c r="J408" s="24"/>
      <c r="K408" s="24">
        <v>250</v>
      </c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</row>
    <row r="409" s="58" customFormat="1" ht="22.5" hidden="1" customHeight="1" spans="1:54">
      <c r="A409" s="19"/>
      <c r="B409" s="24"/>
      <c r="C409" s="24" t="s">
        <v>14</v>
      </c>
      <c r="D409" s="24"/>
      <c r="E409" s="24">
        <v>0</v>
      </c>
      <c r="F409" s="74">
        <f ca="1">SUMIF(I$3:$BB408,"入库",I409:$BB409)</f>
        <v>100</v>
      </c>
      <c r="G409" s="24">
        <f ca="1">SUMIF(J$3:$BB408,"出库",J409:$BB409)</f>
        <v>0</v>
      </c>
      <c r="H409" s="27">
        <f ca="1" t="shared" si="9"/>
        <v>100</v>
      </c>
      <c r="I409" s="24"/>
      <c r="J409" s="24"/>
      <c r="K409" s="24">
        <v>100</v>
      </c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</row>
    <row r="410" s="58" customFormat="1" ht="22.5" hidden="1" customHeight="1" spans="1:54">
      <c r="A410" s="72">
        <v>135</v>
      </c>
      <c r="B410" s="24" t="s">
        <v>152</v>
      </c>
      <c r="C410" s="73" t="s">
        <v>12</v>
      </c>
      <c r="D410" s="24"/>
      <c r="E410" s="24">
        <v>0</v>
      </c>
      <c r="F410" s="74">
        <f ca="1">SUMIF(I$3:$BB409,"入库",I410:$BB410)</f>
        <v>350</v>
      </c>
      <c r="G410" s="24">
        <f ca="1">SUMIF(J$3:$BB409,"出库",J410:$BB410)</f>
        <v>152</v>
      </c>
      <c r="H410" s="27">
        <f ca="1" t="shared" si="9"/>
        <v>198</v>
      </c>
      <c r="I410" s="24">
        <v>350</v>
      </c>
      <c r="J410" s="24"/>
      <c r="K410" s="24"/>
      <c r="L410" s="24"/>
      <c r="M410" s="24"/>
      <c r="N410" s="24">
        <v>10</v>
      </c>
      <c r="O410" s="24"/>
      <c r="P410" s="24"/>
      <c r="Q410" s="24"/>
      <c r="R410" s="24"/>
      <c r="S410" s="24"/>
      <c r="T410" s="24"/>
      <c r="U410" s="24"/>
      <c r="V410" s="24">
        <v>140</v>
      </c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>
        <v>2</v>
      </c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</row>
    <row r="411" s="58" customFormat="1" ht="22.5" hidden="1" customHeight="1" spans="1:54">
      <c r="A411" s="18"/>
      <c r="B411" s="24"/>
      <c r="C411" s="25" t="s">
        <v>13</v>
      </c>
      <c r="D411" s="24"/>
      <c r="E411" s="24">
        <v>0</v>
      </c>
      <c r="F411" s="74">
        <f ca="1">SUMIF(I$3:$BB410,"入库",I411:$BB411)</f>
        <v>25</v>
      </c>
      <c r="G411" s="24">
        <f ca="1">SUMIF(J$3:$BB410,"出库",J411:$BB411)</f>
        <v>0</v>
      </c>
      <c r="H411" s="27">
        <f ca="1" t="shared" si="9"/>
        <v>25</v>
      </c>
      <c r="I411" s="24">
        <v>25</v>
      </c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</row>
    <row r="412" s="58" customFormat="1" ht="22.5" hidden="1" customHeight="1" spans="1:54">
      <c r="A412" s="19"/>
      <c r="B412" s="24"/>
      <c r="C412" s="24" t="s">
        <v>14</v>
      </c>
      <c r="D412" s="24"/>
      <c r="E412" s="24">
        <v>0</v>
      </c>
      <c r="F412" s="74">
        <f ca="1">SUMIF(I$3:$BB411,"入库",I412:$BB412)</f>
        <v>0</v>
      </c>
      <c r="G412" s="24">
        <f ca="1">SUMIF(J$3:$BB411,"出库",J412:$BB412)</f>
        <v>0</v>
      </c>
      <c r="H412" s="27">
        <f ca="1" t="shared" si="9"/>
        <v>0</v>
      </c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</row>
    <row r="413" s="58" customFormat="1" ht="22.5" hidden="1" customHeight="1" spans="1:54">
      <c r="A413" s="72">
        <v>136</v>
      </c>
      <c r="B413" s="24" t="s">
        <v>153</v>
      </c>
      <c r="C413" s="73" t="s">
        <v>12</v>
      </c>
      <c r="D413" s="24"/>
      <c r="E413" s="24">
        <v>0</v>
      </c>
      <c r="F413" s="74">
        <f ca="1">SUMIF(I$3:$BB412,"入库",I413:$BB413)</f>
        <v>500</v>
      </c>
      <c r="G413" s="24">
        <f ca="1">SUMIF(J$3:$BB412,"出库",J413:$BB413)</f>
        <v>230</v>
      </c>
      <c r="H413" s="27">
        <f ca="1" t="shared" si="9"/>
        <v>270</v>
      </c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>
        <v>500</v>
      </c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>
        <v>230</v>
      </c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</row>
    <row r="414" s="58" customFormat="1" ht="22.5" hidden="1" customHeight="1" spans="1:54">
      <c r="A414" s="18"/>
      <c r="B414" s="24"/>
      <c r="C414" s="25" t="s">
        <v>13</v>
      </c>
      <c r="D414" s="24"/>
      <c r="E414" s="24">
        <v>0</v>
      </c>
      <c r="F414" s="74">
        <f ca="1">SUMIF(I$3:$BB413,"入库",I414:$BB414)</f>
        <v>10</v>
      </c>
      <c r="G414" s="24">
        <f ca="1">SUMIF(J$3:$BB413,"出库",J414:$BB414)</f>
        <v>0</v>
      </c>
      <c r="H414" s="27">
        <f ca="1" t="shared" si="9"/>
        <v>10</v>
      </c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>
        <v>10</v>
      </c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</row>
    <row r="415" s="58" customFormat="1" ht="22.5" hidden="1" customHeight="1" spans="1:54">
      <c r="A415" s="19"/>
      <c r="B415" s="24"/>
      <c r="C415" s="24" t="s">
        <v>14</v>
      </c>
      <c r="D415" s="24"/>
      <c r="E415" s="24">
        <v>0</v>
      </c>
      <c r="F415" s="74">
        <f ca="1">SUMIF(I$3:$BB414,"入库",I415:$BB415)</f>
        <v>120</v>
      </c>
      <c r="G415" s="24">
        <f ca="1">SUMIF(J$3:$BB414,"出库",J415:$BB415)</f>
        <v>0</v>
      </c>
      <c r="H415" s="27">
        <f ca="1" t="shared" si="9"/>
        <v>120</v>
      </c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>
        <v>120</v>
      </c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</row>
    <row r="416" s="58" customFormat="1" ht="39" hidden="1" customHeight="1" spans="1:54">
      <c r="A416" s="72">
        <v>137</v>
      </c>
      <c r="B416" s="24" t="s">
        <v>154</v>
      </c>
      <c r="C416" s="73" t="s">
        <v>12</v>
      </c>
      <c r="D416" s="24"/>
      <c r="E416" s="24">
        <v>0</v>
      </c>
      <c r="F416" s="74">
        <f ca="1">SUMIF(I$3:$BB415,"入库",I416:$BB416)</f>
        <v>3500</v>
      </c>
      <c r="G416" s="24">
        <f ca="1">SUMIF(J$3:$BB415,"出库",J416:$BB416)</f>
        <v>0</v>
      </c>
      <c r="H416" s="27">
        <f ca="1" t="shared" si="9"/>
        <v>3500</v>
      </c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>
        <v>3500</v>
      </c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</row>
    <row r="417" s="58" customFormat="1" ht="39" hidden="1" customHeight="1" spans="1:54">
      <c r="A417" s="18"/>
      <c r="B417" s="24"/>
      <c r="C417" s="25" t="s">
        <v>13</v>
      </c>
      <c r="D417" s="24"/>
      <c r="E417" s="24">
        <v>0</v>
      </c>
      <c r="F417" s="74">
        <f ca="1">SUMIF(I$3:$BB416,"入库",I417:$BB417)</f>
        <v>2700</v>
      </c>
      <c r="G417" s="24">
        <f ca="1">SUMIF(J$3:$BB416,"出库",J417:$BB417)</f>
        <v>0</v>
      </c>
      <c r="H417" s="27">
        <f ca="1" t="shared" si="9"/>
        <v>2700</v>
      </c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>
        <v>2700</v>
      </c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</row>
    <row r="418" s="58" customFormat="1" ht="22.5" hidden="1" customHeight="1" spans="1:54">
      <c r="A418" s="19"/>
      <c r="B418" s="24"/>
      <c r="C418" s="24" t="s">
        <v>14</v>
      </c>
      <c r="D418" s="24"/>
      <c r="E418" s="24">
        <v>0</v>
      </c>
      <c r="F418" s="74">
        <f ca="1">SUMIF(I$3:$BB417,"入库",I418:$BB418)</f>
        <v>50</v>
      </c>
      <c r="G418" s="24">
        <f ca="1">SUMIF(J$3:$BB417,"出库",J418:$BB418)</f>
        <v>0</v>
      </c>
      <c r="H418" s="27">
        <f ca="1" t="shared" si="9"/>
        <v>50</v>
      </c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>
        <v>50</v>
      </c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</row>
    <row r="419" s="58" customFormat="1" ht="39" hidden="1" customHeight="1" spans="1:54">
      <c r="A419" s="72">
        <v>138</v>
      </c>
      <c r="B419" s="24" t="s">
        <v>155</v>
      </c>
      <c r="C419" s="73" t="s">
        <v>12</v>
      </c>
      <c r="D419" s="24"/>
      <c r="E419" s="24">
        <v>0</v>
      </c>
      <c r="F419" s="74">
        <f ca="1">SUMIF(I$3:$BB418,"入库",I419:$BB419)</f>
        <v>1500</v>
      </c>
      <c r="G419" s="24">
        <f ca="1">SUMIF(J$3:$BB418,"出库",J419:$BB419)</f>
        <v>0</v>
      </c>
      <c r="H419" s="27">
        <f ca="1" t="shared" ref="H419:H482" si="10">E419+F419-G419</f>
        <v>1500</v>
      </c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>
        <v>1500</v>
      </c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</row>
    <row r="420" s="58" customFormat="1" ht="22.5" hidden="1" customHeight="1" spans="1:54">
      <c r="A420" s="18"/>
      <c r="B420" s="24"/>
      <c r="C420" s="25" t="s">
        <v>13</v>
      </c>
      <c r="D420" s="24"/>
      <c r="E420" s="24">
        <v>0</v>
      </c>
      <c r="F420" s="74">
        <f ca="1">SUMIF(I$3:$BB419,"入库",I420:$BB420)</f>
        <v>100</v>
      </c>
      <c r="G420" s="24">
        <f ca="1">SUMIF(J$3:$BB419,"出库",J420:$BB420)</f>
        <v>0</v>
      </c>
      <c r="H420" s="27">
        <f ca="1" t="shared" si="10"/>
        <v>100</v>
      </c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>
        <v>100</v>
      </c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</row>
    <row r="421" s="58" customFormat="1" ht="22.5" hidden="1" customHeight="1" spans="1:54">
      <c r="A421" s="19"/>
      <c r="B421" s="24"/>
      <c r="C421" s="24" t="s">
        <v>14</v>
      </c>
      <c r="D421" s="24"/>
      <c r="E421" s="24">
        <v>0</v>
      </c>
      <c r="F421" s="74">
        <f ca="1">SUMIF(I$3:$BB420,"入库",I421:$BB421)</f>
        <v>450</v>
      </c>
      <c r="G421" s="24">
        <f ca="1">SUMIF(J$3:$BB420,"出库",J421:$BB421)</f>
        <v>0</v>
      </c>
      <c r="H421" s="27">
        <f ca="1" t="shared" si="10"/>
        <v>450</v>
      </c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>
        <v>450</v>
      </c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</row>
    <row r="422" s="58" customFormat="1" ht="39" hidden="1" customHeight="1" spans="1:54">
      <c r="A422" s="72">
        <v>139</v>
      </c>
      <c r="B422" s="24" t="s">
        <v>156</v>
      </c>
      <c r="C422" s="73" t="s">
        <v>12</v>
      </c>
      <c r="D422" s="24"/>
      <c r="E422" s="24">
        <v>0</v>
      </c>
      <c r="F422" s="74">
        <f ca="1">SUMIF(I$3:$BB421,"入库",I422:$BB422)</f>
        <v>1100</v>
      </c>
      <c r="G422" s="24">
        <f ca="1">SUMIF(J$3:$BB421,"出库",J422:$BB422)</f>
        <v>46</v>
      </c>
      <c r="H422" s="27">
        <f ca="1" t="shared" si="10"/>
        <v>1054</v>
      </c>
      <c r="I422" s="24"/>
      <c r="J422" s="24"/>
      <c r="K422" s="24"/>
      <c r="L422" s="24"/>
      <c r="M422" s="24">
        <v>1100</v>
      </c>
      <c r="N422" s="24">
        <v>16</v>
      </c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>
        <v>30</v>
      </c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</row>
    <row r="423" s="58" customFormat="1" ht="22.5" hidden="1" customHeight="1" spans="1:54">
      <c r="A423" s="18"/>
      <c r="B423" s="24"/>
      <c r="C423" s="25" t="s">
        <v>13</v>
      </c>
      <c r="D423" s="24"/>
      <c r="E423" s="24">
        <v>0</v>
      </c>
      <c r="F423" s="74">
        <f ca="1">SUMIF(I$3:$BB422,"入库",I423:$BB423)</f>
        <v>0</v>
      </c>
      <c r="G423" s="24">
        <f ca="1">SUMIF(J$3:$BB422,"出库",J423:$BB423)</f>
        <v>0</v>
      </c>
      <c r="H423" s="27">
        <f ca="1" t="shared" si="10"/>
        <v>0</v>
      </c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</row>
    <row r="424" s="58" customFormat="1" ht="22.5" hidden="1" customHeight="1" spans="1:54">
      <c r="A424" s="19"/>
      <c r="B424" s="24"/>
      <c r="C424" s="24" t="s">
        <v>14</v>
      </c>
      <c r="D424" s="24"/>
      <c r="E424" s="24">
        <v>0</v>
      </c>
      <c r="F424" s="74">
        <f ca="1">SUMIF(I$3:$BB423,"入库",I424:$BB424)</f>
        <v>490</v>
      </c>
      <c r="G424" s="24">
        <f ca="1">SUMIF(J$3:$BB423,"出库",J424:$BB424)</f>
        <v>0</v>
      </c>
      <c r="H424" s="27">
        <f ca="1" t="shared" si="10"/>
        <v>490</v>
      </c>
      <c r="I424" s="24"/>
      <c r="J424" s="24"/>
      <c r="K424" s="24"/>
      <c r="L424" s="24"/>
      <c r="M424" s="24">
        <v>490</v>
      </c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</row>
    <row r="425" s="58" customFormat="1" ht="22.5" hidden="1" customHeight="1" spans="1:54">
      <c r="A425" s="72">
        <v>140</v>
      </c>
      <c r="B425" s="24" t="s">
        <v>157</v>
      </c>
      <c r="C425" s="73" t="s">
        <v>12</v>
      </c>
      <c r="D425" s="24"/>
      <c r="E425" s="24">
        <v>0</v>
      </c>
      <c r="F425" s="74">
        <f ca="1">SUMIF(I$3:$BB424,"入库",I425:$BB425)</f>
        <v>230</v>
      </c>
      <c r="G425" s="24">
        <f ca="1">SUMIF(J$3:$BB424,"出库",J425:$BB425)</f>
        <v>0</v>
      </c>
      <c r="H425" s="27">
        <f ca="1" t="shared" si="10"/>
        <v>230</v>
      </c>
      <c r="I425" s="24"/>
      <c r="J425" s="24"/>
      <c r="K425" s="24"/>
      <c r="L425" s="24"/>
      <c r="M425" s="24">
        <v>230</v>
      </c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</row>
    <row r="426" s="58" customFormat="1" ht="22.5" hidden="1" customHeight="1" spans="1:54">
      <c r="A426" s="18"/>
      <c r="B426" s="24"/>
      <c r="C426" s="25" t="s">
        <v>13</v>
      </c>
      <c r="D426" s="24"/>
      <c r="E426" s="24">
        <v>0</v>
      </c>
      <c r="F426" s="74">
        <f ca="1">SUMIF(I$3:$BB425,"入库",I426:$BB426)</f>
        <v>0</v>
      </c>
      <c r="G426" s="24">
        <f ca="1">SUMIF(J$3:$BB425,"出库",J426:$BB426)</f>
        <v>0</v>
      </c>
      <c r="H426" s="27">
        <f ca="1" t="shared" si="10"/>
        <v>0</v>
      </c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</row>
    <row r="427" s="58" customFormat="1" ht="22.5" hidden="1" customHeight="1" spans="1:54">
      <c r="A427" s="19"/>
      <c r="B427" s="24"/>
      <c r="C427" s="24" t="s">
        <v>14</v>
      </c>
      <c r="D427" s="24"/>
      <c r="E427" s="24">
        <v>0</v>
      </c>
      <c r="F427" s="74">
        <f ca="1">SUMIF(I$3:$BB426,"入库",I427:$BB427)</f>
        <v>0</v>
      </c>
      <c r="G427" s="24">
        <f ca="1">SUMIF(J$3:$BB426,"出库",J427:$BB427)</f>
        <v>0</v>
      </c>
      <c r="H427" s="27">
        <f ca="1" t="shared" si="10"/>
        <v>0</v>
      </c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</row>
    <row r="428" s="58" customFormat="1" ht="22.5" hidden="1" customHeight="1" spans="1:54">
      <c r="A428" s="72">
        <v>141</v>
      </c>
      <c r="B428" s="24" t="s">
        <v>158</v>
      </c>
      <c r="C428" s="73" t="s">
        <v>12</v>
      </c>
      <c r="D428" s="24"/>
      <c r="E428" s="24">
        <v>0</v>
      </c>
      <c r="F428" s="74">
        <f ca="1">SUMIF(I$3:$BB427,"入库",I428:$BB428)</f>
        <v>180</v>
      </c>
      <c r="G428" s="24">
        <f ca="1">SUMIF(J$3:$BB427,"出库",J428:$BB428)</f>
        <v>10</v>
      </c>
      <c r="H428" s="27">
        <f ca="1" t="shared" si="10"/>
        <v>170</v>
      </c>
      <c r="I428" s="24"/>
      <c r="J428" s="24"/>
      <c r="K428" s="24">
        <v>180</v>
      </c>
      <c r="L428" s="24"/>
      <c r="M428" s="24"/>
      <c r="N428" s="24"/>
      <c r="O428" s="24"/>
      <c r="P428" s="24">
        <v>10</v>
      </c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</row>
    <row r="429" s="58" customFormat="1" ht="22.5" hidden="1" customHeight="1" spans="1:54">
      <c r="A429" s="18"/>
      <c r="B429" s="24"/>
      <c r="C429" s="25" t="s">
        <v>13</v>
      </c>
      <c r="D429" s="24"/>
      <c r="E429" s="24">
        <v>0</v>
      </c>
      <c r="F429" s="74">
        <f ca="1">SUMIF(I$3:$BB428,"入库",I429:$BB429)</f>
        <v>0</v>
      </c>
      <c r="G429" s="24">
        <f ca="1">SUMIF(J$3:$BB428,"出库",J429:$BB429)</f>
        <v>0</v>
      </c>
      <c r="H429" s="27">
        <f ca="1" t="shared" si="10"/>
        <v>0</v>
      </c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</row>
    <row r="430" s="58" customFormat="1" ht="22.5" hidden="1" customHeight="1" spans="1:54">
      <c r="A430" s="19"/>
      <c r="B430" s="24"/>
      <c r="C430" s="24" t="s">
        <v>14</v>
      </c>
      <c r="D430" s="24"/>
      <c r="E430" s="24">
        <v>0</v>
      </c>
      <c r="F430" s="74">
        <f ca="1">SUMIF(I$3:$BB429,"入库",I430:$BB430)</f>
        <v>40</v>
      </c>
      <c r="G430" s="24">
        <f ca="1">SUMIF(J$3:$BB429,"出库",J430:$BB430)</f>
        <v>0</v>
      </c>
      <c r="H430" s="27">
        <f ca="1" t="shared" si="10"/>
        <v>40</v>
      </c>
      <c r="I430" s="24"/>
      <c r="J430" s="24"/>
      <c r="K430" s="24">
        <v>40</v>
      </c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</row>
    <row r="431" s="58" customFormat="1" ht="39" hidden="1" customHeight="1" spans="1:54">
      <c r="A431" s="72">
        <v>142</v>
      </c>
      <c r="B431" s="24" t="s">
        <v>159</v>
      </c>
      <c r="C431" s="73" t="s">
        <v>12</v>
      </c>
      <c r="D431" s="24"/>
      <c r="E431" s="24">
        <v>0</v>
      </c>
      <c r="F431" s="74">
        <f ca="1">SUMIF(I$3:$BB430,"入库",I431:$BB431)</f>
        <v>1100</v>
      </c>
      <c r="G431" s="24">
        <f ca="1">SUMIF(J$3:$BB430,"出库",J431:$BB431)</f>
        <v>0</v>
      </c>
      <c r="H431" s="27">
        <f ca="1" t="shared" si="10"/>
        <v>1100</v>
      </c>
      <c r="I431" s="24"/>
      <c r="J431" s="24"/>
      <c r="K431" s="24">
        <v>1100</v>
      </c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</row>
    <row r="432" s="58" customFormat="1" ht="22.5" hidden="1" customHeight="1" spans="1:54">
      <c r="A432" s="18"/>
      <c r="B432" s="24"/>
      <c r="C432" s="25" t="s">
        <v>13</v>
      </c>
      <c r="D432" s="24"/>
      <c r="E432" s="24">
        <v>0</v>
      </c>
      <c r="F432" s="74">
        <f ca="1">SUMIF(I$3:$BB431,"入库",I432:$BB432)</f>
        <v>420</v>
      </c>
      <c r="G432" s="24">
        <f ca="1">SUMIF(J$3:$BB431,"出库",J432:$BB432)</f>
        <v>0</v>
      </c>
      <c r="H432" s="27">
        <f ca="1" t="shared" si="10"/>
        <v>420</v>
      </c>
      <c r="I432" s="24"/>
      <c r="J432" s="24"/>
      <c r="K432" s="24">
        <v>420</v>
      </c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</row>
    <row r="433" s="58" customFormat="1" ht="22.5" hidden="1" customHeight="1" spans="1:54">
      <c r="A433" s="19"/>
      <c r="B433" s="24"/>
      <c r="C433" s="24" t="s">
        <v>14</v>
      </c>
      <c r="D433" s="24"/>
      <c r="E433" s="24">
        <v>0</v>
      </c>
      <c r="F433" s="74">
        <f ca="1">SUMIF(I$3:$BB432,"入库",I433:$BB433)</f>
        <v>20</v>
      </c>
      <c r="G433" s="24">
        <f ca="1">SUMIF(J$3:$BB432,"出库",J433:$BB433)</f>
        <v>4</v>
      </c>
      <c r="H433" s="27">
        <f ca="1" t="shared" si="10"/>
        <v>16</v>
      </c>
      <c r="I433" s="24"/>
      <c r="J433" s="24"/>
      <c r="K433" s="24">
        <v>20</v>
      </c>
      <c r="L433" s="24">
        <v>4</v>
      </c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</row>
    <row r="434" s="58" customFormat="1" ht="22.5" hidden="1" customHeight="1" spans="1:54">
      <c r="A434" s="72">
        <v>143</v>
      </c>
      <c r="B434" s="24" t="s">
        <v>160</v>
      </c>
      <c r="C434" s="73" t="s">
        <v>12</v>
      </c>
      <c r="D434" s="24"/>
      <c r="E434" s="24">
        <v>0</v>
      </c>
      <c r="F434" s="74">
        <f ca="1">SUMIF(I$3:$BB433,"入库",I434:$BB434)</f>
        <v>400</v>
      </c>
      <c r="G434" s="24">
        <f ca="1">SUMIF(J$3:$BB433,"出库",J434:$BB434)</f>
        <v>0</v>
      </c>
      <c r="H434" s="27">
        <f ca="1" t="shared" si="10"/>
        <v>400</v>
      </c>
      <c r="I434" s="24"/>
      <c r="J434" s="24"/>
      <c r="K434" s="24">
        <v>400</v>
      </c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</row>
    <row r="435" s="58" customFormat="1" ht="22.5" hidden="1" customHeight="1" spans="1:54">
      <c r="A435" s="18"/>
      <c r="B435" s="24"/>
      <c r="C435" s="25" t="s">
        <v>13</v>
      </c>
      <c r="D435" s="24"/>
      <c r="E435" s="24">
        <v>0</v>
      </c>
      <c r="F435" s="74">
        <f ca="1">SUMIF(I$3:$BB434,"入库",I435:$BB435)</f>
        <v>30</v>
      </c>
      <c r="G435" s="24">
        <f ca="1">SUMIF(J$3:$BB434,"出库",J435:$BB435)</f>
        <v>0</v>
      </c>
      <c r="H435" s="27">
        <f ca="1" t="shared" si="10"/>
        <v>30</v>
      </c>
      <c r="I435" s="24"/>
      <c r="J435" s="24"/>
      <c r="K435" s="24">
        <v>30</v>
      </c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</row>
    <row r="436" s="58" customFormat="1" ht="22.5" hidden="1" customHeight="1" spans="1:54">
      <c r="A436" s="19"/>
      <c r="B436" s="24"/>
      <c r="C436" s="24" t="s">
        <v>14</v>
      </c>
      <c r="D436" s="24"/>
      <c r="E436" s="24">
        <v>0</v>
      </c>
      <c r="F436" s="74">
        <f ca="1">SUMIF(I$3:$BB435,"入库",I436:$BB436)</f>
        <v>150</v>
      </c>
      <c r="G436" s="24">
        <f ca="1">SUMIF(J$3:$BB435,"出库",J436:$BB436)</f>
        <v>0</v>
      </c>
      <c r="H436" s="27">
        <f ca="1" t="shared" si="10"/>
        <v>150</v>
      </c>
      <c r="I436" s="24"/>
      <c r="J436" s="24"/>
      <c r="K436" s="24">
        <v>150</v>
      </c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</row>
    <row r="437" s="58" customFormat="1" ht="22.5" hidden="1" customHeight="1" spans="1:54">
      <c r="A437" s="72">
        <v>144</v>
      </c>
      <c r="B437" s="24" t="s">
        <v>161</v>
      </c>
      <c r="C437" s="73" t="s">
        <v>12</v>
      </c>
      <c r="D437" s="24"/>
      <c r="E437" s="24">
        <v>0</v>
      </c>
      <c r="F437" s="74">
        <f ca="1">SUMIF(I$3:$BB436,"入库",I437:$BB437)</f>
        <v>540</v>
      </c>
      <c r="G437" s="24">
        <f ca="1">SUMIF(J$3:$BB436,"出库",J437:$BB437)</f>
        <v>0</v>
      </c>
      <c r="H437" s="27">
        <f ca="1" t="shared" si="10"/>
        <v>540</v>
      </c>
      <c r="I437" s="24">
        <v>20</v>
      </c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>
        <v>520</v>
      </c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</row>
    <row r="438" s="58" customFormat="1" ht="22.5" hidden="1" customHeight="1" spans="1:54">
      <c r="A438" s="18"/>
      <c r="B438" s="24"/>
      <c r="C438" s="25" t="s">
        <v>13</v>
      </c>
      <c r="D438" s="24"/>
      <c r="E438" s="24">
        <v>0</v>
      </c>
      <c r="F438" s="74">
        <f ca="1">SUMIF(I$3:$BB437,"入库",I438:$BB438)</f>
        <v>8</v>
      </c>
      <c r="G438" s="24">
        <f ca="1">SUMIF(J$3:$BB437,"出库",J438:$BB438)</f>
        <v>0</v>
      </c>
      <c r="H438" s="27">
        <f ca="1" t="shared" si="10"/>
        <v>8</v>
      </c>
      <c r="I438" s="24">
        <v>8</v>
      </c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</row>
    <row r="439" s="58" customFormat="1" ht="22.5" hidden="1" customHeight="1" spans="1:54">
      <c r="A439" s="19"/>
      <c r="B439" s="24"/>
      <c r="C439" s="24" t="s">
        <v>14</v>
      </c>
      <c r="D439" s="24"/>
      <c r="E439" s="24">
        <v>0</v>
      </c>
      <c r="F439" s="74">
        <f ca="1">SUMIF(I$3:$BB438,"入库",I439:$BB439)</f>
        <v>0</v>
      </c>
      <c r="G439" s="24">
        <f ca="1">SUMIF(J$3:$BB438,"出库",J439:$BB439)</f>
        <v>0</v>
      </c>
      <c r="H439" s="27">
        <f ca="1" t="shared" si="10"/>
        <v>0</v>
      </c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</row>
    <row r="440" s="58" customFormat="1" ht="22.5" hidden="1" customHeight="1" spans="1:54">
      <c r="A440" s="72">
        <v>145</v>
      </c>
      <c r="B440" s="24" t="s">
        <v>162</v>
      </c>
      <c r="C440" s="73" t="s">
        <v>12</v>
      </c>
      <c r="D440" s="24"/>
      <c r="E440" s="24">
        <v>0</v>
      </c>
      <c r="F440" s="74">
        <f ca="1">SUMIF(I$3:$BB439,"入库",I440:$BB440)</f>
        <v>3200</v>
      </c>
      <c r="G440" s="24">
        <f ca="1">SUMIF(J$3:$BB439,"出库",J440:$BB440)</f>
        <v>0</v>
      </c>
      <c r="H440" s="27">
        <f ca="1" t="shared" si="10"/>
        <v>3200</v>
      </c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>
        <v>3200</v>
      </c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</row>
    <row r="441" s="58" customFormat="1" ht="22.5" hidden="1" customHeight="1" spans="1:54">
      <c r="A441" s="18"/>
      <c r="B441" s="24"/>
      <c r="C441" s="25" t="s">
        <v>13</v>
      </c>
      <c r="D441" s="24"/>
      <c r="E441" s="24">
        <v>0</v>
      </c>
      <c r="F441" s="74">
        <f ca="1">SUMIF(I$3:$BB440,"入库",I441:$BB441)</f>
        <v>10</v>
      </c>
      <c r="G441" s="24">
        <f ca="1">SUMIF(J$3:$BB440,"出库",J441:$BB441)</f>
        <v>0</v>
      </c>
      <c r="H441" s="27">
        <f ca="1" t="shared" si="10"/>
        <v>10</v>
      </c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>
        <v>10</v>
      </c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</row>
    <row r="442" s="58" customFormat="1" ht="22.5" hidden="1" customHeight="1" spans="1:54">
      <c r="A442" s="19"/>
      <c r="B442" s="24"/>
      <c r="C442" s="24" t="s">
        <v>14</v>
      </c>
      <c r="D442" s="24"/>
      <c r="E442" s="24">
        <v>0</v>
      </c>
      <c r="F442" s="74">
        <f ca="1">SUMIF(I$3:$BB441,"入库",I442:$BB442)</f>
        <v>230</v>
      </c>
      <c r="G442" s="24">
        <f ca="1">SUMIF(J$3:$BB441,"出库",J442:$BB442)</f>
        <v>50</v>
      </c>
      <c r="H442" s="27">
        <f ca="1" t="shared" si="10"/>
        <v>180</v>
      </c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>
        <v>230</v>
      </c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>
        <v>50</v>
      </c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</row>
    <row r="443" s="58" customFormat="1" ht="39" hidden="1" customHeight="1" spans="1:54">
      <c r="A443" s="72">
        <v>146</v>
      </c>
      <c r="B443" s="24" t="s">
        <v>163</v>
      </c>
      <c r="C443" s="73" t="s">
        <v>12</v>
      </c>
      <c r="D443" s="24"/>
      <c r="E443" s="24">
        <v>0</v>
      </c>
      <c r="F443" s="74">
        <f ca="1">SUMIF(I$3:$BB442,"入库",I443:$BB443)</f>
        <v>3100</v>
      </c>
      <c r="G443" s="24">
        <f ca="1">SUMIF(J$3:$BB442,"出库",J443:$BB443)</f>
        <v>0</v>
      </c>
      <c r="H443" s="27">
        <f ca="1" t="shared" si="10"/>
        <v>3100</v>
      </c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>
        <v>3100</v>
      </c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</row>
    <row r="444" s="58" customFormat="1" ht="22.5" hidden="1" customHeight="1" spans="1:54">
      <c r="A444" s="18"/>
      <c r="B444" s="24"/>
      <c r="C444" s="25" t="s">
        <v>13</v>
      </c>
      <c r="D444" s="24"/>
      <c r="E444" s="24">
        <v>0</v>
      </c>
      <c r="F444" s="74">
        <f ca="1">SUMIF(I$3:$BB443,"入库",I444:$BB444)</f>
        <v>0</v>
      </c>
      <c r="G444" s="24">
        <f ca="1">SUMIF(J$3:$BB443,"出库",J444:$BB444)</f>
        <v>0</v>
      </c>
      <c r="H444" s="27">
        <f ca="1" t="shared" si="10"/>
        <v>0</v>
      </c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</row>
    <row r="445" s="58" customFormat="1" ht="22.5" hidden="1" customHeight="1" spans="1:54">
      <c r="A445" s="19"/>
      <c r="B445" s="24"/>
      <c r="C445" s="24" t="s">
        <v>14</v>
      </c>
      <c r="D445" s="24"/>
      <c r="E445" s="24">
        <v>0</v>
      </c>
      <c r="F445" s="74">
        <f ca="1">SUMIF(I$3:$BB444,"入库",I445:$BB445)</f>
        <v>50</v>
      </c>
      <c r="G445" s="24">
        <f ca="1">SUMIF(J$3:$BB444,"出库",J445:$BB445)</f>
        <v>50</v>
      </c>
      <c r="H445" s="27">
        <f ca="1" t="shared" si="10"/>
        <v>0</v>
      </c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>
        <v>50</v>
      </c>
      <c r="X445" s="24"/>
      <c r="Y445" s="24"/>
      <c r="Z445" s="24">
        <v>50</v>
      </c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</row>
    <row r="446" s="58" customFormat="1" ht="39" hidden="1" customHeight="1" spans="1:54">
      <c r="A446" s="72">
        <v>147</v>
      </c>
      <c r="B446" s="24" t="s">
        <v>164</v>
      </c>
      <c r="C446" s="73" t="s">
        <v>12</v>
      </c>
      <c r="D446" s="24"/>
      <c r="E446" s="24">
        <v>0</v>
      </c>
      <c r="F446" s="74">
        <f ca="1">SUMIF(I$3:$BB445,"入库",I446:$BB446)</f>
        <v>1600</v>
      </c>
      <c r="G446" s="24">
        <f ca="1">SUMIF(J$3:$BB445,"出库",J446:$BB446)</f>
        <v>244</v>
      </c>
      <c r="H446" s="27">
        <f ca="1" t="shared" si="10"/>
        <v>1356</v>
      </c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>
        <v>1600</v>
      </c>
      <c r="V446" s="24"/>
      <c r="W446" s="24"/>
      <c r="X446" s="24">
        <v>100</v>
      </c>
      <c r="Y446" s="24"/>
      <c r="Z446" s="24">
        <v>100</v>
      </c>
      <c r="AA446" s="24"/>
      <c r="AB446" s="24"/>
      <c r="AC446" s="24"/>
      <c r="AD446" s="24"/>
      <c r="AE446" s="24"/>
      <c r="AF446" s="24"/>
      <c r="AG446" s="24"/>
      <c r="AH446" s="24"/>
      <c r="AI446" s="24"/>
      <c r="AJ446" s="24">
        <v>44</v>
      </c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</row>
    <row r="447" s="58" customFormat="1" ht="22.5" hidden="1" customHeight="1" spans="1:54">
      <c r="A447" s="18"/>
      <c r="B447" s="24"/>
      <c r="C447" s="25" t="s">
        <v>13</v>
      </c>
      <c r="D447" s="24"/>
      <c r="E447" s="24">
        <v>0</v>
      </c>
      <c r="F447" s="74">
        <f ca="1">SUMIF(I$3:$BB446,"入库",I447:$BB447)</f>
        <v>0</v>
      </c>
      <c r="G447" s="24">
        <f ca="1">SUMIF(J$3:$BB446,"出库",J447:$BB447)</f>
        <v>0</v>
      </c>
      <c r="H447" s="27">
        <f ca="1" t="shared" si="10"/>
        <v>0</v>
      </c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</row>
    <row r="448" s="58" customFormat="1" ht="22.5" hidden="1" customHeight="1" spans="1:54">
      <c r="A448" s="19"/>
      <c r="B448" s="24"/>
      <c r="C448" s="24" t="s">
        <v>14</v>
      </c>
      <c r="D448" s="24"/>
      <c r="E448" s="24">
        <v>0</v>
      </c>
      <c r="F448" s="74">
        <f ca="1">SUMIF(I$3:$BB447,"入库",I448:$BB448)</f>
        <v>100</v>
      </c>
      <c r="G448" s="24">
        <f ca="1">SUMIF(J$3:$BB447,"出库",J448:$BB448)</f>
        <v>0</v>
      </c>
      <c r="H448" s="27">
        <f ca="1" t="shared" si="10"/>
        <v>100</v>
      </c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>
        <v>100</v>
      </c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</row>
    <row r="449" s="58" customFormat="1" ht="39" hidden="1" customHeight="1" spans="1:54">
      <c r="A449" s="72">
        <v>148</v>
      </c>
      <c r="B449" s="24" t="s">
        <v>165</v>
      </c>
      <c r="C449" s="73" t="s">
        <v>12</v>
      </c>
      <c r="D449" s="24"/>
      <c r="E449" s="24">
        <v>0</v>
      </c>
      <c r="F449" s="74">
        <f ca="1">SUMIF(I$3:$BB448,"入库",I449:$BB449)</f>
        <v>1900</v>
      </c>
      <c r="G449" s="24">
        <f ca="1">SUMIF(J$3:$BB448,"出库",J449:$BB449)</f>
        <v>10</v>
      </c>
      <c r="H449" s="27">
        <f ca="1" t="shared" si="10"/>
        <v>1890</v>
      </c>
      <c r="I449" s="24"/>
      <c r="J449" s="24"/>
      <c r="K449" s="24"/>
      <c r="L449" s="24"/>
      <c r="M449" s="24">
        <v>1900</v>
      </c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>
        <v>10</v>
      </c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</row>
    <row r="450" s="58" customFormat="1" ht="22.5" hidden="1" customHeight="1" spans="1:54">
      <c r="A450" s="18"/>
      <c r="B450" s="24"/>
      <c r="C450" s="25" t="s">
        <v>13</v>
      </c>
      <c r="D450" s="24"/>
      <c r="E450" s="24">
        <v>0</v>
      </c>
      <c r="F450" s="74">
        <f ca="1">SUMIF(I$3:$BB449,"入库",I450:$BB450)</f>
        <v>0</v>
      </c>
      <c r="G450" s="24">
        <f ca="1">SUMIF(J$3:$BB449,"出库",J450:$BB450)</f>
        <v>0</v>
      </c>
      <c r="H450" s="27">
        <f ca="1" t="shared" si="10"/>
        <v>0</v>
      </c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</row>
    <row r="451" s="58" customFormat="1" ht="22.5" hidden="1" customHeight="1" spans="1:54">
      <c r="A451" s="19"/>
      <c r="B451" s="24"/>
      <c r="C451" s="24" t="s">
        <v>14</v>
      </c>
      <c r="D451" s="24"/>
      <c r="E451" s="24">
        <v>0</v>
      </c>
      <c r="F451" s="74">
        <f ca="1">SUMIF(I$3:$BB450,"入库",I451:$BB451)</f>
        <v>190</v>
      </c>
      <c r="G451" s="24">
        <f ca="1">SUMIF(J$3:$BB450,"出库",J451:$BB451)</f>
        <v>0</v>
      </c>
      <c r="H451" s="27">
        <f ca="1" t="shared" si="10"/>
        <v>190</v>
      </c>
      <c r="I451" s="24"/>
      <c r="J451" s="24"/>
      <c r="K451" s="24"/>
      <c r="L451" s="24"/>
      <c r="M451" s="24">
        <v>190</v>
      </c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</row>
    <row r="452" s="58" customFormat="1" ht="22.5" hidden="1" customHeight="1" spans="1:54">
      <c r="A452" s="72">
        <v>149</v>
      </c>
      <c r="B452" s="24" t="s">
        <v>166</v>
      </c>
      <c r="C452" s="73" t="s">
        <v>12</v>
      </c>
      <c r="D452" s="24"/>
      <c r="E452" s="24">
        <v>0</v>
      </c>
      <c r="F452" s="74">
        <f ca="1">SUMIF(I$3:$BB451,"入库",I452:$BB452)</f>
        <v>500</v>
      </c>
      <c r="G452" s="24">
        <f ca="1">SUMIF(J$3:$BB451,"出库",J452:$BB452)</f>
        <v>300</v>
      </c>
      <c r="H452" s="27">
        <f ca="1" t="shared" si="10"/>
        <v>200</v>
      </c>
      <c r="I452" s="24"/>
      <c r="J452" s="24"/>
      <c r="K452" s="24"/>
      <c r="L452" s="24"/>
      <c r="M452" s="24">
        <v>500</v>
      </c>
      <c r="N452" s="24"/>
      <c r="O452" s="24"/>
      <c r="P452" s="24"/>
      <c r="Q452" s="24"/>
      <c r="R452" s="24"/>
      <c r="S452" s="24"/>
      <c r="T452" s="24">
        <v>200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>
        <v>100</v>
      </c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</row>
    <row r="453" s="58" customFormat="1" ht="22.5" hidden="1" customHeight="1" spans="1:54">
      <c r="A453" s="18"/>
      <c r="B453" s="24"/>
      <c r="C453" s="25" t="s">
        <v>13</v>
      </c>
      <c r="D453" s="24"/>
      <c r="E453" s="24">
        <v>0</v>
      </c>
      <c r="F453" s="74">
        <f ca="1">SUMIF(I$3:$BB452,"入库",I453:$BB453)</f>
        <v>15</v>
      </c>
      <c r="G453" s="24">
        <f ca="1">SUMIF(J$3:$BB452,"出库",J453:$BB453)</f>
        <v>0</v>
      </c>
      <c r="H453" s="27">
        <f ca="1" t="shared" si="10"/>
        <v>15</v>
      </c>
      <c r="I453" s="24"/>
      <c r="J453" s="24"/>
      <c r="K453" s="24"/>
      <c r="L453" s="24"/>
      <c r="M453" s="24">
        <v>15</v>
      </c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</row>
    <row r="454" s="58" customFormat="1" ht="22.5" hidden="1" customHeight="1" spans="1:54">
      <c r="A454" s="19"/>
      <c r="B454" s="24"/>
      <c r="C454" s="24" t="s">
        <v>14</v>
      </c>
      <c r="D454" s="24"/>
      <c r="E454" s="24">
        <v>0</v>
      </c>
      <c r="F454" s="74">
        <f ca="1">SUMIF(I$3:$BB453,"入库",I454:$BB454)</f>
        <v>100</v>
      </c>
      <c r="G454" s="24">
        <f ca="1">SUMIF(J$3:$BB453,"出库",J454:$BB454)</f>
        <v>1</v>
      </c>
      <c r="H454" s="27">
        <f ca="1" t="shared" si="10"/>
        <v>99</v>
      </c>
      <c r="I454" s="24"/>
      <c r="J454" s="24"/>
      <c r="K454" s="24"/>
      <c r="L454" s="24"/>
      <c r="M454" s="24">
        <v>100</v>
      </c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>
        <v>1</v>
      </c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</row>
    <row r="455" s="58" customFormat="1" ht="39" hidden="1" customHeight="1" spans="1:54">
      <c r="A455" s="72">
        <v>150</v>
      </c>
      <c r="B455" s="24" t="s">
        <v>167</v>
      </c>
      <c r="C455" s="73" t="s">
        <v>12</v>
      </c>
      <c r="D455" s="24"/>
      <c r="E455" s="24">
        <v>0</v>
      </c>
      <c r="F455" s="74">
        <f ca="1">SUMIF(I$3:$BB454,"入库",I455:$BB455)</f>
        <v>1600</v>
      </c>
      <c r="G455" s="24">
        <f ca="1">SUMIF(J$3:$BB454,"出库",J455:$BB455)</f>
        <v>710</v>
      </c>
      <c r="H455" s="27">
        <f ca="1" t="shared" si="10"/>
        <v>890</v>
      </c>
      <c r="I455" s="24"/>
      <c r="J455" s="24"/>
      <c r="K455" s="24">
        <v>1600</v>
      </c>
      <c r="L455" s="24">
        <v>100</v>
      </c>
      <c r="M455" s="24"/>
      <c r="N455" s="24"/>
      <c r="O455" s="24"/>
      <c r="P455" s="24"/>
      <c r="Q455" s="24"/>
      <c r="R455" s="24"/>
      <c r="S455" s="24"/>
      <c r="T455" s="24">
        <v>600</v>
      </c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>
        <v>10</v>
      </c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</row>
    <row r="456" s="58" customFormat="1" ht="22.5" hidden="1" customHeight="1" spans="1:54">
      <c r="A456" s="18"/>
      <c r="B456" s="24"/>
      <c r="C456" s="25" t="s">
        <v>13</v>
      </c>
      <c r="D456" s="24"/>
      <c r="E456" s="24">
        <v>0</v>
      </c>
      <c r="F456" s="74">
        <f ca="1">SUMIF(I$3:$BB455,"入库",I456:$BB456)</f>
        <v>20</v>
      </c>
      <c r="G456" s="24">
        <f ca="1">SUMIF(J$3:$BB455,"出库",J456:$BB456)</f>
        <v>0</v>
      </c>
      <c r="H456" s="27">
        <f ca="1" t="shared" si="10"/>
        <v>20</v>
      </c>
      <c r="I456" s="24"/>
      <c r="J456" s="24"/>
      <c r="K456" s="24">
        <v>20</v>
      </c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</row>
    <row r="457" s="58" customFormat="1" ht="22.5" hidden="1" customHeight="1" spans="1:54">
      <c r="A457" s="19"/>
      <c r="B457" s="24"/>
      <c r="C457" s="24" t="s">
        <v>14</v>
      </c>
      <c r="D457" s="24"/>
      <c r="E457" s="24">
        <v>0</v>
      </c>
      <c r="F457" s="74">
        <f ca="1">SUMIF(I$3:$BB456,"入库",I457:$BB457)</f>
        <v>80</v>
      </c>
      <c r="G457" s="24">
        <f ca="1">SUMIF(J$3:$BB456,"出库",J457:$BB457)</f>
        <v>0</v>
      </c>
      <c r="H457" s="27">
        <f ca="1" t="shared" si="10"/>
        <v>80</v>
      </c>
      <c r="I457" s="24"/>
      <c r="J457" s="24"/>
      <c r="K457" s="24">
        <v>80</v>
      </c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</row>
    <row r="458" s="58" customFormat="1" ht="22.5" hidden="1" customHeight="1" spans="1:54">
      <c r="A458" s="72">
        <v>151</v>
      </c>
      <c r="B458" s="24" t="s">
        <v>168</v>
      </c>
      <c r="C458" s="73" t="s">
        <v>12</v>
      </c>
      <c r="D458" s="24"/>
      <c r="E458" s="24">
        <v>0</v>
      </c>
      <c r="F458" s="74">
        <f ca="1">SUMIF(I$3:$BB457,"入库",I458:$BB458)</f>
        <v>0</v>
      </c>
      <c r="G458" s="24">
        <f ca="1">SUMIF(J$3:$BB457,"出库",J458:$BB458)</f>
        <v>0</v>
      </c>
      <c r="H458" s="27">
        <f ca="1" t="shared" si="10"/>
        <v>0</v>
      </c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</row>
    <row r="459" s="58" customFormat="1" ht="22.5" hidden="1" customHeight="1" spans="1:54">
      <c r="A459" s="18"/>
      <c r="B459" s="24"/>
      <c r="C459" s="25" t="s">
        <v>13</v>
      </c>
      <c r="D459" s="24"/>
      <c r="E459" s="24">
        <v>0</v>
      </c>
      <c r="F459" s="74">
        <f ca="1">SUMIF(I$3:$BB458,"入库",I459:$BB459)</f>
        <v>0</v>
      </c>
      <c r="G459" s="24">
        <f ca="1">SUMIF(J$3:$BB458,"出库",J459:$BB459)</f>
        <v>0</v>
      </c>
      <c r="H459" s="27">
        <f ca="1" t="shared" si="10"/>
        <v>0</v>
      </c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</row>
    <row r="460" s="58" customFormat="1" ht="22.5" hidden="1" customHeight="1" spans="1:54">
      <c r="A460" s="19"/>
      <c r="B460" s="24"/>
      <c r="C460" s="24" t="s">
        <v>14</v>
      </c>
      <c r="D460" s="24"/>
      <c r="E460" s="24">
        <v>0</v>
      </c>
      <c r="F460" s="74">
        <f ca="1">SUMIF(I$3:$BB459,"入库",I460:$BB460)</f>
        <v>50</v>
      </c>
      <c r="G460" s="24">
        <f ca="1">SUMIF(J$3:$BB459,"出库",J460:$BB460)</f>
        <v>0</v>
      </c>
      <c r="H460" s="27">
        <f ca="1" t="shared" si="10"/>
        <v>50</v>
      </c>
      <c r="I460" s="24"/>
      <c r="J460" s="24"/>
      <c r="K460" s="24">
        <v>50</v>
      </c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</row>
    <row r="461" s="58" customFormat="1" ht="39" hidden="1" customHeight="1" spans="1:54">
      <c r="A461" s="72">
        <v>152</v>
      </c>
      <c r="B461" s="24" t="s">
        <v>169</v>
      </c>
      <c r="C461" s="73" t="s">
        <v>12</v>
      </c>
      <c r="D461" s="24"/>
      <c r="E461" s="24">
        <v>0</v>
      </c>
      <c r="F461" s="74">
        <f ca="1">SUMIF(I$3:$BB460,"入库",I461:$BB461)</f>
        <v>1000</v>
      </c>
      <c r="G461" s="24">
        <f ca="1">SUMIF(J$3:$BB460,"出库",J461:$BB461)</f>
        <v>5</v>
      </c>
      <c r="H461" s="27">
        <f ca="1" t="shared" si="10"/>
        <v>995</v>
      </c>
      <c r="I461" s="24"/>
      <c r="J461" s="24"/>
      <c r="K461" s="24">
        <v>1000</v>
      </c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>
        <v>5</v>
      </c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</row>
    <row r="462" s="58" customFormat="1" ht="22.5" hidden="1" customHeight="1" spans="1:54">
      <c r="A462" s="18"/>
      <c r="B462" s="24"/>
      <c r="C462" s="25" t="s">
        <v>13</v>
      </c>
      <c r="D462" s="24"/>
      <c r="E462" s="24">
        <v>0</v>
      </c>
      <c r="F462" s="74">
        <f ca="1">SUMIF(I$3:$BB461,"入库",I462:$BB462)</f>
        <v>30</v>
      </c>
      <c r="G462" s="24">
        <f ca="1">SUMIF(J$3:$BB461,"出库",J462:$BB462)</f>
        <v>0</v>
      </c>
      <c r="H462" s="27">
        <f ca="1" t="shared" si="10"/>
        <v>30</v>
      </c>
      <c r="I462" s="24"/>
      <c r="J462" s="24"/>
      <c r="K462" s="24">
        <v>30</v>
      </c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</row>
    <row r="463" s="58" customFormat="1" ht="22.5" hidden="1" customHeight="1" spans="1:54">
      <c r="A463" s="19"/>
      <c r="B463" s="24"/>
      <c r="C463" s="24" t="s">
        <v>14</v>
      </c>
      <c r="D463" s="24"/>
      <c r="E463" s="24">
        <v>0</v>
      </c>
      <c r="F463" s="74">
        <f ca="1">SUMIF(I$3:$BB462,"入库",I463:$BB463)</f>
        <v>0</v>
      </c>
      <c r="G463" s="24">
        <f ca="1">SUMIF(J$3:$BB462,"出库",J463:$BB463)</f>
        <v>0</v>
      </c>
      <c r="H463" s="27">
        <f ca="1" t="shared" si="10"/>
        <v>0</v>
      </c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</row>
    <row r="464" s="58" customFormat="1" ht="22.5" hidden="1" customHeight="1" spans="1:54">
      <c r="A464" s="72">
        <v>153</v>
      </c>
      <c r="B464" s="24" t="s">
        <v>170</v>
      </c>
      <c r="C464" s="73" t="s">
        <v>12</v>
      </c>
      <c r="D464" s="24"/>
      <c r="E464" s="24">
        <v>0</v>
      </c>
      <c r="F464" s="74">
        <f ca="1">SUMIF(I$3:$BB463,"入库",I464:$BB464)</f>
        <v>5</v>
      </c>
      <c r="G464" s="24">
        <f ca="1">SUMIF(J$3:$BB463,"出库",J464:$BB464)</f>
        <v>5</v>
      </c>
      <c r="H464" s="27">
        <f ca="1" t="shared" si="10"/>
        <v>0</v>
      </c>
      <c r="I464" s="24">
        <v>5</v>
      </c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>
        <v>5</v>
      </c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</row>
    <row r="465" s="58" customFormat="1" ht="22.5" hidden="1" customHeight="1" spans="1:54">
      <c r="A465" s="18"/>
      <c r="B465" s="24"/>
      <c r="C465" s="25" t="s">
        <v>13</v>
      </c>
      <c r="D465" s="24"/>
      <c r="E465" s="24">
        <v>0</v>
      </c>
      <c r="F465" s="74">
        <f ca="1">SUMIF(I$3:$BB464,"入库",I465:$BB465)</f>
        <v>100</v>
      </c>
      <c r="G465" s="24">
        <f ca="1">SUMIF(J$3:$BB464,"出库",J465:$BB465)</f>
        <v>1</v>
      </c>
      <c r="H465" s="27">
        <f ca="1" t="shared" si="10"/>
        <v>99</v>
      </c>
      <c r="I465" s="24">
        <v>100</v>
      </c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>
        <v>1</v>
      </c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</row>
    <row r="466" s="58" customFormat="1" ht="22.5" hidden="1" customHeight="1" spans="1:54">
      <c r="A466" s="19"/>
      <c r="B466" s="24"/>
      <c r="C466" s="24" t="s">
        <v>14</v>
      </c>
      <c r="D466" s="24"/>
      <c r="E466" s="24">
        <v>0</v>
      </c>
      <c r="F466" s="74">
        <f ca="1">SUMIF(I$3:$BB465,"入库",I466:$BB466)</f>
        <v>20</v>
      </c>
      <c r="G466" s="24">
        <f ca="1">SUMIF(J$3:$BB465,"出库",J466:$BB466)</f>
        <v>0</v>
      </c>
      <c r="H466" s="27">
        <f ca="1" t="shared" si="10"/>
        <v>20</v>
      </c>
      <c r="I466" s="24">
        <v>20</v>
      </c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</row>
    <row r="467" s="58" customFormat="1" ht="22.5" hidden="1" customHeight="1" spans="1:54">
      <c r="A467" s="72">
        <v>154</v>
      </c>
      <c r="B467" s="24" t="s">
        <v>171</v>
      </c>
      <c r="C467" s="73" t="s">
        <v>12</v>
      </c>
      <c r="D467" s="24"/>
      <c r="E467" s="24">
        <v>0</v>
      </c>
      <c r="F467" s="74">
        <f ca="1">SUMIF(I$3:$BB466,"入库",I467:$BB467)</f>
        <v>4470</v>
      </c>
      <c r="G467" s="24">
        <f ca="1">SUMIF(J$3:$BB466,"出库",J467:$BB467)</f>
        <v>0</v>
      </c>
      <c r="H467" s="27">
        <f ca="1" t="shared" si="10"/>
        <v>4470</v>
      </c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>
        <v>470</v>
      </c>
      <c r="X467" s="24"/>
      <c r="Y467" s="24"/>
      <c r="Z467" s="24"/>
      <c r="AA467" s="24"/>
      <c r="AB467" s="24"/>
      <c r="AC467" s="24">
        <v>4000</v>
      </c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</row>
    <row r="468" s="58" customFormat="1" ht="22.5" hidden="1" customHeight="1" spans="1:54">
      <c r="A468" s="18"/>
      <c r="B468" s="24"/>
      <c r="C468" s="25" t="s">
        <v>13</v>
      </c>
      <c r="D468" s="24"/>
      <c r="E468" s="24">
        <v>0</v>
      </c>
      <c r="F468" s="74">
        <f ca="1">SUMIF(I$3:$BB467,"入库",I468:$BB468)</f>
        <v>0</v>
      </c>
      <c r="G468" s="24">
        <f ca="1">SUMIF(J$3:$BB467,"出库",J468:$BB468)</f>
        <v>0</v>
      </c>
      <c r="H468" s="27">
        <f ca="1" t="shared" si="10"/>
        <v>0</v>
      </c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</row>
    <row r="469" s="58" customFormat="1" ht="22.5" hidden="1" customHeight="1" spans="1:54">
      <c r="A469" s="19"/>
      <c r="B469" s="24"/>
      <c r="C469" s="24" t="s">
        <v>14</v>
      </c>
      <c r="D469" s="24"/>
      <c r="E469" s="24">
        <v>0</v>
      </c>
      <c r="F469" s="74">
        <f ca="1">SUMIF(I$3:$BB468,"入库",I469:$BB469)</f>
        <v>110</v>
      </c>
      <c r="G469" s="24">
        <f ca="1">SUMIF(J$3:$BB468,"出库",J469:$BB469)</f>
        <v>0</v>
      </c>
      <c r="H469" s="27">
        <f ca="1" t="shared" si="10"/>
        <v>110</v>
      </c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>
        <v>110</v>
      </c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</row>
    <row r="470" s="58" customFormat="1" ht="39" hidden="1" customHeight="1" spans="1:54">
      <c r="A470" s="72">
        <v>155</v>
      </c>
      <c r="B470" s="24" t="s">
        <v>172</v>
      </c>
      <c r="C470" s="73" t="s">
        <v>12</v>
      </c>
      <c r="D470" s="24"/>
      <c r="E470" s="24">
        <v>0</v>
      </c>
      <c r="F470" s="74">
        <f ca="1">SUMIF(I$3:$BB469,"入库",I470:$BB470)</f>
        <v>1900</v>
      </c>
      <c r="G470" s="24">
        <f ca="1">SUMIF(J$3:$BB469,"出库",J470:$BB470)</f>
        <v>2</v>
      </c>
      <c r="H470" s="27">
        <f ca="1" t="shared" si="10"/>
        <v>1898</v>
      </c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>
        <v>1900</v>
      </c>
      <c r="X470" s="24"/>
      <c r="Y470" s="24"/>
      <c r="Z470" s="24">
        <v>2</v>
      </c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</row>
    <row r="471" s="58" customFormat="1" ht="22.5" hidden="1" customHeight="1" spans="1:54">
      <c r="A471" s="18"/>
      <c r="B471" s="24"/>
      <c r="C471" s="25" t="s">
        <v>13</v>
      </c>
      <c r="D471" s="24"/>
      <c r="E471" s="24">
        <v>0</v>
      </c>
      <c r="F471" s="74">
        <f ca="1">SUMIF(I$3:$BB470,"入库",I471:$BB471)</f>
        <v>0</v>
      </c>
      <c r="G471" s="24">
        <f ca="1">SUMIF(J$3:$BB470,"出库",J471:$BB471)</f>
        <v>0</v>
      </c>
      <c r="H471" s="27">
        <f ca="1" t="shared" si="10"/>
        <v>0</v>
      </c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</row>
    <row r="472" s="58" customFormat="1" ht="22.5" hidden="1" customHeight="1" spans="1:54">
      <c r="A472" s="19"/>
      <c r="B472" s="24"/>
      <c r="C472" s="24" t="s">
        <v>14</v>
      </c>
      <c r="D472" s="24"/>
      <c r="E472" s="24">
        <v>0</v>
      </c>
      <c r="F472" s="74">
        <f ca="1">SUMIF(I$3:$BB471,"入库",I472:$BB472)</f>
        <v>200</v>
      </c>
      <c r="G472" s="24">
        <f ca="1">SUMIF(J$3:$BB471,"出库",J472:$BB472)</f>
        <v>0</v>
      </c>
      <c r="H472" s="27">
        <f ca="1" t="shared" si="10"/>
        <v>200</v>
      </c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>
        <v>200</v>
      </c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</row>
    <row r="473" s="58" customFormat="1" ht="22.5" hidden="1" customHeight="1" spans="1:54">
      <c r="A473" s="72">
        <v>156</v>
      </c>
      <c r="B473" s="24" t="s">
        <v>173</v>
      </c>
      <c r="C473" s="73" t="s">
        <v>12</v>
      </c>
      <c r="D473" s="24"/>
      <c r="E473" s="24">
        <v>0</v>
      </c>
      <c r="F473" s="74">
        <f ca="1">SUMIF(I$3:$BB472,"入库",I473:$BB473)</f>
        <v>3300</v>
      </c>
      <c r="G473" s="24">
        <f ca="1">SUMIF(J$3:$BB472,"出库",J473:$BB473)</f>
        <v>0</v>
      </c>
      <c r="H473" s="27">
        <f ca="1" t="shared" si="10"/>
        <v>3300</v>
      </c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>
        <v>3300</v>
      </c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</row>
    <row r="474" s="58" customFormat="1" ht="22.5" hidden="1" customHeight="1" spans="1:54">
      <c r="A474" s="18"/>
      <c r="B474" s="24"/>
      <c r="C474" s="25" t="s">
        <v>13</v>
      </c>
      <c r="D474" s="24"/>
      <c r="E474" s="24">
        <v>0</v>
      </c>
      <c r="F474" s="74">
        <f ca="1">SUMIF(I$3:$BB473,"入库",I474:$BB474)</f>
        <v>0</v>
      </c>
      <c r="G474" s="24">
        <f ca="1">SUMIF(J$3:$BB473,"出库",J474:$BB474)</f>
        <v>0</v>
      </c>
      <c r="H474" s="27">
        <f ca="1" t="shared" si="10"/>
        <v>0</v>
      </c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</row>
    <row r="475" s="58" customFormat="1" ht="22.5" hidden="1" customHeight="1" spans="1:54">
      <c r="A475" s="19"/>
      <c r="B475" s="24"/>
      <c r="C475" s="24" t="s">
        <v>14</v>
      </c>
      <c r="D475" s="24"/>
      <c r="E475" s="24">
        <v>0</v>
      </c>
      <c r="F475" s="74">
        <f ca="1">SUMIF(I$3:$BB474,"入库",I475:$BB475)</f>
        <v>15</v>
      </c>
      <c r="G475" s="24">
        <f ca="1">SUMIF(J$3:$BB474,"出库",J475:$BB475)</f>
        <v>0</v>
      </c>
      <c r="H475" s="27">
        <f ca="1" t="shared" si="10"/>
        <v>15</v>
      </c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>
        <v>15</v>
      </c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</row>
    <row r="476" s="58" customFormat="1" ht="39" hidden="1" customHeight="1" spans="1:54">
      <c r="A476" s="72">
        <v>157</v>
      </c>
      <c r="B476" s="24" t="s">
        <v>174</v>
      </c>
      <c r="C476" s="73" t="s">
        <v>12</v>
      </c>
      <c r="D476" s="24"/>
      <c r="E476" s="24">
        <v>0</v>
      </c>
      <c r="F476" s="74">
        <f ca="1">SUMIF(I$3:$BB475,"入库",I476:$BB476)</f>
        <v>3300</v>
      </c>
      <c r="G476" s="24">
        <f ca="1">SUMIF(J$3:$BB475,"出库",J476:$BB476)</f>
        <v>570</v>
      </c>
      <c r="H476" s="27">
        <f ca="1" t="shared" si="10"/>
        <v>2730</v>
      </c>
      <c r="I476" s="24"/>
      <c r="J476" s="24"/>
      <c r="K476" s="24"/>
      <c r="L476" s="24"/>
      <c r="M476" s="24">
        <v>3300</v>
      </c>
      <c r="N476" s="24"/>
      <c r="O476" s="24"/>
      <c r="P476" s="24"/>
      <c r="Q476" s="24"/>
      <c r="R476" s="24"/>
      <c r="S476" s="24"/>
      <c r="T476" s="24">
        <v>200</v>
      </c>
      <c r="U476" s="24"/>
      <c r="V476" s="24"/>
      <c r="W476" s="24"/>
      <c r="X476" s="24"/>
      <c r="Y476" s="24"/>
      <c r="Z476" s="24">
        <v>70</v>
      </c>
      <c r="AA476" s="24"/>
      <c r="AB476" s="24"/>
      <c r="AC476" s="24"/>
      <c r="AD476" s="24"/>
      <c r="AE476" s="24"/>
      <c r="AF476" s="24"/>
      <c r="AG476" s="24"/>
      <c r="AH476" s="24"/>
      <c r="AI476" s="24"/>
      <c r="AJ476" s="24">
        <v>300</v>
      </c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</row>
    <row r="477" s="58" customFormat="1" ht="22.5" hidden="1" customHeight="1" spans="1:54">
      <c r="A477" s="18"/>
      <c r="B477" s="24"/>
      <c r="C477" s="25" t="s">
        <v>13</v>
      </c>
      <c r="D477" s="24"/>
      <c r="E477" s="24">
        <v>0</v>
      </c>
      <c r="F477" s="74">
        <f ca="1">SUMIF(I$3:$BB476,"入库",I477:$BB477)</f>
        <v>0</v>
      </c>
      <c r="G477" s="24">
        <f ca="1">SUMIF(J$3:$BB476,"出库",J477:$BB477)</f>
        <v>0</v>
      </c>
      <c r="H477" s="27">
        <f ca="1" t="shared" si="10"/>
        <v>0</v>
      </c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</row>
    <row r="478" s="58" customFormat="1" ht="22.5" hidden="1" customHeight="1" spans="1:54">
      <c r="A478" s="19"/>
      <c r="B478" s="24"/>
      <c r="C478" s="24" t="s">
        <v>14</v>
      </c>
      <c r="D478" s="24"/>
      <c r="E478" s="24">
        <v>0</v>
      </c>
      <c r="F478" s="74">
        <f ca="1">SUMIF(I$3:$BB477,"入库",I478:$BB478)</f>
        <v>20</v>
      </c>
      <c r="G478" s="24">
        <f ca="1">SUMIF(J$3:$BB477,"出库",J478:$BB478)</f>
        <v>0</v>
      </c>
      <c r="H478" s="27">
        <f ca="1" t="shared" si="10"/>
        <v>20</v>
      </c>
      <c r="I478" s="24"/>
      <c r="J478" s="24"/>
      <c r="K478" s="24"/>
      <c r="L478" s="24"/>
      <c r="M478" s="24">
        <v>20</v>
      </c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</row>
    <row r="479" s="58" customFormat="1" ht="39" hidden="1" customHeight="1" spans="1:54">
      <c r="A479" s="72">
        <v>158</v>
      </c>
      <c r="B479" s="24" t="s">
        <v>175</v>
      </c>
      <c r="C479" s="73" t="s">
        <v>12</v>
      </c>
      <c r="D479" s="24"/>
      <c r="E479" s="24">
        <v>0</v>
      </c>
      <c r="F479" s="74">
        <f ca="1">SUMIF(I$3:$BB478,"入库",I479:$BB479)</f>
        <v>3200</v>
      </c>
      <c r="G479" s="24">
        <f ca="1">SUMIF(J$3:$BB478,"出库",J479:$BB479)</f>
        <v>50</v>
      </c>
      <c r="H479" s="27">
        <f ca="1" t="shared" si="10"/>
        <v>3150</v>
      </c>
      <c r="I479" s="24"/>
      <c r="J479" s="24"/>
      <c r="K479" s="24"/>
      <c r="L479" s="24"/>
      <c r="M479" s="24">
        <v>3200</v>
      </c>
      <c r="N479" s="24">
        <v>50</v>
      </c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</row>
    <row r="480" s="58" customFormat="1" ht="22.5" hidden="1" customHeight="1" spans="1:54">
      <c r="A480" s="18"/>
      <c r="B480" s="24"/>
      <c r="C480" s="25" t="s">
        <v>13</v>
      </c>
      <c r="D480" s="24"/>
      <c r="E480" s="24">
        <v>0</v>
      </c>
      <c r="F480" s="74">
        <f ca="1">SUMIF(I$3:$BB479,"入库",I480:$BB480)</f>
        <v>0</v>
      </c>
      <c r="G480" s="24">
        <f ca="1">SUMIF(J$3:$BB479,"出库",J480:$BB480)</f>
        <v>0</v>
      </c>
      <c r="H480" s="27">
        <f ca="1" t="shared" si="10"/>
        <v>0</v>
      </c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</row>
    <row r="481" s="58" customFormat="1" ht="22.5" hidden="1" customHeight="1" spans="1:54">
      <c r="A481" s="19"/>
      <c r="B481" s="24"/>
      <c r="C481" s="24" t="s">
        <v>14</v>
      </c>
      <c r="D481" s="24"/>
      <c r="E481" s="24">
        <v>0</v>
      </c>
      <c r="F481" s="74">
        <f ca="1">SUMIF(I$3:$BB480,"入库",I481:$BB481)</f>
        <v>80</v>
      </c>
      <c r="G481" s="24">
        <f ca="1">SUMIF(J$3:$BB480,"出库",J481:$BB481)</f>
        <v>0</v>
      </c>
      <c r="H481" s="27">
        <f ca="1" t="shared" si="10"/>
        <v>80</v>
      </c>
      <c r="I481" s="24"/>
      <c r="J481" s="24"/>
      <c r="K481" s="24"/>
      <c r="L481" s="24"/>
      <c r="M481" s="24">
        <v>80</v>
      </c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</row>
    <row r="482" s="58" customFormat="1" ht="22.5" hidden="1" customHeight="1" spans="1:54">
      <c r="A482" s="72">
        <v>159</v>
      </c>
      <c r="B482" s="24" t="s">
        <v>176</v>
      </c>
      <c r="C482" s="73" t="s">
        <v>12</v>
      </c>
      <c r="D482" s="24"/>
      <c r="E482" s="24">
        <v>0</v>
      </c>
      <c r="F482" s="74">
        <f ca="1">SUMIF(I$3:$BB481,"入库",I482:$BB482)</f>
        <v>450</v>
      </c>
      <c r="G482" s="24">
        <f ca="1">SUMIF(J$3:$BB481,"出库",J482:$BB482)</f>
        <v>50</v>
      </c>
      <c r="H482" s="27">
        <f ca="1" t="shared" si="10"/>
        <v>400</v>
      </c>
      <c r="I482" s="24"/>
      <c r="J482" s="24"/>
      <c r="K482" s="24">
        <v>450</v>
      </c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>
        <v>50</v>
      </c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</row>
    <row r="483" s="58" customFormat="1" ht="22.5" hidden="1" customHeight="1" spans="1:54">
      <c r="A483" s="18"/>
      <c r="B483" s="24"/>
      <c r="C483" s="25" t="s">
        <v>13</v>
      </c>
      <c r="D483" s="24"/>
      <c r="E483" s="24">
        <v>0</v>
      </c>
      <c r="F483" s="74">
        <f ca="1">SUMIF(I$3:$BB482,"入库",I483:$BB483)</f>
        <v>300</v>
      </c>
      <c r="G483" s="24">
        <f ca="1">SUMIF(J$3:$BB482,"出库",J483:$BB483)</f>
        <v>200</v>
      </c>
      <c r="H483" s="27">
        <f ca="1" t="shared" ref="H483:H546" si="11">E483+F483-G483</f>
        <v>100</v>
      </c>
      <c r="I483" s="24"/>
      <c r="J483" s="24"/>
      <c r="K483" s="24">
        <v>300</v>
      </c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>
        <v>200</v>
      </c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</row>
    <row r="484" s="58" customFormat="1" ht="22.5" hidden="1" customHeight="1" spans="1:54">
      <c r="A484" s="19"/>
      <c r="B484" s="24"/>
      <c r="C484" s="24" t="s">
        <v>14</v>
      </c>
      <c r="D484" s="24"/>
      <c r="E484" s="24">
        <v>0</v>
      </c>
      <c r="F484" s="74">
        <f ca="1">SUMIF(I$3:$BB483,"入库",I484:$BB484)</f>
        <v>170</v>
      </c>
      <c r="G484" s="24">
        <f ca="1">SUMIF(J$3:$BB483,"出库",J484:$BB484)</f>
        <v>0</v>
      </c>
      <c r="H484" s="27">
        <f ca="1" t="shared" si="11"/>
        <v>170</v>
      </c>
      <c r="I484" s="24"/>
      <c r="J484" s="24"/>
      <c r="K484" s="24">
        <v>170</v>
      </c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</row>
    <row r="485" s="58" customFormat="1" ht="22.5" hidden="1" customHeight="1" spans="1:54">
      <c r="A485" s="72">
        <v>160</v>
      </c>
      <c r="B485" s="24" t="s">
        <v>177</v>
      </c>
      <c r="C485" s="73" t="s">
        <v>12</v>
      </c>
      <c r="D485" s="24"/>
      <c r="E485" s="24">
        <v>0</v>
      </c>
      <c r="F485" s="74">
        <f ca="1">SUMIF(I$3:$BB484,"入库",I485:$BB485)</f>
        <v>20</v>
      </c>
      <c r="G485" s="24">
        <f ca="1">SUMIF(J$3:$BB484,"出库",J485:$BB485)</f>
        <v>0</v>
      </c>
      <c r="H485" s="27">
        <f ca="1" t="shared" si="11"/>
        <v>20</v>
      </c>
      <c r="I485" s="24"/>
      <c r="J485" s="24"/>
      <c r="K485" s="24">
        <v>20</v>
      </c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</row>
    <row r="486" s="58" customFormat="1" ht="22.5" hidden="1" customHeight="1" spans="1:54">
      <c r="A486" s="18"/>
      <c r="B486" s="24"/>
      <c r="C486" s="25" t="s">
        <v>13</v>
      </c>
      <c r="D486" s="24"/>
      <c r="E486" s="24">
        <v>0</v>
      </c>
      <c r="F486" s="74">
        <f ca="1">SUMIF(I$3:$BB485,"入库",I486:$BB486)</f>
        <v>650</v>
      </c>
      <c r="G486" s="24">
        <f ca="1">SUMIF(J$3:$BB485,"出库",J486:$BB486)</f>
        <v>2</v>
      </c>
      <c r="H486" s="27">
        <f ca="1" t="shared" si="11"/>
        <v>648</v>
      </c>
      <c r="I486" s="24"/>
      <c r="J486" s="24"/>
      <c r="K486" s="24">
        <v>650</v>
      </c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>
        <v>2</v>
      </c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</row>
    <row r="487" s="58" customFormat="1" ht="22.5" hidden="1" customHeight="1" spans="1:54">
      <c r="A487" s="19"/>
      <c r="B487" s="24"/>
      <c r="C487" s="24" t="s">
        <v>14</v>
      </c>
      <c r="D487" s="24"/>
      <c r="E487" s="24">
        <v>0</v>
      </c>
      <c r="F487" s="74">
        <f ca="1">SUMIF(I$3:$BB486,"入库",I487:$BB487)</f>
        <v>0</v>
      </c>
      <c r="G487" s="24">
        <f ca="1">SUMIF(J$3:$BB486,"出库",J487:$BB487)</f>
        <v>0</v>
      </c>
      <c r="H487" s="27">
        <f ca="1" t="shared" si="11"/>
        <v>0</v>
      </c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</row>
    <row r="488" s="58" customFormat="1" ht="22.5" hidden="1" customHeight="1" spans="1:54">
      <c r="A488" s="72">
        <v>161</v>
      </c>
      <c r="B488" s="24" t="s">
        <v>178</v>
      </c>
      <c r="C488" s="73" t="s">
        <v>12</v>
      </c>
      <c r="D488" s="24"/>
      <c r="E488" s="24">
        <v>0</v>
      </c>
      <c r="F488" s="74">
        <f ca="1">SUMIF(I$3:$BB487,"入库",I488:$BB488)</f>
        <v>500</v>
      </c>
      <c r="G488" s="24">
        <f ca="1">SUMIF(J$3:$BB487,"出库",J488:$BB488)</f>
        <v>30</v>
      </c>
      <c r="H488" s="27">
        <f ca="1" t="shared" si="11"/>
        <v>470</v>
      </c>
      <c r="I488" s="24"/>
      <c r="J488" s="24"/>
      <c r="K488" s="24">
        <v>30</v>
      </c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>
        <v>470</v>
      </c>
      <c r="AJ488" s="24"/>
      <c r="AK488" s="24"/>
      <c r="AL488" s="24">
        <v>30</v>
      </c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</row>
    <row r="489" s="58" customFormat="1" ht="22.5" hidden="1" customHeight="1" spans="1:54">
      <c r="A489" s="18"/>
      <c r="B489" s="24"/>
      <c r="C489" s="25" t="s">
        <v>13</v>
      </c>
      <c r="D489" s="24"/>
      <c r="E489" s="24">
        <v>0</v>
      </c>
      <c r="F489" s="74">
        <f ca="1">SUMIF(I$3:$BB488,"入库",I489:$BB489)</f>
        <v>30</v>
      </c>
      <c r="G489" s="24">
        <f ca="1">SUMIF(J$3:$BB488,"出库",J489:$BB489)</f>
        <v>2</v>
      </c>
      <c r="H489" s="27">
        <f ca="1" t="shared" si="11"/>
        <v>28</v>
      </c>
      <c r="I489" s="24"/>
      <c r="J489" s="24"/>
      <c r="K489" s="24">
        <v>30</v>
      </c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>
        <v>2</v>
      </c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</row>
    <row r="490" s="58" customFormat="1" ht="22.5" hidden="1" customHeight="1" spans="1:54">
      <c r="A490" s="19"/>
      <c r="B490" s="24"/>
      <c r="C490" s="24" t="s">
        <v>14</v>
      </c>
      <c r="D490" s="24"/>
      <c r="E490" s="24">
        <v>0</v>
      </c>
      <c r="F490" s="74">
        <f ca="1">SUMIF(I$3:$BB489,"入库",I490:$BB490)</f>
        <v>0</v>
      </c>
      <c r="G490" s="24">
        <f ca="1">SUMIF(J$3:$BB489,"出库",J490:$BB490)</f>
        <v>0</v>
      </c>
      <c r="H490" s="27">
        <f ca="1" t="shared" si="11"/>
        <v>0</v>
      </c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</row>
    <row r="491" s="58" customFormat="1" ht="22.5" hidden="1" customHeight="1" spans="1:54">
      <c r="A491" s="72">
        <v>162</v>
      </c>
      <c r="B491" s="24" t="s">
        <v>179</v>
      </c>
      <c r="C491" s="73" t="s">
        <v>12</v>
      </c>
      <c r="D491" s="24"/>
      <c r="E491" s="24">
        <v>0</v>
      </c>
      <c r="F491" s="74">
        <f ca="1">SUMIF(I$3:$BB490,"入库",I491:$BB491)</f>
        <v>400</v>
      </c>
      <c r="G491" s="24">
        <f ca="1">SUMIF(J$3:$BB490,"出库",J491:$BB491)</f>
        <v>0</v>
      </c>
      <c r="H491" s="27">
        <f ca="1" t="shared" si="11"/>
        <v>400</v>
      </c>
      <c r="I491" s="24">
        <v>400</v>
      </c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</row>
    <row r="492" s="58" customFormat="1" ht="22.5" hidden="1" customHeight="1" spans="1:54">
      <c r="A492" s="18"/>
      <c r="B492" s="24"/>
      <c r="C492" s="25" t="s">
        <v>13</v>
      </c>
      <c r="D492" s="24"/>
      <c r="E492" s="24">
        <v>0</v>
      </c>
      <c r="F492" s="74">
        <f ca="1">SUMIF(I$3:$BB491,"入库",I492:$BB492)</f>
        <v>130</v>
      </c>
      <c r="G492" s="24">
        <f ca="1">SUMIF(J$3:$BB491,"出库",J492:$BB492)</f>
        <v>0</v>
      </c>
      <c r="H492" s="27">
        <f ca="1" t="shared" si="11"/>
        <v>130</v>
      </c>
      <c r="I492" s="24">
        <v>130</v>
      </c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</row>
    <row r="493" s="58" customFormat="1" ht="22.5" hidden="1" customHeight="1" spans="1:54">
      <c r="A493" s="19"/>
      <c r="B493" s="24"/>
      <c r="C493" s="24" t="s">
        <v>14</v>
      </c>
      <c r="D493" s="24"/>
      <c r="E493" s="24">
        <v>0</v>
      </c>
      <c r="F493" s="74">
        <f ca="1">SUMIF(I$3:$BB492,"入库",I493:$BB493)</f>
        <v>50</v>
      </c>
      <c r="G493" s="24">
        <f ca="1">SUMIF(J$3:$BB492,"出库",J493:$BB493)</f>
        <v>0</v>
      </c>
      <c r="H493" s="27">
        <f ca="1" t="shared" si="11"/>
        <v>50</v>
      </c>
      <c r="I493" s="24">
        <v>50</v>
      </c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</row>
    <row r="494" s="58" customFormat="1" ht="22.5" hidden="1" customHeight="1" spans="1:54">
      <c r="A494" s="72">
        <v>163</v>
      </c>
      <c r="B494" s="24" t="s">
        <v>180</v>
      </c>
      <c r="C494" s="73" t="s">
        <v>12</v>
      </c>
      <c r="D494" s="24"/>
      <c r="E494" s="24">
        <v>0</v>
      </c>
      <c r="F494" s="74">
        <f ca="1">SUMIF(I$3:$BB493,"入库",I494:$BB494)</f>
        <v>1650</v>
      </c>
      <c r="G494" s="24">
        <f ca="1">SUMIF(J$3:$BB493,"出库",J494:$BB494)</f>
        <v>0</v>
      </c>
      <c r="H494" s="27">
        <f ca="1" t="shared" si="11"/>
        <v>1650</v>
      </c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>
        <v>1650</v>
      </c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</row>
    <row r="495" s="58" customFormat="1" ht="22.5" hidden="1" customHeight="1" spans="1:54">
      <c r="A495" s="18"/>
      <c r="B495" s="24"/>
      <c r="C495" s="25" t="s">
        <v>13</v>
      </c>
      <c r="D495" s="24"/>
      <c r="E495" s="24">
        <v>0</v>
      </c>
      <c r="F495" s="74">
        <f ca="1">SUMIF(I$3:$BB494,"入库",I495:$BB495)</f>
        <v>70</v>
      </c>
      <c r="G495" s="24">
        <f ca="1">SUMIF(J$3:$BB494,"出库",J495:$BB495)</f>
        <v>0</v>
      </c>
      <c r="H495" s="27">
        <f ca="1" t="shared" si="11"/>
        <v>70</v>
      </c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>
        <v>70</v>
      </c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</row>
    <row r="496" s="58" customFormat="1" ht="22.5" hidden="1" customHeight="1" spans="1:54">
      <c r="A496" s="19"/>
      <c r="B496" s="24"/>
      <c r="C496" s="24" t="s">
        <v>14</v>
      </c>
      <c r="D496" s="24"/>
      <c r="E496" s="24">
        <v>0</v>
      </c>
      <c r="F496" s="74">
        <f ca="1">SUMIF(I$3:$BB495,"入库",I496:$BB496)</f>
        <v>1800</v>
      </c>
      <c r="G496" s="24">
        <f ca="1">SUMIF(J$3:$BB495,"出库",J496:$BB496)</f>
        <v>0</v>
      </c>
      <c r="H496" s="27">
        <f ca="1" t="shared" si="11"/>
        <v>1800</v>
      </c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>
        <v>1800</v>
      </c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</row>
    <row r="497" s="58" customFormat="1" ht="39" hidden="1" customHeight="1" spans="1:54">
      <c r="A497" s="72">
        <v>164</v>
      </c>
      <c r="B497" s="24" t="s">
        <v>181</v>
      </c>
      <c r="C497" s="73" t="s">
        <v>12</v>
      </c>
      <c r="D497" s="24"/>
      <c r="E497" s="24">
        <v>0</v>
      </c>
      <c r="F497" s="74">
        <f ca="1">SUMIF(I$3:$BB496,"入库",I497:$BB497)</f>
        <v>2100</v>
      </c>
      <c r="G497" s="24">
        <f ca="1">SUMIF(J$3:$BB496,"出库",J497:$BB497)</f>
        <v>50</v>
      </c>
      <c r="H497" s="27">
        <f ca="1" t="shared" si="11"/>
        <v>2050</v>
      </c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>
        <v>2100</v>
      </c>
      <c r="X497" s="24"/>
      <c r="Y497" s="24"/>
      <c r="Z497" s="24"/>
      <c r="AA497" s="24"/>
      <c r="AB497" s="24">
        <v>50</v>
      </c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</row>
    <row r="498" s="58" customFormat="1" ht="22.5" hidden="1" customHeight="1" spans="1:54">
      <c r="A498" s="18"/>
      <c r="B498" s="24"/>
      <c r="C498" s="25" t="s">
        <v>13</v>
      </c>
      <c r="D498" s="24"/>
      <c r="E498" s="24">
        <v>0</v>
      </c>
      <c r="F498" s="74">
        <f ca="1">SUMIF(I$3:$BB497,"入库",I498:$BB498)</f>
        <v>10</v>
      </c>
      <c r="G498" s="24">
        <f ca="1">SUMIF(J$3:$BB497,"出库",J498:$BB498)</f>
        <v>0</v>
      </c>
      <c r="H498" s="27">
        <f ca="1" t="shared" si="11"/>
        <v>10</v>
      </c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>
        <v>10</v>
      </c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</row>
    <row r="499" s="58" customFormat="1" ht="22.5" hidden="1" customHeight="1" spans="1:54">
      <c r="A499" s="19"/>
      <c r="B499" s="24"/>
      <c r="C499" s="24" t="s">
        <v>14</v>
      </c>
      <c r="D499" s="24"/>
      <c r="E499" s="24">
        <v>0</v>
      </c>
      <c r="F499" s="74">
        <f ca="1">SUMIF(I$3:$BB498,"入库",I499:$BB499)</f>
        <v>140</v>
      </c>
      <c r="G499" s="24">
        <f ca="1">SUMIF(J$3:$BB498,"出库",J499:$BB499)</f>
        <v>115</v>
      </c>
      <c r="H499" s="27">
        <f ca="1" t="shared" si="11"/>
        <v>25</v>
      </c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>
        <v>140</v>
      </c>
      <c r="X499" s="24">
        <v>115</v>
      </c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</row>
    <row r="500" s="58" customFormat="1" ht="39" hidden="1" customHeight="1" spans="1:54">
      <c r="A500" s="72">
        <v>165</v>
      </c>
      <c r="B500" s="24" t="s">
        <v>182</v>
      </c>
      <c r="C500" s="73" t="s">
        <v>12</v>
      </c>
      <c r="D500" s="24"/>
      <c r="E500" s="24">
        <v>0</v>
      </c>
      <c r="F500" s="74">
        <f ca="1">SUMIF(I$3:$BB499,"入库",I500:$BB500)</f>
        <v>1300</v>
      </c>
      <c r="G500" s="24">
        <f ca="1">SUMIF(J$3:$BB499,"出库",J500:$BB500)</f>
        <v>0</v>
      </c>
      <c r="H500" s="27">
        <f ca="1" t="shared" si="11"/>
        <v>1300</v>
      </c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>
        <v>1300</v>
      </c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</row>
    <row r="501" s="58" customFormat="1" ht="22.5" hidden="1" customHeight="1" spans="1:54">
      <c r="A501" s="18"/>
      <c r="B501" s="24"/>
      <c r="C501" s="25" t="s">
        <v>13</v>
      </c>
      <c r="D501" s="24"/>
      <c r="E501" s="24">
        <v>0</v>
      </c>
      <c r="F501" s="74">
        <f ca="1">SUMIF(I$3:$BB500,"入库",I501:$BB501)</f>
        <v>20</v>
      </c>
      <c r="G501" s="24">
        <f ca="1">SUMIF(J$3:$BB500,"出库",J501:$BB501)</f>
        <v>0</v>
      </c>
      <c r="H501" s="27">
        <f ca="1" t="shared" si="11"/>
        <v>20</v>
      </c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>
        <v>20</v>
      </c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</row>
    <row r="502" s="58" customFormat="1" ht="22.5" hidden="1" customHeight="1" spans="1:54">
      <c r="A502" s="19"/>
      <c r="B502" s="24"/>
      <c r="C502" s="24" t="s">
        <v>14</v>
      </c>
      <c r="D502" s="24"/>
      <c r="E502" s="24">
        <v>0</v>
      </c>
      <c r="F502" s="74">
        <f ca="1">SUMIF(I$3:$BB501,"入库",I502:$BB502)</f>
        <v>0</v>
      </c>
      <c r="G502" s="24">
        <f ca="1">SUMIF(J$3:$BB501,"出库",J502:$BB502)</f>
        <v>0</v>
      </c>
      <c r="H502" s="27">
        <f ca="1" t="shared" si="11"/>
        <v>0</v>
      </c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</row>
    <row r="503" s="58" customFormat="1" ht="22.5" hidden="1" customHeight="1" spans="1:54">
      <c r="A503" s="72">
        <v>166</v>
      </c>
      <c r="B503" s="24" t="s">
        <v>183</v>
      </c>
      <c r="C503" s="73" t="s">
        <v>12</v>
      </c>
      <c r="D503" s="24"/>
      <c r="E503" s="24">
        <v>0</v>
      </c>
      <c r="F503" s="74">
        <f ca="1">SUMIF(I$3:$BB502,"入库",I503:$BB503)</f>
        <v>400</v>
      </c>
      <c r="G503" s="24">
        <f ca="1">SUMIF(J$3:$BB502,"出库",J503:$BB503)</f>
        <v>180</v>
      </c>
      <c r="H503" s="27">
        <f ca="1" t="shared" si="11"/>
        <v>220</v>
      </c>
      <c r="I503" s="24"/>
      <c r="J503" s="24"/>
      <c r="K503" s="24"/>
      <c r="L503" s="24"/>
      <c r="M503" s="24">
        <v>400</v>
      </c>
      <c r="N503" s="24">
        <v>60</v>
      </c>
      <c r="O503" s="24"/>
      <c r="P503" s="24">
        <v>100</v>
      </c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>
        <v>20</v>
      </c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</row>
    <row r="504" s="58" customFormat="1" ht="22.5" hidden="1" customHeight="1" spans="1:54">
      <c r="A504" s="18"/>
      <c r="B504" s="24"/>
      <c r="C504" s="25" t="s">
        <v>13</v>
      </c>
      <c r="D504" s="24"/>
      <c r="E504" s="24">
        <v>0</v>
      </c>
      <c r="F504" s="74">
        <f ca="1">SUMIF(I$3:$BB503,"入库",I504:$BB504)</f>
        <v>200</v>
      </c>
      <c r="G504" s="24">
        <f ca="1">SUMIF(J$3:$BB503,"出库",J504:$BB504)</f>
        <v>0</v>
      </c>
      <c r="H504" s="27">
        <f ca="1" t="shared" si="11"/>
        <v>200</v>
      </c>
      <c r="I504" s="24"/>
      <c r="J504" s="24"/>
      <c r="K504" s="24"/>
      <c r="L504" s="24"/>
      <c r="M504" s="24">
        <v>200</v>
      </c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</row>
    <row r="505" s="58" customFormat="1" ht="22.5" hidden="1" customHeight="1" spans="1:54">
      <c r="A505" s="19"/>
      <c r="B505" s="24"/>
      <c r="C505" s="24" t="s">
        <v>14</v>
      </c>
      <c r="D505" s="24"/>
      <c r="E505" s="24">
        <v>0</v>
      </c>
      <c r="F505" s="74">
        <f ca="1">SUMIF(I$3:$BB504,"入库",I505:$BB505)</f>
        <v>20</v>
      </c>
      <c r="G505" s="24">
        <f ca="1">SUMIF(J$3:$BB504,"出库",J505:$BB505)</f>
        <v>0</v>
      </c>
      <c r="H505" s="27">
        <f ca="1" t="shared" si="11"/>
        <v>20</v>
      </c>
      <c r="I505" s="24"/>
      <c r="J505" s="24"/>
      <c r="K505" s="24"/>
      <c r="L505" s="24"/>
      <c r="M505" s="24">
        <v>20</v>
      </c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</row>
    <row r="506" s="58" customFormat="1" ht="39" hidden="1" customHeight="1" spans="1:54">
      <c r="A506" s="72">
        <v>167</v>
      </c>
      <c r="B506" s="24" t="s">
        <v>184</v>
      </c>
      <c r="C506" s="73" t="s">
        <v>12</v>
      </c>
      <c r="D506" s="24"/>
      <c r="E506" s="24">
        <v>0</v>
      </c>
      <c r="F506" s="74">
        <f ca="1">SUMIF(I$3:$BB505,"入库",I506:$BB506)</f>
        <v>1150</v>
      </c>
      <c r="G506" s="24">
        <f ca="1">SUMIF(J$3:$BB505,"出库",J506:$BB506)</f>
        <v>0</v>
      </c>
      <c r="H506" s="27">
        <f ca="1" t="shared" si="11"/>
        <v>1150</v>
      </c>
      <c r="I506" s="24"/>
      <c r="J506" s="24"/>
      <c r="K506" s="24"/>
      <c r="L506" s="24"/>
      <c r="M506" s="24">
        <v>1150</v>
      </c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</row>
    <row r="507" s="58" customFormat="1" ht="22.5" hidden="1" customHeight="1" spans="1:54">
      <c r="A507" s="18"/>
      <c r="B507" s="24"/>
      <c r="C507" s="25" t="s">
        <v>13</v>
      </c>
      <c r="D507" s="24"/>
      <c r="E507" s="24">
        <v>0</v>
      </c>
      <c r="F507" s="74">
        <f ca="1">SUMIF(I$3:$BB506,"入库",I507:$BB507)</f>
        <v>130</v>
      </c>
      <c r="G507" s="24">
        <f ca="1">SUMIF(J$3:$BB506,"出库",J507:$BB507)</f>
        <v>0</v>
      </c>
      <c r="H507" s="27">
        <f ca="1" t="shared" si="11"/>
        <v>130</v>
      </c>
      <c r="I507" s="24"/>
      <c r="J507" s="24"/>
      <c r="K507" s="24"/>
      <c r="L507" s="24"/>
      <c r="M507" s="24">
        <v>130</v>
      </c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</row>
    <row r="508" s="58" customFormat="1" ht="22.5" hidden="1" customHeight="1" spans="1:54">
      <c r="A508" s="19"/>
      <c r="B508" s="24"/>
      <c r="C508" s="24" t="s">
        <v>14</v>
      </c>
      <c r="D508" s="24"/>
      <c r="E508" s="24">
        <v>0</v>
      </c>
      <c r="F508" s="74">
        <f ca="1">SUMIF(I$3:$BB507,"入库",I508:$BB508)</f>
        <v>130</v>
      </c>
      <c r="G508" s="24">
        <f ca="1">SUMIF(J$3:$BB507,"出库",J508:$BB508)</f>
        <v>0</v>
      </c>
      <c r="H508" s="27">
        <f ca="1" t="shared" si="11"/>
        <v>130</v>
      </c>
      <c r="I508" s="24"/>
      <c r="J508" s="24"/>
      <c r="K508" s="24"/>
      <c r="L508" s="24"/>
      <c r="M508" s="24">
        <v>130</v>
      </c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</row>
    <row r="509" s="58" customFormat="1" ht="22.5" hidden="1" customHeight="1" spans="1:54">
      <c r="A509" s="72">
        <v>168</v>
      </c>
      <c r="B509" s="24" t="s">
        <v>185</v>
      </c>
      <c r="C509" s="73" t="s">
        <v>12</v>
      </c>
      <c r="D509" s="24"/>
      <c r="E509" s="24">
        <v>0</v>
      </c>
      <c r="F509" s="74">
        <f ca="1">SUMIF(I$3:$BB508,"入库",I509:$BB509)</f>
        <v>650</v>
      </c>
      <c r="G509" s="24">
        <f ca="1">SUMIF(J$3:$BB508,"出库",J509:$BB509)</f>
        <v>600</v>
      </c>
      <c r="H509" s="27">
        <f ca="1" t="shared" si="11"/>
        <v>50</v>
      </c>
      <c r="I509" s="24"/>
      <c r="J509" s="24"/>
      <c r="K509" s="24">
        <v>650</v>
      </c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>
        <v>500</v>
      </c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>
        <v>100</v>
      </c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</row>
    <row r="510" s="58" customFormat="1" ht="22.5" hidden="1" customHeight="1" spans="1:54">
      <c r="A510" s="18"/>
      <c r="B510" s="24"/>
      <c r="C510" s="25" t="s">
        <v>13</v>
      </c>
      <c r="D510" s="24"/>
      <c r="E510" s="24">
        <v>0</v>
      </c>
      <c r="F510" s="74">
        <f ca="1">SUMIF(I$3:$BB509,"入库",I510:$BB510)</f>
        <v>200</v>
      </c>
      <c r="G510" s="24">
        <f ca="1">SUMIF(J$3:$BB509,"出库",J510:$BB510)</f>
        <v>0</v>
      </c>
      <c r="H510" s="27">
        <f ca="1" t="shared" si="11"/>
        <v>200</v>
      </c>
      <c r="I510" s="24"/>
      <c r="J510" s="24"/>
      <c r="K510" s="24">
        <v>200</v>
      </c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</row>
    <row r="511" s="58" customFormat="1" ht="22.5" hidden="1" customHeight="1" spans="1:54">
      <c r="A511" s="19"/>
      <c r="B511" s="24"/>
      <c r="C511" s="24" t="s">
        <v>14</v>
      </c>
      <c r="D511" s="24"/>
      <c r="E511" s="24">
        <v>0</v>
      </c>
      <c r="F511" s="74">
        <f ca="1">SUMIF(I$3:$BB510,"入库",I511:$BB511)</f>
        <v>10</v>
      </c>
      <c r="G511" s="24">
        <f ca="1">SUMIF(J$3:$BB510,"出库",J511:$BB511)</f>
        <v>0</v>
      </c>
      <c r="H511" s="27">
        <f ca="1" t="shared" si="11"/>
        <v>10</v>
      </c>
      <c r="I511" s="24"/>
      <c r="J511" s="24"/>
      <c r="K511" s="24">
        <v>10</v>
      </c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</row>
    <row r="512" s="58" customFormat="1" ht="22.5" hidden="1" customHeight="1" spans="1:54">
      <c r="A512" s="72">
        <v>169</v>
      </c>
      <c r="B512" s="24" t="s">
        <v>186</v>
      </c>
      <c r="C512" s="73" t="s">
        <v>12</v>
      </c>
      <c r="D512" s="24"/>
      <c r="E512" s="24">
        <v>0</v>
      </c>
      <c r="F512" s="74">
        <f ca="1">SUMIF(I$3:$BB511,"入库",I512:$BB512)</f>
        <v>900</v>
      </c>
      <c r="G512" s="24">
        <f ca="1">SUMIF(J$3:$BB511,"出库",J512:$BB512)</f>
        <v>100</v>
      </c>
      <c r="H512" s="27">
        <f ca="1" t="shared" si="11"/>
        <v>800</v>
      </c>
      <c r="I512" s="24"/>
      <c r="J512" s="24"/>
      <c r="K512" s="24">
        <v>900</v>
      </c>
      <c r="L512" s="24"/>
      <c r="M512" s="24"/>
      <c r="N512" s="24">
        <v>100</v>
      </c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</row>
    <row r="513" s="58" customFormat="1" ht="22.5" hidden="1" customHeight="1" spans="1:54">
      <c r="A513" s="18"/>
      <c r="B513" s="24"/>
      <c r="C513" s="25" t="s">
        <v>13</v>
      </c>
      <c r="D513" s="24"/>
      <c r="E513" s="24">
        <v>0</v>
      </c>
      <c r="F513" s="74">
        <f ca="1">SUMIF(I$3:$BB512,"入库",I513:$BB513)</f>
        <v>80</v>
      </c>
      <c r="G513" s="24">
        <f ca="1">SUMIF(J$3:$BB512,"出库",J513:$BB513)</f>
        <v>0</v>
      </c>
      <c r="H513" s="27">
        <f ca="1" t="shared" si="11"/>
        <v>80</v>
      </c>
      <c r="I513" s="24"/>
      <c r="J513" s="24"/>
      <c r="K513" s="24">
        <v>80</v>
      </c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</row>
    <row r="514" s="58" customFormat="1" ht="22.5" hidden="1" customHeight="1" spans="1:54">
      <c r="A514" s="19"/>
      <c r="B514" s="24"/>
      <c r="C514" s="24" t="s">
        <v>14</v>
      </c>
      <c r="D514" s="24"/>
      <c r="E514" s="24">
        <v>0</v>
      </c>
      <c r="F514" s="74">
        <f ca="1">SUMIF(I$3:$BB513,"入库",I514:$BB514)</f>
        <v>30</v>
      </c>
      <c r="G514" s="24">
        <f ca="1">SUMIF(J$3:$BB513,"出库",J514:$BB514)</f>
        <v>4</v>
      </c>
      <c r="H514" s="27">
        <f ca="1" t="shared" si="11"/>
        <v>26</v>
      </c>
      <c r="I514" s="24"/>
      <c r="J514" s="24"/>
      <c r="K514" s="24">
        <v>30</v>
      </c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>
        <v>4</v>
      </c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</row>
    <row r="515" s="58" customFormat="1" ht="22.5" hidden="1" customHeight="1" spans="1:54">
      <c r="A515" s="72">
        <v>170</v>
      </c>
      <c r="B515" s="24" t="s">
        <v>187</v>
      </c>
      <c r="C515" s="73" t="s">
        <v>12</v>
      </c>
      <c r="D515" s="24"/>
      <c r="E515" s="24">
        <v>0</v>
      </c>
      <c r="F515" s="74">
        <f ca="1">SUMIF(I$3:$BB514,"入库",I515:$BB515)</f>
        <v>900</v>
      </c>
      <c r="G515" s="24">
        <f ca="1">SUMIF(J$3:$BB514,"出库",J515:$BB515)</f>
        <v>21</v>
      </c>
      <c r="H515" s="27">
        <f ca="1" t="shared" si="11"/>
        <v>879</v>
      </c>
      <c r="I515" s="24"/>
      <c r="J515" s="24"/>
      <c r="K515" s="24">
        <v>900</v>
      </c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>
        <v>21</v>
      </c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</row>
    <row r="516" s="58" customFormat="1" ht="22.5" hidden="1" customHeight="1" spans="1:54">
      <c r="A516" s="18"/>
      <c r="B516" s="24"/>
      <c r="C516" s="25" t="s">
        <v>13</v>
      </c>
      <c r="D516" s="24"/>
      <c r="E516" s="24">
        <v>0</v>
      </c>
      <c r="F516" s="74">
        <f ca="1">SUMIF(I$3:$BB515,"入库",I516:$BB516)</f>
        <v>260</v>
      </c>
      <c r="G516" s="24">
        <f ca="1">SUMIF(J$3:$BB515,"出库",J516:$BB516)</f>
        <v>0</v>
      </c>
      <c r="H516" s="27">
        <f ca="1" t="shared" si="11"/>
        <v>260</v>
      </c>
      <c r="I516" s="24"/>
      <c r="J516" s="24"/>
      <c r="K516" s="24">
        <v>260</v>
      </c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</row>
    <row r="517" s="58" customFormat="1" ht="22.5" hidden="1" customHeight="1" spans="1:54">
      <c r="A517" s="19"/>
      <c r="B517" s="24"/>
      <c r="C517" s="24" t="s">
        <v>14</v>
      </c>
      <c r="D517" s="24"/>
      <c r="E517" s="24">
        <v>0</v>
      </c>
      <c r="F517" s="74">
        <f ca="1">SUMIF(I$3:$BB516,"入库",I517:$BB517)</f>
        <v>300</v>
      </c>
      <c r="G517" s="24">
        <f ca="1">SUMIF(J$3:$BB516,"出库",J517:$BB517)</f>
        <v>0</v>
      </c>
      <c r="H517" s="27">
        <f ca="1" t="shared" si="11"/>
        <v>300</v>
      </c>
      <c r="I517" s="24"/>
      <c r="J517" s="24"/>
      <c r="K517" s="24">
        <v>300</v>
      </c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</row>
    <row r="518" s="58" customFormat="1" ht="22.5" hidden="1" customHeight="1" spans="1:54">
      <c r="A518" s="72">
        <v>171</v>
      </c>
      <c r="B518" s="24" t="s">
        <v>188</v>
      </c>
      <c r="C518" s="73" t="s">
        <v>12</v>
      </c>
      <c r="D518" s="24"/>
      <c r="E518" s="24">
        <v>0</v>
      </c>
      <c r="F518" s="74">
        <f ca="1">SUMIF(I$3:$BB517,"入库",I518:$BB518)</f>
        <v>300</v>
      </c>
      <c r="G518" s="24">
        <f ca="1">SUMIF(J$3:$BB517,"出库",J518:$BB518)</f>
        <v>221</v>
      </c>
      <c r="H518" s="27">
        <f ca="1" t="shared" si="11"/>
        <v>79</v>
      </c>
      <c r="I518" s="24">
        <v>300</v>
      </c>
      <c r="J518" s="24">
        <v>6</v>
      </c>
      <c r="K518" s="24"/>
      <c r="L518" s="24"/>
      <c r="M518" s="24"/>
      <c r="N518" s="24"/>
      <c r="O518" s="24"/>
      <c r="P518" s="24"/>
      <c r="Q518" s="24"/>
      <c r="R518" s="24"/>
      <c r="S518" s="24"/>
      <c r="T518" s="24">
        <v>10</v>
      </c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>
        <v>205</v>
      </c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</row>
    <row r="519" s="58" customFormat="1" ht="22.5" hidden="1" customHeight="1" spans="1:54">
      <c r="A519" s="18"/>
      <c r="B519" s="24"/>
      <c r="C519" s="25" t="s">
        <v>13</v>
      </c>
      <c r="D519" s="24"/>
      <c r="E519" s="24">
        <v>0</v>
      </c>
      <c r="F519" s="74">
        <f ca="1">SUMIF(I$3:$BB518,"入库",I519:$BB519)</f>
        <v>0</v>
      </c>
      <c r="G519" s="24">
        <f ca="1">SUMIF(J$3:$BB518,"出库",J519:$BB519)</f>
        <v>0</v>
      </c>
      <c r="H519" s="27">
        <f ca="1" t="shared" si="11"/>
        <v>0</v>
      </c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</row>
    <row r="520" s="58" customFormat="1" ht="22.5" hidden="1" customHeight="1" spans="1:54">
      <c r="A520" s="19"/>
      <c r="B520" s="24"/>
      <c r="C520" s="24" t="s">
        <v>14</v>
      </c>
      <c r="D520" s="24"/>
      <c r="E520" s="24">
        <v>0</v>
      </c>
      <c r="F520" s="74">
        <f ca="1">SUMIF(I$3:$BB519,"入库",I520:$BB520)</f>
        <v>70</v>
      </c>
      <c r="G520" s="24">
        <f ca="1">SUMIF(J$3:$BB519,"出库",J520:$BB520)</f>
        <v>0</v>
      </c>
      <c r="H520" s="27">
        <f ca="1" t="shared" si="11"/>
        <v>70</v>
      </c>
      <c r="I520" s="24">
        <v>70</v>
      </c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</row>
    <row r="521" s="58" customFormat="1" ht="22.5" hidden="1" customHeight="1" spans="1:54">
      <c r="A521" s="72">
        <v>172</v>
      </c>
      <c r="B521" s="24" t="s">
        <v>189</v>
      </c>
      <c r="C521" s="73" t="s">
        <v>12</v>
      </c>
      <c r="D521" s="24"/>
      <c r="E521" s="24">
        <v>0</v>
      </c>
      <c r="F521" s="74">
        <f ca="1">SUMIF(I$3:$BB520,"入库",I521:$BB521)</f>
        <v>1400</v>
      </c>
      <c r="G521" s="24">
        <f ca="1">SUMIF(J$3:$BB520,"出库",J521:$BB521)</f>
        <v>600</v>
      </c>
      <c r="H521" s="27">
        <f ca="1" t="shared" si="11"/>
        <v>800</v>
      </c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>
        <v>1400</v>
      </c>
      <c r="X521" s="24"/>
      <c r="Y521" s="24"/>
      <c r="Z521" s="24"/>
      <c r="AA521" s="24"/>
      <c r="AB521" s="24">
        <v>200</v>
      </c>
      <c r="AC521" s="24"/>
      <c r="AD521" s="24"/>
      <c r="AE521" s="24"/>
      <c r="AF521" s="24"/>
      <c r="AG521" s="24"/>
      <c r="AH521" s="24"/>
      <c r="AI521" s="24"/>
      <c r="AJ521" s="24">
        <v>300</v>
      </c>
      <c r="AK521" s="24"/>
      <c r="AL521" s="24">
        <v>100</v>
      </c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</row>
    <row r="522" s="58" customFormat="1" ht="22.5" hidden="1" customHeight="1" spans="1:54">
      <c r="A522" s="18"/>
      <c r="B522" s="24"/>
      <c r="C522" s="25" t="s">
        <v>13</v>
      </c>
      <c r="D522" s="24"/>
      <c r="E522" s="24">
        <v>0</v>
      </c>
      <c r="F522" s="74">
        <f ca="1">SUMIF(I$3:$BB521,"入库",I522:$BB522)</f>
        <v>90</v>
      </c>
      <c r="G522" s="24">
        <f ca="1">SUMIF(J$3:$BB521,"出库",J522:$BB522)</f>
        <v>0</v>
      </c>
      <c r="H522" s="27">
        <f ca="1" t="shared" si="11"/>
        <v>90</v>
      </c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>
        <v>90</v>
      </c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</row>
    <row r="523" s="58" customFormat="1" ht="22.5" hidden="1" customHeight="1" spans="1:54">
      <c r="A523" s="19"/>
      <c r="B523" s="24"/>
      <c r="C523" s="24" t="s">
        <v>14</v>
      </c>
      <c r="D523" s="24"/>
      <c r="E523" s="24">
        <v>0</v>
      </c>
      <c r="F523" s="74">
        <f ca="1">SUMIF(I$3:$BB522,"入库",I523:$BB523)</f>
        <v>0</v>
      </c>
      <c r="G523" s="24">
        <f ca="1">SUMIF(J$3:$BB522,"出库",J523:$BB523)</f>
        <v>0</v>
      </c>
      <c r="H523" s="27">
        <f ca="1" t="shared" si="11"/>
        <v>0</v>
      </c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</row>
    <row r="524" s="58" customFormat="1" ht="39" hidden="1" customHeight="1" spans="1:54">
      <c r="A524" s="72">
        <v>173</v>
      </c>
      <c r="B524" s="24" t="s">
        <v>190</v>
      </c>
      <c r="C524" s="73" t="s">
        <v>12</v>
      </c>
      <c r="D524" s="24"/>
      <c r="E524" s="24">
        <v>0</v>
      </c>
      <c r="F524" s="74">
        <f ca="1">SUMIF(I$3:$BB523,"入库",I524:$BB524)</f>
        <v>2200</v>
      </c>
      <c r="G524" s="24">
        <f ca="1">SUMIF(J$3:$BB523,"出库",J524:$BB524)</f>
        <v>0</v>
      </c>
      <c r="H524" s="27">
        <f ca="1" t="shared" si="11"/>
        <v>2200</v>
      </c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>
        <v>2200</v>
      </c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</row>
    <row r="525" s="58" customFormat="1" ht="22.5" hidden="1" customHeight="1" spans="1:54">
      <c r="A525" s="18"/>
      <c r="B525" s="24"/>
      <c r="C525" s="25" t="s">
        <v>13</v>
      </c>
      <c r="D525" s="24"/>
      <c r="E525" s="24">
        <v>0</v>
      </c>
      <c r="F525" s="74">
        <f ca="1">SUMIF(I$3:$BB524,"入库",I525:$BB525)</f>
        <v>80</v>
      </c>
      <c r="G525" s="24">
        <f ca="1">SUMIF(J$3:$BB524,"出库",J525:$BB525)</f>
        <v>0</v>
      </c>
      <c r="H525" s="27">
        <f ca="1" t="shared" si="11"/>
        <v>80</v>
      </c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>
        <v>80</v>
      </c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</row>
    <row r="526" s="58" customFormat="1" ht="22.5" hidden="1" customHeight="1" spans="1:54">
      <c r="A526" s="19"/>
      <c r="B526" s="24"/>
      <c r="C526" s="24" t="s">
        <v>14</v>
      </c>
      <c r="D526" s="24"/>
      <c r="E526" s="24">
        <v>0</v>
      </c>
      <c r="F526" s="74">
        <f ca="1">SUMIF(I$3:$BB525,"入库",I526:$BB526)</f>
        <v>0</v>
      </c>
      <c r="G526" s="24">
        <f ca="1">SUMIF(J$3:$BB525,"出库",J526:$BB526)</f>
        <v>0</v>
      </c>
      <c r="H526" s="27">
        <f ca="1" t="shared" si="11"/>
        <v>0</v>
      </c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</row>
    <row r="527" s="58" customFormat="1" ht="39" hidden="1" customHeight="1" spans="1:54">
      <c r="A527" s="72">
        <v>174</v>
      </c>
      <c r="B527" s="24" t="s">
        <v>191</v>
      </c>
      <c r="C527" s="73" t="s">
        <v>12</v>
      </c>
      <c r="D527" s="24"/>
      <c r="E527" s="24">
        <v>0</v>
      </c>
      <c r="F527" s="74">
        <f ca="1">SUMIF(I$3:$BB526,"入库",I527:$BB527)</f>
        <v>2700</v>
      </c>
      <c r="G527" s="24">
        <f ca="1">SUMIF(J$3:$BB526,"出库",J527:$BB527)</f>
        <v>90</v>
      </c>
      <c r="H527" s="27">
        <f ca="1" t="shared" si="11"/>
        <v>2610</v>
      </c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>
        <v>2700</v>
      </c>
      <c r="V527" s="24"/>
      <c r="W527" s="24"/>
      <c r="X527" s="24">
        <v>50</v>
      </c>
      <c r="Y527" s="24"/>
      <c r="Z527" s="24"/>
      <c r="AA527" s="24"/>
      <c r="AB527" s="24"/>
      <c r="AC527" s="24"/>
      <c r="AD527" s="24">
        <v>40</v>
      </c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</row>
    <row r="528" s="58" customFormat="1" ht="22.5" hidden="1" customHeight="1" spans="1:54">
      <c r="A528" s="18"/>
      <c r="B528" s="24"/>
      <c r="C528" s="25" t="s">
        <v>13</v>
      </c>
      <c r="D528" s="24"/>
      <c r="E528" s="24">
        <v>0</v>
      </c>
      <c r="F528" s="74">
        <f ca="1">SUMIF(I$3:$BB527,"入库",I528:$BB528)</f>
        <v>30</v>
      </c>
      <c r="G528" s="24">
        <f ca="1">SUMIF(J$3:$BB527,"出库",J528:$BB528)</f>
        <v>0</v>
      </c>
      <c r="H528" s="27">
        <f ca="1" t="shared" si="11"/>
        <v>30</v>
      </c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>
        <v>30</v>
      </c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</row>
    <row r="529" s="58" customFormat="1" ht="22.5" hidden="1" customHeight="1" spans="1:54">
      <c r="A529" s="19"/>
      <c r="B529" s="24"/>
      <c r="C529" s="24" t="s">
        <v>14</v>
      </c>
      <c r="D529" s="24"/>
      <c r="E529" s="24">
        <v>0</v>
      </c>
      <c r="F529" s="74">
        <f ca="1">SUMIF(I$3:$BB528,"入库",I529:$BB529)</f>
        <v>35</v>
      </c>
      <c r="G529" s="24">
        <f ca="1">SUMIF(J$3:$BB528,"出库",J529:$BB529)</f>
        <v>0</v>
      </c>
      <c r="H529" s="27">
        <f ca="1" t="shared" si="11"/>
        <v>35</v>
      </c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>
        <v>35</v>
      </c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</row>
    <row r="530" s="58" customFormat="1" ht="39" hidden="1" customHeight="1" spans="1:54">
      <c r="A530" s="72">
        <v>175</v>
      </c>
      <c r="B530" s="24" t="s">
        <v>192</v>
      </c>
      <c r="C530" s="73" t="s">
        <v>12</v>
      </c>
      <c r="D530" s="24"/>
      <c r="E530" s="24">
        <v>0</v>
      </c>
      <c r="F530" s="74">
        <f ca="1">SUMIF(I$3:$BB529,"入库",I530:$BB530)</f>
        <v>1100</v>
      </c>
      <c r="G530" s="24">
        <f ca="1">SUMIF(J$3:$BB529,"出库",J530:$BB530)</f>
        <v>200</v>
      </c>
      <c r="H530" s="27">
        <f ca="1" t="shared" si="11"/>
        <v>900</v>
      </c>
      <c r="I530" s="24"/>
      <c r="J530" s="24"/>
      <c r="K530" s="24"/>
      <c r="L530" s="24"/>
      <c r="M530" s="24">
        <v>1100</v>
      </c>
      <c r="N530" s="24"/>
      <c r="O530" s="24"/>
      <c r="P530" s="24"/>
      <c r="Q530" s="24"/>
      <c r="R530" s="24"/>
      <c r="S530" s="24"/>
      <c r="T530" s="24">
        <v>200</v>
      </c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</row>
    <row r="531" s="58" customFormat="1" ht="22.5" hidden="1" customHeight="1" spans="1:54">
      <c r="A531" s="18"/>
      <c r="B531" s="24"/>
      <c r="C531" s="25" t="s">
        <v>13</v>
      </c>
      <c r="D531" s="24"/>
      <c r="E531" s="24">
        <v>0</v>
      </c>
      <c r="F531" s="74">
        <f ca="1">SUMIF(I$3:$BB530,"入库",I531:$BB531)</f>
        <v>0</v>
      </c>
      <c r="G531" s="24">
        <f ca="1">SUMIF(J$3:$BB530,"出库",J531:$BB531)</f>
        <v>0</v>
      </c>
      <c r="H531" s="27">
        <f ca="1" t="shared" si="11"/>
        <v>0</v>
      </c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</row>
    <row r="532" s="58" customFormat="1" ht="22.5" hidden="1" customHeight="1" spans="1:54">
      <c r="A532" s="19"/>
      <c r="B532" s="24"/>
      <c r="C532" s="24" t="s">
        <v>14</v>
      </c>
      <c r="D532" s="24"/>
      <c r="E532" s="24">
        <v>0</v>
      </c>
      <c r="F532" s="74">
        <f ca="1">SUMIF(I$3:$BB531,"入库",I532:$BB532)</f>
        <v>130</v>
      </c>
      <c r="G532" s="24">
        <f ca="1">SUMIF(J$3:$BB531,"出库",J532:$BB532)</f>
        <v>0</v>
      </c>
      <c r="H532" s="27">
        <f ca="1" t="shared" si="11"/>
        <v>130</v>
      </c>
      <c r="I532" s="24"/>
      <c r="J532" s="24"/>
      <c r="K532" s="24"/>
      <c r="L532" s="24"/>
      <c r="M532" s="24">
        <v>130</v>
      </c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</row>
    <row r="533" s="58" customFormat="1" ht="39" hidden="1" customHeight="1" spans="1:54">
      <c r="A533" s="72">
        <v>176</v>
      </c>
      <c r="B533" s="24" t="s">
        <v>193</v>
      </c>
      <c r="C533" s="73" t="s">
        <v>12</v>
      </c>
      <c r="D533" s="24"/>
      <c r="E533" s="24">
        <v>0</v>
      </c>
      <c r="F533" s="74">
        <f ca="1">SUMIF(I$3:$BB532,"入库",I533:$BB533)</f>
        <v>1200</v>
      </c>
      <c r="G533" s="24">
        <f ca="1">SUMIF(J$3:$BB532,"出库",J533:$BB533)</f>
        <v>100</v>
      </c>
      <c r="H533" s="27">
        <f ca="1" t="shared" si="11"/>
        <v>1100</v>
      </c>
      <c r="I533" s="24"/>
      <c r="J533" s="24"/>
      <c r="K533" s="24"/>
      <c r="L533" s="24"/>
      <c r="M533" s="24">
        <v>1200</v>
      </c>
      <c r="N533" s="24"/>
      <c r="O533" s="24"/>
      <c r="P533" s="24">
        <v>55</v>
      </c>
      <c r="Q533" s="24"/>
      <c r="R533" s="24"/>
      <c r="S533" s="24"/>
      <c r="T533" s="24"/>
      <c r="U533" s="24"/>
      <c r="V533" s="24"/>
      <c r="W533" s="24"/>
      <c r="X533" s="24">
        <v>15</v>
      </c>
      <c r="Y533" s="24"/>
      <c r="Z533" s="24"/>
      <c r="AA533" s="24"/>
      <c r="AB533" s="24"/>
      <c r="AC533" s="24"/>
      <c r="AD533" s="24"/>
      <c r="AE533" s="24"/>
      <c r="AF533" s="24"/>
      <c r="AG533" s="24"/>
      <c r="AH533" s="24">
        <v>30</v>
      </c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</row>
    <row r="534" s="58" customFormat="1" ht="22.5" hidden="1" customHeight="1" spans="1:54">
      <c r="A534" s="18"/>
      <c r="B534" s="24"/>
      <c r="C534" s="25" t="s">
        <v>13</v>
      </c>
      <c r="D534" s="24"/>
      <c r="E534" s="24">
        <v>0</v>
      </c>
      <c r="F534" s="74">
        <f ca="1">SUMIF(I$3:$BB533,"入库",I534:$BB534)</f>
        <v>15</v>
      </c>
      <c r="G534" s="24">
        <f ca="1">SUMIF(J$3:$BB533,"出库",J534:$BB534)</f>
        <v>0</v>
      </c>
      <c r="H534" s="27">
        <f ca="1" t="shared" si="11"/>
        <v>15</v>
      </c>
      <c r="I534" s="24"/>
      <c r="J534" s="24"/>
      <c r="K534" s="24"/>
      <c r="L534" s="24"/>
      <c r="M534" s="24">
        <v>15</v>
      </c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</row>
    <row r="535" s="58" customFormat="1" ht="22.5" hidden="1" customHeight="1" spans="1:54">
      <c r="A535" s="19"/>
      <c r="B535" s="24"/>
      <c r="C535" s="24" t="s">
        <v>14</v>
      </c>
      <c r="D535" s="24"/>
      <c r="E535" s="24">
        <v>0</v>
      </c>
      <c r="F535" s="74">
        <f ca="1">SUMIF(I$3:$BB534,"入库",I535:$BB535)</f>
        <v>170</v>
      </c>
      <c r="G535" s="24">
        <f ca="1">SUMIF(J$3:$BB534,"出库",J535:$BB535)</f>
        <v>0</v>
      </c>
      <c r="H535" s="27">
        <f ca="1" t="shared" si="11"/>
        <v>170</v>
      </c>
      <c r="I535" s="24"/>
      <c r="J535" s="24"/>
      <c r="K535" s="24"/>
      <c r="L535" s="24"/>
      <c r="M535" s="24">
        <v>170</v>
      </c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</row>
    <row r="536" s="58" customFormat="1" ht="39" hidden="1" customHeight="1" spans="1:54">
      <c r="A536" s="72">
        <v>177</v>
      </c>
      <c r="B536" s="24" t="s">
        <v>194</v>
      </c>
      <c r="C536" s="73" t="s">
        <v>12</v>
      </c>
      <c r="D536" s="24"/>
      <c r="E536" s="24">
        <v>0</v>
      </c>
      <c r="F536" s="74">
        <f ca="1">SUMIF(I$3:$BB535,"入库",I536:$BB536)</f>
        <v>1200</v>
      </c>
      <c r="G536" s="24">
        <f ca="1">SUMIF(J$3:$BB535,"出库",J536:$BB536)</f>
        <v>0</v>
      </c>
      <c r="H536" s="27">
        <f ca="1" t="shared" si="11"/>
        <v>1200</v>
      </c>
      <c r="I536" s="24"/>
      <c r="J536" s="24"/>
      <c r="K536" s="24">
        <v>1200</v>
      </c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</row>
    <row r="537" s="58" customFormat="1" ht="22.5" hidden="1" customHeight="1" spans="1:54">
      <c r="A537" s="18"/>
      <c r="B537" s="24"/>
      <c r="C537" s="25" t="s">
        <v>13</v>
      </c>
      <c r="D537" s="24"/>
      <c r="E537" s="24">
        <v>0</v>
      </c>
      <c r="F537" s="74">
        <f ca="1">SUMIF(I$3:$BB536,"入库",I537:$BB537)</f>
        <v>0</v>
      </c>
      <c r="G537" s="24">
        <f ca="1">SUMIF(J$3:$BB536,"出库",J537:$BB537)</f>
        <v>0</v>
      </c>
      <c r="H537" s="27">
        <f ca="1" t="shared" si="11"/>
        <v>0</v>
      </c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</row>
    <row r="538" s="58" customFormat="1" ht="22.5" hidden="1" customHeight="1" spans="1:54">
      <c r="A538" s="19"/>
      <c r="B538" s="24"/>
      <c r="C538" s="24" t="s">
        <v>14</v>
      </c>
      <c r="D538" s="24"/>
      <c r="E538" s="24">
        <v>0</v>
      </c>
      <c r="F538" s="74">
        <f ca="1">SUMIF(I$3:$BB537,"入库",I538:$BB538)</f>
        <v>0</v>
      </c>
      <c r="G538" s="24">
        <f ca="1">SUMIF(J$3:$BB537,"出库",J538:$BB538)</f>
        <v>0</v>
      </c>
      <c r="H538" s="27">
        <f ca="1" t="shared" si="11"/>
        <v>0</v>
      </c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</row>
    <row r="539" s="58" customFormat="1" ht="22.5" hidden="1" customHeight="1" spans="1:54">
      <c r="A539" s="72">
        <v>178</v>
      </c>
      <c r="B539" s="24" t="s">
        <v>195</v>
      </c>
      <c r="C539" s="73" t="s">
        <v>12</v>
      </c>
      <c r="D539" s="24"/>
      <c r="E539" s="24">
        <v>0</v>
      </c>
      <c r="F539" s="74">
        <f ca="1">SUMIF(I$3:$BB538,"入库",I539:$BB539)</f>
        <v>700</v>
      </c>
      <c r="G539" s="24">
        <f ca="1">SUMIF(J$3:$BB538,"出库",J539:$BB539)</f>
        <v>300</v>
      </c>
      <c r="H539" s="27">
        <f ca="1" t="shared" si="11"/>
        <v>400</v>
      </c>
      <c r="I539" s="24"/>
      <c r="J539" s="24"/>
      <c r="K539" s="24">
        <v>700</v>
      </c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>
        <v>300</v>
      </c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</row>
    <row r="540" s="58" customFormat="1" ht="22.5" hidden="1" customHeight="1" spans="1:54">
      <c r="A540" s="18"/>
      <c r="B540" s="24"/>
      <c r="C540" s="25" t="s">
        <v>13</v>
      </c>
      <c r="D540" s="24"/>
      <c r="E540" s="24">
        <v>0</v>
      </c>
      <c r="F540" s="74">
        <f ca="1">SUMIF(I$3:$BB539,"入库",I540:$BB540)</f>
        <v>120</v>
      </c>
      <c r="G540" s="24">
        <f ca="1">SUMIF(J$3:$BB539,"出库",J540:$BB540)</f>
        <v>0</v>
      </c>
      <c r="H540" s="27">
        <f ca="1" t="shared" si="11"/>
        <v>120</v>
      </c>
      <c r="I540" s="24"/>
      <c r="J540" s="24"/>
      <c r="K540" s="24">
        <v>120</v>
      </c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</row>
    <row r="541" s="58" customFormat="1" ht="22.5" hidden="1" customHeight="1" spans="1:54">
      <c r="A541" s="19"/>
      <c r="B541" s="24"/>
      <c r="C541" s="24" t="s">
        <v>14</v>
      </c>
      <c r="D541" s="24"/>
      <c r="E541" s="24">
        <v>0</v>
      </c>
      <c r="F541" s="74">
        <f ca="1">SUMIF(I$3:$BB540,"入库",I541:$BB541)</f>
        <v>30</v>
      </c>
      <c r="G541" s="24">
        <f ca="1">SUMIF(J$3:$BB540,"出库",J541:$BB541)</f>
        <v>0</v>
      </c>
      <c r="H541" s="27">
        <f ca="1" t="shared" si="11"/>
        <v>30</v>
      </c>
      <c r="I541" s="24"/>
      <c r="J541" s="24"/>
      <c r="K541" s="24">
        <v>30</v>
      </c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</row>
    <row r="542" s="58" customFormat="1" ht="22.5" hidden="1" customHeight="1" spans="1:54">
      <c r="A542" s="72">
        <v>179</v>
      </c>
      <c r="B542" s="24" t="s">
        <v>196</v>
      </c>
      <c r="C542" s="73" t="s">
        <v>12</v>
      </c>
      <c r="D542" s="24"/>
      <c r="E542" s="24">
        <v>0</v>
      </c>
      <c r="F542" s="74">
        <f ca="1">SUMIF(I$3:$BB541,"入库",I542:$BB542)</f>
        <v>600</v>
      </c>
      <c r="G542" s="24">
        <f ca="1">SUMIF(J$3:$BB541,"出库",J542:$BB542)</f>
        <v>0</v>
      </c>
      <c r="H542" s="27">
        <f ca="1" t="shared" si="11"/>
        <v>600</v>
      </c>
      <c r="I542" s="24"/>
      <c r="J542" s="24"/>
      <c r="K542" s="24">
        <v>600</v>
      </c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</row>
    <row r="543" s="58" customFormat="1" ht="22.5" hidden="1" customHeight="1" spans="1:54">
      <c r="A543" s="18"/>
      <c r="B543" s="24"/>
      <c r="C543" s="25" t="s">
        <v>13</v>
      </c>
      <c r="D543" s="24"/>
      <c r="E543" s="24">
        <v>0</v>
      </c>
      <c r="F543" s="74">
        <f ca="1">SUMIF(I$3:$BB542,"入库",I543:$BB543)</f>
        <v>80</v>
      </c>
      <c r="G543" s="24">
        <f ca="1">SUMIF(J$3:$BB542,"出库",J543:$BB543)</f>
        <v>0</v>
      </c>
      <c r="H543" s="27">
        <f ca="1" t="shared" si="11"/>
        <v>80</v>
      </c>
      <c r="I543" s="24"/>
      <c r="J543" s="24"/>
      <c r="K543" s="24">
        <v>80</v>
      </c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</row>
    <row r="544" s="58" customFormat="1" ht="22.5" hidden="1" customHeight="1" spans="1:54">
      <c r="A544" s="19"/>
      <c r="B544" s="24"/>
      <c r="C544" s="24" t="s">
        <v>14</v>
      </c>
      <c r="D544" s="24"/>
      <c r="E544" s="24">
        <v>0</v>
      </c>
      <c r="F544" s="74">
        <f ca="1">SUMIF(I$3:$BB543,"入库",I544:$BB544)</f>
        <v>5</v>
      </c>
      <c r="G544" s="24">
        <f ca="1">SUMIF(J$3:$BB543,"出库",J544:$BB544)</f>
        <v>0</v>
      </c>
      <c r="H544" s="27">
        <f ca="1" t="shared" si="11"/>
        <v>5</v>
      </c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>
        <v>5</v>
      </c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</row>
    <row r="545" s="58" customFormat="1" ht="22.5" hidden="1" customHeight="1" spans="1:54">
      <c r="A545" s="72">
        <v>180</v>
      </c>
      <c r="B545" s="24" t="s">
        <v>197</v>
      </c>
      <c r="C545" s="73" t="s">
        <v>12</v>
      </c>
      <c r="D545" s="24"/>
      <c r="E545" s="24">
        <v>0</v>
      </c>
      <c r="F545" s="74">
        <f ca="1">SUMIF(I$3:$BB544,"入库",I545:$BB545)</f>
        <v>200</v>
      </c>
      <c r="G545" s="24">
        <f ca="1">SUMIF(J$3:$BB544,"出库",J545:$BB545)</f>
        <v>100</v>
      </c>
      <c r="H545" s="27">
        <f ca="1" t="shared" si="11"/>
        <v>100</v>
      </c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>
        <v>200</v>
      </c>
      <c r="AD545" s="24"/>
      <c r="AE545" s="24"/>
      <c r="AF545" s="24"/>
      <c r="AG545" s="24"/>
      <c r="AH545" s="24">
        <v>100</v>
      </c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</row>
    <row r="546" s="58" customFormat="1" ht="22.5" hidden="1" customHeight="1" spans="1:54">
      <c r="A546" s="18"/>
      <c r="B546" s="24"/>
      <c r="C546" s="25" t="s">
        <v>13</v>
      </c>
      <c r="D546" s="24"/>
      <c r="E546" s="24">
        <v>0</v>
      </c>
      <c r="F546" s="74">
        <f ca="1">SUMIF(I$3:$BB545,"入库",I546:$BB546)</f>
        <v>950</v>
      </c>
      <c r="G546" s="24">
        <f ca="1">SUMIF(J$3:$BB545,"出库",J546:$BB546)</f>
        <v>0</v>
      </c>
      <c r="H546" s="27">
        <f ca="1" t="shared" si="11"/>
        <v>950</v>
      </c>
      <c r="I546" s="24">
        <v>950</v>
      </c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</row>
    <row r="547" s="58" customFormat="1" ht="22.5" hidden="1" customHeight="1" spans="1:54">
      <c r="A547" s="19"/>
      <c r="B547" s="24"/>
      <c r="C547" s="24" t="s">
        <v>14</v>
      </c>
      <c r="D547" s="24"/>
      <c r="E547" s="24">
        <v>0</v>
      </c>
      <c r="F547" s="74">
        <f ca="1">SUMIF(I$3:$BB546,"入库",I547:$BB547)</f>
        <v>0</v>
      </c>
      <c r="G547" s="24">
        <f ca="1">SUMIF(J$3:$BB546,"出库",J547:$BB547)</f>
        <v>0</v>
      </c>
      <c r="H547" s="27">
        <v>350</v>
      </c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</row>
    <row r="548" s="58" customFormat="1" ht="22.5" hidden="1" customHeight="1" spans="1:54">
      <c r="A548" s="72">
        <v>181</v>
      </c>
      <c r="B548" s="24" t="s">
        <v>198</v>
      </c>
      <c r="C548" s="73" t="s">
        <v>12</v>
      </c>
      <c r="D548" s="24"/>
      <c r="E548" s="24">
        <v>0</v>
      </c>
      <c r="F548" s="74">
        <f ca="1">SUMIF(I$3:$BB547,"入库",I548:$BB548)</f>
        <v>80</v>
      </c>
      <c r="G548" s="24">
        <f ca="1">SUMIF(J$3:$BB547,"出库",J548:$BB548)</f>
        <v>0</v>
      </c>
      <c r="H548" s="27">
        <f ca="1" t="shared" ref="H547:H610" si="12">E548+F548-G548</f>
        <v>80</v>
      </c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>
        <v>80</v>
      </c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</row>
    <row r="549" s="58" customFormat="1" ht="22.5" hidden="1" customHeight="1" spans="1:54">
      <c r="A549" s="18"/>
      <c r="B549" s="24"/>
      <c r="C549" s="25" t="s">
        <v>13</v>
      </c>
      <c r="D549" s="24"/>
      <c r="E549" s="24">
        <v>0</v>
      </c>
      <c r="F549" s="74">
        <f ca="1">SUMIF(I$3:$BB548,"入库",I549:$BB549)</f>
        <v>20</v>
      </c>
      <c r="G549" s="24">
        <f ca="1">SUMIF(J$3:$BB548,"出库",J549:$BB549)</f>
        <v>0</v>
      </c>
      <c r="H549" s="27">
        <f ca="1" t="shared" si="12"/>
        <v>20</v>
      </c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>
        <v>20</v>
      </c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</row>
    <row r="550" s="58" customFormat="1" ht="22.5" hidden="1" customHeight="1" spans="1:54">
      <c r="A550" s="19"/>
      <c r="B550" s="24"/>
      <c r="C550" s="24" t="s">
        <v>14</v>
      </c>
      <c r="D550" s="24"/>
      <c r="E550" s="24">
        <v>0</v>
      </c>
      <c r="F550" s="74">
        <f ca="1">SUMIF(I$3:$BB549,"入库",I550:$BB550)</f>
        <v>60</v>
      </c>
      <c r="G550" s="24">
        <f ca="1">SUMIF(J$3:$BB549,"出库",J550:$BB550)</f>
        <v>0</v>
      </c>
      <c r="H550" s="27">
        <f ca="1" t="shared" si="12"/>
        <v>60</v>
      </c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>
        <v>60</v>
      </c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</row>
    <row r="551" s="58" customFormat="1" ht="39" hidden="1" customHeight="1" spans="1:54">
      <c r="A551" s="72">
        <v>182</v>
      </c>
      <c r="B551" s="24" t="s">
        <v>199</v>
      </c>
      <c r="C551" s="73" t="s">
        <v>12</v>
      </c>
      <c r="D551" s="24"/>
      <c r="E551" s="24">
        <v>0</v>
      </c>
      <c r="F551" s="74">
        <f ca="1">SUMIF(I$3:$BB550,"入库",I551:$BB551)</f>
        <v>2050</v>
      </c>
      <c r="G551" s="24">
        <f ca="1">SUMIF(J$3:$BB550,"出库",J551:$BB551)</f>
        <v>0</v>
      </c>
      <c r="H551" s="27">
        <f ca="1" t="shared" si="12"/>
        <v>2050</v>
      </c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>
        <v>2050</v>
      </c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</row>
    <row r="552" s="58" customFormat="1" ht="22.5" hidden="1" customHeight="1" spans="1:54">
      <c r="A552" s="18"/>
      <c r="B552" s="24"/>
      <c r="C552" s="25" t="s">
        <v>13</v>
      </c>
      <c r="D552" s="24"/>
      <c r="E552" s="24">
        <v>0</v>
      </c>
      <c r="F552" s="74">
        <f ca="1">SUMIF(I$3:$BB551,"入库",I552:$BB552)</f>
        <v>0</v>
      </c>
      <c r="G552" s="24">
        <f ca="1">SUMIF(J$3:$BB551,"出库",J552:$BB552)</f>
        <v>0</v>
      </c>
      <c r="H552" s="27">
        <f ca="1" t="shared" si="12"/>
        <v>0</v>
      </c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</row>
    <row r="553" s="58" customFormat="1" ht="22.5" hidden="1" customHeight="1" spans="1:54">
      <c r="A553" s="19"/>
      <c r="B553" s="24"/>
      <c r="C553" s="24" t="s">
        <v>14</v>
      </c>
      <c r="D553" s="24"/>
      <c r="E553" s="24">
        <v>0</v>
      </c>
      <c r="F553" s="74">
        <f ca="1">SUMIF(I$3:$BB552,"入库",I553:$BB553)</f>
        <v>100</v>
      </c>
      <c r="G553" s="24">
        <f ca="1">SUMIF(J$3:$BB552,"出库",J553:$BB553)</f>
        <v>0</v>
      </c>
      <c r="H553" s="27">
        <f ca="1" t="shared" si="12"/>
        <v>100</v>
      </c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>
        <v>100</v>
      </c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</row>
    <row r="554" s="58" customFormat="1" ht="22.5" hidden="1" customHeight="1" spans="1:54">
      <c r="A554" s="72">
        <v>183</v>
      </c>
      <c r="B554" s="24" t="s">
        <v>200</v>
      </c>
      <c r="C554" s="73" t="s">
        <v>12</v>
      </c>
      <c r="D554" s="24"/>
      <c r="E554" s="24">
        <v>0</v>
      </c>
      <c r="F554" s="74">
        <f ca="1">SUMIF(I$3:$BB553,"入库",I554:$BB554)</f>
        <v>450</v>
      </c>
      <c r="G554" s="24">
        <f ca="1">SUMIF(J$3:$BB553,"出库",J554:$BB554)</f>
        <v>0</v>
      </c>
      <c r="H554" s="27">
        <f ca="1" t="shared" si="12"/>
        <v>450</v>
      </c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>
        <v>450</v>
      </c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</row>
    <row r="555" s="58" customFormat="1" ht="22.5" hidden="1" customHeight="1" spans="1:54">
      <c r="A555" s="18"/>
      <c r="B555" s="24"/>
      <c r="C555" s="25" t="s">
        <v>13</v>
      </c>
      <c r="D555" s="24"/>
      <c r="E555" s="24">
        <v>0</v>
      </c>
      <c r="F555" s="74">
        <f ca="1">SUMIF(I$3:$BB554,"入库",I555:$BB555)</f>
        <v>90</v>
      </c>
      <c r="G555" s="24">
        <f ca="1">SUMIF(J$3:$BB554,"出库",J555:$BB555)</f>
        <v>0</v>
      </c>
      <c r="H555" s="27">
        <f ca="1" t="shared" si="12"/>
        <v>90</v>
      </c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>
        <v>90</v>
      </c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</row>
    <row r="556" s="58" customFormat="1" ht="22.5" hidden="1" customHeight="1" spans="1:54">
      <c r="A556" s="19"/>
      <c r="B556" s="24"/>
      <c r="C556" s="24" t="s">
        <v>14</v>
      </c>
      <c r="D556" s="24"/>
      <c r="E556" s="24">
        <v>0</v>
      </c>
      <c r="F556" s="74">
        <f ca="1">SUMIF(I$3:$BB555,"入库",I556:$BB556)</f>
        <v>0</v>
      </c>
      <c r="G556" s="24">
        <f ca="1">SUMIF(J$3:$BB555,"出库",J556:$BB556)</f>
        <v>0</v>
      </c>
      <c r="H556" s="27">
        <f ca="1" t="shared" si="12"/>
        <v>0</v>
      </c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</row>
    <row r="557" s="58" customFormat="1" ht="39" hidden="1" customHeight="1" spans="1:54">
      <c r="A557" s="72">
        <v>184</v>
      </c>
      <c r="B557" s="24" t="s">
        <v>201</v>
      </c>
      <c r="C557" s="73" t="s">
        <v>12</v>
      </c>
      <c r="D557" s="24"/>
      <c r="E557" s="24">
        <v>0</v>
      </c>
      <c r="F557" s="74">
        <f ca="1">SUMIF(I$3:$BB556,"入库",I557:$BB557)</f>
        <v>1450</v>
      </c>
      <c r="G557" s="24">
        <f ca="1">SUMIF(J$3:$BB556,"出库",J557:$BB557)</f>
        <v>0</v>
      </c>
      <c r="H557" s="27">
        <f ca="1" t="shared" si="12"/>
        <v>1450</v>
      </c>
      <c r="I557" s="24"/>
      <c r="J557" s="24"/>
      <c r="K557" s="24"/>
      <c r="L557" s="24"/>
      <c r="M557" s="24">
        <v>1450</v>
      </c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</row>
    <row r="558" s="58" customFormat="1" ht="39" hidden="1" customHeight="1" spans="1:54">
      <c r="A558" s="18"/>
      <c r="B558" s="24"/>
      <c r="C558" s="25" t="s">
        <v>13</v>
      </c>
      <c r="D558" s="24"/>
      <c r="E558" s="24">
        <v>0</v>
      </c>
      <c r="F558" s="74">
        <f ca="1">SUMIF(I$3:$BB557,"入库",I558:$BB558)</f>
        <v>1200</v>
      </c>
      <c r="G558" s="24">
        <f ca="1">SUMIF(J$3:$BB557,"出库",J558:$BB558)</f>
        <v>0</v>
      </c>
      <c r="H558" s="27">
        <f ca="1" t="shared" si="12"/>
        <v>1200</v>
      </c>
      <c r="I558" s="24"/>
      <c r="J558" s="24"/>
      <c r="K558" s="24"/>
      <c r="L558" s="24"/>
      <c r="M558" s="24">
        <v>1200</v>
      </c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</row>
    <row r="559" s="58" customFormat="1" ht="22.5" hidden="1" customHeight="1" spans="1:54">
      <c r="A559" s="19"/>
      <c r="B559" s="24"/>
      <c r="C559" s="24" t="s">
        <v>14</v>
      </c>
      <c r="D559" s="24"/>
      <c r="E559" s="24">
        <v>0</v>
      </c>
      <c r="F559" s="74">
        <f ca="1">SUMIF(I$3:$BB558,"入库",I559:$BB559)</f>
        <v>0</v>
      </c>
      <c r="G559" s="24">
        <f ca="1">SUMIF(J$3:$BB558,"出库",J559:$BB559)</f>
        <v>0</v>
      </c>
      <c r="H559" s="27">
        <f ca="1" t="shared" si="12"/>
        <v>0</v>
      </c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</row>
    <row r="560" s="58" customFormat="1" ht="22.5" hidden="1" customHeight="1" spans="1:54">
      <c r="A560" s="72">
        <v>185</v>
      </c>
      <c r="B560" s="24" t="s">
        <v>202</v>
      </c>
      <c r="C560" s="73" t="s">
        <v>12</v>
      </c>
      <c r="D560" s="24"/>
      <c r="E560" s="24">
        <v>0</v>
      </c>
      <c r="F560" s="74">
        <f ca="1">SUMIF(I$3:$BB559,"入库",I560:$BB560)</f>
        <v>600</v>
      </c>
      <c r="G560" s="24">
        <f ca="1">SUMIF(J$3:$BB559,"出库",J560:$BB560)</f>
        <v>230</v>
      </c>
      <c r="H560" s="27">
        <f ca="1" t="shared" si="12"/>
        <v>370</v>
      </c>
      <c r="I560" s="24"/>
      <c r="J560" s="24"/>
      <c r="K560" s="24"/>
      <c r="L560" s="24"/>
      <c r="M560" s="24">
        <v>600</v>
      </c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>
        <v>200</v>
      </c>
      <c r="AC560" s="24"/>
      <c r="AD560" s="24">
        <v>30</v>
      </c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</row>
    <row r="561" s="58" customFormat="1" ht="22.5" hidden="1" customHeight="1" spans="1:54">
      <c r="A561" s="18"/>
      <c r="B561" s="24"/>
      <c r="C561" s="25" t="s">
        <v>13</v>
      </c>
      <c r="D561" s="24"/>
      <c r="E561" s="24">
        <v>0</v>
      </c>
      <c r="F561" s="74">
        <f ca="1">SUMIF(I$3:$BB560,"入库",I561:$BB561)</f>
        <v>0</v>
      </c>
      <c r="G561" s="24">
        <f ca="1">SUMIF(J$3:$BB560,"出库",J561:$BB561)</f>
        <v>0</v>
      </c>
      <c r="H561" s="27">
        <f ca="1" t="shared" si="12"/>
        <v>0</v>
      </c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</row>
    <row r="562" s="58" customFormat="1" ht="22.5" hidden="1" customHeight="1" spans="1:54">
      <c r="A562" s="19"/>
      <c r="B562" s="24"/>
      <c r="C562" s="24" t="s">
        <v>14</v>
      </c>
      <c r="D562" s="24"/>
      <c r="E562" s="24">
        <v>0</v>
      </c>
      <c r="F562" s="74">
        <f ca="1">SUMIF(I$3:$BB561,"入库",I562:$BB562)</f>
        <v>20</v>
      </c>
      <c r="G562" s="24">
        <f ca="1">SUMIF(J$3:$BB561,"出库",J562:$BB562)</f>
        <v>0</v>
      </c>
      <c r="H562" s="27">
        <f ca="1" t="shared" si="12"/>
        <v>20</v>
      </c>
      <c r="I562" s="24"/>
      <c r="J562" s="24"/>
      <c r="K562" s="24"/>
      <c r="L562" s="24"/>
      <c r="M562" s="24">
        <v>20</v>
      </c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</row>
    <row r="563" s="58" customFormat="1" ht="39" hidden="1" customHeight="1" spans="1:54">
      <c r="A563" s="72">
        <v>186</v>
      </c>
      <c r="B563" s="24" t="s">
        <v>203</v>
      </c>
      <c r="C563" s="73" t="s">
        <v>12</v>
      </c>
      <c r="D563" s="24"/>
      <c r="E563" s="24">
        <v>0</v>
      </c>
      <c r="F563" s="74">
        <f ca="1">SUMIF(I$3:$BB562,"入库",I563:$BB563)</f>
        <v>1350</v>
      </c>
      <c r="G563" s="24">
        <f ca="1">SUMIF(J$3:$BB562,"出库",J563:$BB563)</f>
        <v>40</v>
      </c>
      <c r="H563" s="27">
        <f ca="1" t="shared" si="12"/>
        <v>1310</v>
      </c>
      <c r="I563" s="24"/>
      <c r="J563" s="24"/>
      <c r="K563" s="24">
        <v>1350</v>
      </c>
      <c r="L563" s="24"/>
      <c r="M563" s="24"/>
      <c r="N563" s="24"/>
      <c r="O563" s="24"/>
      <c r="P563" s="24">
        <v>40</v>
      </c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</row>
    <row r="564" s="58" customFormat="1" ht="22.5" hidden="1" customHeight="1" spans="1:54">
      <c r="A564" s="18"/>
      <c r="B564" s="24"/>
      <c r="C564" s="25" t="s">
        <v>13</v>
      </c>
      <c r="D564" s="24"/>
      <c r="E564" s="24">
        <v>0</v>
      </c>
      <c r="F564" s="74">
        <f ca="1">SUMIF(I$3:$BB563,"入库",I564:$BB564)</f>
        <v>70</v>
      </c>
      <c r="G564" s="24">
        <f ca="1">SUMIF(J$3:$BB563,"出库",J564:$BB564)</f>
        <v>0</v>
      </c>
      <c r="H564" s="27">
        <f ca="1" t="shared" si="12"/>
        <v>70</v>
      </c>
      <c r="I564" s="24"/>
      <c r="J564" s="24"/>
      <c r="K564" s="24">
        <v>70</v>
      </c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</row>
    <row r="565" s="58" customFormat="1" ht="22.5" hidden="1" customHeight="1" spans="1:54">
      <c r="A565" s="19"/>
      <c r="B565" s="24"/>
      <c r="C565" s="24" t="s">
        <v>14</v>
      </c>
      <c r="D565" s="24"/>
      <c r="E565" s="24">
        <v>0</v>
      </c>
      <c r="F565" s="74">
        <f ca="1">SUMIF(I$3:$BB564,"入库",I565:$BB565)</f>
        <v>150</v>
      </c>
      <c r="G565" s="24">
        <f ca="1">SUMIF(J$3:$BB564,"出库",J565:$BB565)</f>
        <v>0</v>
      </c>
      <c r="H565" s="27">
        <f ca="1" t="shared" si="12"/>
        <v>150</v>
      </c>
      <c r="I565" s="24"/>
      <c r="J565" s="24"/>
      <c r="K565" s="24">
        <v>150</v>
      </c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</row>
    <row r="566" s="58" customFormat="1" ht="39" hidden="1" customHeight="1" spans="1:54">
      <c r="A566" s="72">
        <v>187</v>
      </c>
      <c r="B566" s="24" t="s">
        <v>204</v>
      </c>
      <c r="C566" s="73" t="s">
        <v>12</v>
      </c>
      <c r="D566" s="24"/>
      <c r="E566" s="24">
        <v>0</v>
      </c>
      <c r="F566" s="74">
        <f ca="1">SUMIF(I$3:$BB565,"入库",I566:$BB566)</f>
        <v>1300</v>
      </c>
      <c r="G566" s="24">
        <f ca="1">SUMIF(J$3:$BB565,"出库",J566:$BB566)</f>
        <v>503</v>
      </c>
      <c r="H566" s="27">
        <f ca="1" t="shared" si="12"/>
        <v>797</v>
      </c>
      <c r="I566" s="24"/>
      <c r="J566" s="24"/>
      <c r="K566" s="24">
        <v>1300</v>
      </c>
      <c r="L566" s="24"/>
      <c r="M566" s="24"/>
      <c r="N566" s="24"/>
      <c r="O566" s="24"/>
      <c r="P566" s="24"/>
      <c r="Q566" s="24"/>
      <c r="R566" s="24"/>
      <c r="S566" s="24"/>
      <c r="T566" s="24">
        <v>330</v>
      </c>
      <c r="U566" s="24"/>
      <c r="V566" s="24">
        <v>75</v>
      </c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>
        <v>48</v>
      </c>
      <c r="AI566" s="24"/>
      <c r="AJ566" s="24">
        <v>50</v>
      </c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</row>
    <row r="567" s="58" customFormat="1" ht="22.5" hidden="1" customHeight="1" spans="1:54">
      <c r="A567" s="18"/>
      <c r="B567" s="24"/>
      <c r="C567" s="25" t="s">
        <v>13</v>
      </c>
      <c r="D567" s="24"/>
      <c r="E567" s="24">
        <v>0</v>
      </c>
      <c r="F567" s="74">
        <f ca="1">SUMIF(I$3:$BB566,"入库",I567:$BB567)</f>
        <v>70</v>
      </c>
      <c r="G567" s="24">
        <f ca="1">SUMIF(J$3:$BB566,"出库",J567:$BB567)</f>
        <v>0</v>
      </c>
      <c r="H567" s="27">
        <f ca="1" t="shared" si="12"/>
        <v>70</v>
      </c>
      <c r="I567" s="24"/>
      <c r="J567" s="24"/>
      <c r="K567" s="24">
        <v>70</v>
      </c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</row>
    <row r="568" s="58" customFormat="1" ht="22.5" hidden="1" customHeight="1" spans="1:54">
      <c r="A568" s="19"/>
      <c r="B568" s="24"/>
      <c r="C568" s="24" t="s">
        <v>14</v>
      </c>
      <c r="D568" s="24"/>
      <c r="E568" s="24">
        <v>0</v>
      </c>
      <c r="F568" s="74">
        <f ca="1">SUMIF(I$3:$BB567,"入库",I568:$BB568)</f>
        <v>50</v>
      </c>
      <c r="G568" s="24">
        <f ca="1">SUMIF(J$3:$BB567,"出库",J568:$BB568)</f>
        <v>0</v>
      </c>
      <c r="H568" s="27">
        <f ca="1" t="shared" si="12"/>
        <v>50</v>
      </c>
      <c r="I568" s="24"/>
      <c r="J568" s="24"/>
      <c r="K568" s="24">
        <v>50</v>
      </c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</row>
    <row r="569" s="58" customFormat="1" ht="22.5" hidden="1" customHeight="1" spans="1:54">
      <c r="A569" s="72">
        <v>188</v>
      </c>
      <c r="B569" s="24" t="s">
        <v>205</v>
      </c>
      <c r="C569" s="73" t="s">
        <v>12</v>
      </c>
      <c r="D569" s="24"/>
      <c r="E569" s="24">
        <v>0</v>
      </c>
      <c r="F569" s="74">
        <f ca="1">SUMIF(I$3:$BB568,"入库",I569:$BB569)</f>
        <v>700</v>
      </c>
      <c r="G569" s="24">
        <f ca="1">SUMIF(J$3:$BB568,"出库",J569:$BB569)</f>
        <v>32</v>
      </c>
      <c r="H569" s="27">
        <f ca="1" t="shared" si="12"/>
        <v>668</v>
      </c>
      <c r="I569" s="24"/>
      <c r="J569" s="24"/>
      <c r="K569" s="24">
        <v>700</v>
      </c>
      <c r="L569" s="24"/>
      <c r="M569" s="24"/>
      <c r="N569" s="24"/>
      <c r="O569" s="24"/>
      <c r="P569" s="24">
        <v>32</v>
      </c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</row>
    <row r="570" s="58" customFormat="1" ht="22.5" hidden="1" customHeight="1" spans="1:54">
      <c r="A570" s="18"/>
      <c r="B570" s="24"/>
      <c r="C570" s="25" t="s">
        <v>13</v>
      </c>
      <c r="D570" s="24"/>
      <c r="E570" s="24">
        <v>0</v>
      </c>
      <c r="F570" s="74">
        <f ca="1">SUMIF(I$3:$BB569,"入库",I570:$BB570)</f>
        <v>20</v>
      </c>
      <c r="G570" s="24">
        <f ca="1">SUMIF(J$3:$BB569,"出库",J570:$BB570)</f>
        <v>0</v>
      </c>
      <c r="H570" s="27">
        <f ca="1" t="shared" si="12"/>
        <v>20</v>
      </c>
      <c r="I570" s="24"/>
      <c r="J570" s="24"/>
      <c r="K570" s="24">
        <v>20</v>
      </c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</row>
    <row r="571" s="58" customFormat="1" ht="22.5" hidden="1" customHeight="1" spans="1:54">
      <c r="A571" s="19"/>
      <c r="B571" s="24"/>
      <c r="C571" s="24" t="s">
        <v>14</v>
      </c>
      <c r="D571" s="24"/>
      <c r="E571" s="24">
        <v>0</v>
      </c>
      <c r="F571" s="74">
        <f ca="1">SUMIF(I$3:$BB570,"入库",I571:$BB571)</f>
        <v>9</v>
      </c>
      <c r="G571" s="24">
        <f ca="1">SUMIF(J$3:$BB570,"出库",J571:$BB571)</f>
        <v>0</v>
      </c>
      <c r="H571" s="27">
        <f ca="1" t="shared" si="12"/>
        <v>9</v>
      </c>
      <c r="I571" s="24"/>
      <c r="J571" s="24"/>
      <c r="K571" s="24">
        <v>9</v>
      </c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</row>
    <row r="572" s="58" customFormat="1" ht="22.5" hidden="1" customHeight="1" spans="1:54">
      <c r="A572" s="72">
        <v>189</v>
      </c>
      <c r="B572" s="24" t="s">
        <v>206</v>
      </c>
      <c r="C572" s="73" t="s">
        <v>12</v>
      </c>
      <c r="D572" s="24"/>
      <c r="E572" s="24">
        <v>0</v>
      </c>
      <c r="F572" s="74">
        <f ca="1">SUMIF(I$3:$BB571,"入库",I572:$BB572)</f>
        <v>0</v>
      </c>
      <c r="G572" s="24">
        <f ca="1">SUMIF(J$3:$BB571,"出库",J572:$BB572)</f>
        <v>0</v>
      </c>
      <c r="H572" s="27">
        <f ca="1" t="shared" si="12"/>
        <v>0</v>
      </c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</row>
    <row r="573" s="58" customFormat="1" ht="22.5" hidden="1" customHeight="1" spans="1:54">
      <c r="A573" s="18"/>
      <c r="B573" s="24"/>
      <c r="C573" s="25" t="s">
        <v>13</v>
      </c>
      <c r="D573" s="24"/>
      <c r="E573" s="24">
        <v>0</v>
      </c>
      <c r="F573" s="74">
        <f ca="1">SUMIF(I$3:$BB572,"入库",I573:$BB573)</f>
        <v>25</v>
      </c>
      <c r="G573" s="24">
        <f ca="1">SUMIF(J$3:$BB572,"出库",J573:$BB573)</f>
        <v>0</v>
      </c>
      <c r="H573" s="27">
        <f ca="1" t="shared" si="12"/>
        <v>25</v>
      </c>
      <c r="I573" s="24">
        <v>25</v>
      </c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</row>
    <row r="574" s="58" customFormat="1" ht="22.5" hidden="1" customHeight="1" spans="1:54">
      <c r="A574" s="19"/>
      <c r="B574" s="24"/>
      <c r="C574" s="24" t="s">
        <v>14</v>
      </c>
      <c r="D574" s="24"/>
      <c r="E574" s="24">
        <v>0</v>
      </c>
      <c r="F574" s="74">
        <f ca="1">SUMIF(I$3:$BB573,"入库",I574:$BB574)</f>
        <v>0</v>
      </c>
      <c r="G574" s="24">
        <f ca="1">SUMIF(J$3:$BB573,"出库",J574:$BB574)</f>
        <v>0</v>
      </c>
      <c r="H574" s="27">
        <f ca="1" t="shared" si="12"/>
        <v>0</v>
      </c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</row>
    <row r="575" s="58" customFormat="1" ht="22.5" hidden="1" customHeight="1" spans="1:54">
      <c r="A575" s="72">
        <v>190</v>
      </c>
      <c r="B575" s="24" t="s">
        <v>207</v>
      </c>
      <c r="C575" s="73" t="s">
        <v>12</v>
      </c>
      <c r="D575" s="24"/>
      <c r="E575" s="24">
        <v>0</v>
      </c>
      <c r="F575" s="74">
        <f ca="1">SUMIF(I$3:$BB574,"入库",I575:$BB575)</f>
        <v>30</v>
      </c>
      <c r="G575" s="24">
        <f ca="1">SUMIF(J$3:$BB574,"出库",J575:$BB575)</f>
        <v>0</v>
      </c>
      <c r="H575" s="27">
        <f ca="1" t="shared" si="12"/>
        <v>30</v>
      </c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>
        <v>30</v>
      </c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</row>
    <row r="576" s="58" customFormat="1" ht="22.5" hidden="1" customHeight="1" spans="1:54">
      <c r="A576" s="18"/>
      <c r="B576" s="24"/>
      <c r="C576" s="25" t="s">
        <v>13</v>
      </c>
      <c r="D576" s="24"/>
      <c r="E576" s="24">
        <v>0</v>
      </c>
      <c r="F576" s="74">
        <f ca="1">SUMIF(I$3:$BB575,"入库",I576:$BB576)</f>
        <v>20</v>
      </c>
      <c r="G576" s="24">
        <f ca="1">SUMIF(J$3:$BB575,"出库",J576:$BB576)</f>
        <v>0</v>
      </c>
      <c r="H576" s="27">
        <f ca="1" t="shared" si="12"/>
        <v>20</v>
      </c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>
        <v>20</v>
      </c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</row>
    <row r="577" s="58" customFormat="1" ht="22.5" hidden="1" customHeight="1" spans="1:54">
      <c r="A577" s="19"/>
      <c r="B577" s="24"/>
      <c r="C577" s="24" t="s">
        <v>14</v>
      </c>
      <c r="D577" s="24"/>
      <c r="E577" s="24">
        <v>0</v>
      </c>
      <c r="F577" s="74">
        <f ca="1">SUMIF(I$3:$BB576,"入库",I577:$BB577)</f>
        <v>10</v>
      </c>
      <c r="G577" s="24">
        <f ca="1">SUMIF(J$3:$BB576,"出库",J577:$BB577)</f>
        <v>0</v>
      </c>
      <c r="H577" s="27">
        <f ca="1" t="shared" si="12"/>
        <v>10</v>
      </c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>
        <v>10</v>
      </c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</row>
    <row r="578" s="58" customFormat="1" ht="22.5" hidden="1" customHeight="1" spans="1:54">
      <c r="A578" s="72">
        <v>191</v>
      </c>
      <c r="B578" s="24" t="s">
        <v>208</v>
      </c>
      <c r="C578" s="73" t="s">
        <v>12</v>
      </c>
      <c r="D578" s="24"/>
      <c r="E578" s="24">
        <v>0</v>
      </c>
      <c r="F578" s="74">
        <f ca="1">SUMIF(I$3:$BB577,"入库",I578:$BB578)</f>
        <v>110</v>
      </c>
      <c r="G578" s="24">
        <f ca="1">SUMIF(J$3:$BB577,"出库",J578:$BB578)</f>
        <v>0</v>
      </c>
      <c r="H578" s="27">
        <f ca="1" t="shared" si="12"/>
        <v>110</v>
      </c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>
        <v>110</v>
      </c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</row>
    <row r="579" s="58" customFormat="1" ht="22.5" hidden="1" customHeight="1" spans="1:54">
      <c r="A579" s="18"/>
      <c r="B579" s="24"/>
      <c r="C579" s="25" t="s">
        <v>13</v>
      </c>
      <c r="D579" s="24"/>
      <c r="E579" s="24">
        <v>0</v>
      </c>
      <c r="F579" s="74">
        <f ca="1">SUMIF(I$3:$BB578,"入库",I579:$BB579)</f>
        <v>200</v>
      </c>
      <c r="G579" s="24">
        <f ca="1">SUMIF(J$3:$BB578,"出库",J579:$BB579)</f>
        <v>0</v>
      </c>
      <c r="H579" s="27">
        <f ca="1" t="shared" si="12"/>
        <v>200</v>
      </c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>
        <v>200</v>
      </c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</row>
    <row r="580" s="58" customFormat="1" ht="39" hidden="1" customHeight="1" spans="1:54">
      <c r="A580" s="19"/>
      <c r="B580" s="24"/>
      <c r="C580" s="24" t="s">
        <v>14</v>
      </c>
      <c r="D580" s="24"/>
      <c r="E580" s="24">
        <v>0</v>
      </c>
      <c r="F580" s="74">
        <f ca="1">SUMIF(I$3:$BB579,"入库",I580:$BB580)</f>
        <v>1500</v>
      </c>
      <c r="G580" s="24">
        <f ca="1">SUMIF(J$3:$BB579,"出库",J580:$BB580)</f>
        <v>0</v>
      </c>
      <c r="H580" s="27">
        <f ca="1" t="shared" si="12"/>
        <v>1500</v>
      </c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>
        <v>1500</v>
      </c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</row>
    <row r="581" s="58" customFormat="1" ht="39" hidden="1" customHeight="1" spans="1:54">
      <c r="A581" s="72">
        <v>192</v>
      </c>
      <c r="B581" s="24" t="s">
        <v>209</v>
      </c>
      <c r="C581" s="73" t="s">
        <v>12</v>
      </c>
      <c r="D581" s="24"/>
      <c r="E581" s="24">
        <v>0</v>
      </c>
      <c r="F581" s="74">
        <f ca="1">SUMIF(I$3:$BB580,"入库",I581:$BB581)</f>
        <v>1400</v>
      </c>
      <c r="G581" s="24">
        <f ca="1">SUMIF(J$3:$BB580,"出库",J581:$BB581)</f>
        <v>100</v>
      </c>
      <c r="H581" s="27">
        <f ca="1" t="shared" si="12"/>
        <v>1300</v>
      </c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>
        <v>1400</v>
      </c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>
        <v>100</v>
      </c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</row>
    <row r="582" s="58" customFormat="1" ht="22.5" hidden="1" customHeight="1" spans="1:54">
      <c r="A582" s="18"/>
      <c r="B582" s="24"/>
      <c r="C582" s="25" t="s">
        <v>13</v>
      </c>
      <c r="D582" s="24"/>
      <c r="E582" s="24">
        <v>0</v>
      </c>
      <c r="F582" s="74">
        <f ca="1">SUMIF(I$3:$BB581,"入库",I582:$BB582)</f>
        <v>180</v>
      </c>
      <c r="G582" s="24">
        <f ca="1">SUMIF(J$3:$BB581,"出库",J582:$BB582)</f>
        <v>0</v>
      </c>
      <c r="H582" s="27">
        <f ca="1" t="shared" si="12"/>
        <v>180</v>
      </c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>
        <v>180</v>
      </c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</row>
    <row r="583" s="58" customFormat="1" ht="22.5" hidden="1" customHeight="1" spans="1:54">
      <c r="A583" s="19"/>
      <c r="B583" s="24"/>
      <c r="C583" s="24" t="s">
        <v>14</v>
      </c>
      <c r="D583" s="24"/>
      <c r="E583" s="24">
        <v>0</v>
      </c>
      <c r="F583" s="74">
        <f ca="1">SUMIF(I$3:$BB582,"入库",I583:$BB583)</f>
        <v>0</v>
      </c>
      <c r="G583" s="24">
        <f ca="1">SUMIF(J$3:$BB582,"出库",J583:$BB583)</f>
        <v>0</v>
      </c>
      <c r="H583" s="27">
        <f ca="1" t="shared" si="12"/>
        <v>0</v>
      </c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</row>
    <row r="584" s="58" customFormat="1" ht="39" hidden="1" customHeight="1" spans="1:54">
      <c r="A584" s="72">
        <v>193</v>
      </c>
      <c r="B584" s="24" t="s">
        <v>210</v>
      </c>
      <c r="C584" s="73" t="s">
        <v>12</v>
      </c>
      <c r="D584" s="24"/>
      <c r="E584" s="24">
        <v>0</v>
      </c>
      <c r="F584" s="74">
        <f ca="1">SUMIF(I$3:$BB583,"入库",I584:$BB584)</f>
        <v>1700</v>
      </c>
      <c r="G584" s="24">
        <f ca="1">SUMIF(J$3:$BB583,"出库",J584:$BB584)</f>
        <v>0</v>
      </c>
      <c r="H584" s="27">
        <f ca="1" t="shared" si="12"/>
        <v>1700</v>
      </c>
      <c r="I584" s="24"/>
      <c r="J584" s="24"/>
      <c r="K584" s="24"/>
      <c r="L584" s="24"/>
      <c r="M584" s="24">
        <v>1700</v>
      </c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</row>
    <row r="585" s="58" customFormat="1" ht="22.5" hidden="1" customHeight="1" spans="1:54">
      <c r="A585" s="18"/>
      <c r="B585" s="24"/>
      <c r="C585" s="25" t="s">
        <v>13</v>
      </c>
      <c r="D585" s="24"/>
      <c r="E585" s="24">
        <v>0</v>
      </c>
      <c r="F585" s="74">
        <f ca="1">SUMIF(I$3:$BB584,"入库",I585:$BB585)</f>
        <v>150</v>
      </c>
      <c r="G585" s="24">
        <f ca="1">SUMIF(J$3:$BB584,"出库",J585:$BB585)</f>
        <v>0</v>
      </c>
      <c r="H585" s="27">
        <f ca="1" t="shared" si="12"/>
        <v>150</v>
      </c>
      <c r="I585" s="24"/>
      <c r="J585" s="24"/>
      <c r="K585" s="24"/>
      <c r="L585" s="24"/>
      <c r="M585" s="24">
        <v>150</v>
      </c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</row>
    <row r="586" s="58" customFormat="1" ht="22.5" hidden="1" customHeight="1" spans="1:54">
      <c r="A586" s="19"/>
      <c r="B586" s="24"/>
      <c r="C586" s="24" t="s">
        <v>14</v>
      </c>
      <c r="D586" s="24"/>
      <c r="E586" s="24">
        <v>0</v>
      </c>
      <c r="F586" s="74">
        <f ca="1">SUMIF(I$3:$BB585,"入库",I586:$BB586)</f>
        <v>70</v>
      </c>
      <c r="G586" s="24">
        <f ca="1">SUMIF(J$3:$BB585,"出库",J586:$BB586)</f>
        <v>0</v>
      </c>
      <c r="H586" s="27">
        <f ca="1" t="shared" si="12"/>
        <v>70</v>
      </c>
      <c r="I586" s="24"/>
      <c r="J586" s="24"/>
      <c r="K586" s="24"/>
      <c r="L586" s="24"/>
      <c r="M586" s="24">
        <v>70</v>
      </c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</row>
    <row r="587" s="58" customFormat="1" ht="39" hidden="1" customHeight="1" spans="1:54">
      <c r="A587" s="72">
        <v>194</v>
      </c>
      <c r="B587" s="24" t="s">
        <v>211</v>
      </c>
      <c r="C587" s="73" t="s">
        <v>12</v>
      </c>
      <c r="D587" s="24"/>
      <c r="E587" s="24">
        <v>0</v>
      </c>
      <c r="F587" s="74">
        <f ca="1">SUMIF(I$3:$BB586,"入库",I587:$BB587)</f>
        <v>1650</v>
      </c>
      <c r="G587" s="24">
        <f ca="1">SUMIF(J$3:$BB586,"出库",J587:$BB587)</f>
        <v>800</v>
      </c>
      <c r="H587" s="27">
        <f ca="1" t="shared" si="12"/>
        <v>850</v>
      </c>
      <c r="I587" s="24"/>
      <c r="J587" s="24"/>
      <c r="K587" s="24"/>
      <c r="L587" s="24"/>
      <c r="M587" s="24">
        <v>1650</v>
      </c>
      <c r="N587" s="24"/>
      <c r="O587" s="24"/>
      <c r="P587" s="24"/>
      <c r="Q587" s="24"/>
      <c r="R587" s="24"/>
      <c r="S587" s="24"/>
      <c r="T587" s="24"/>
      <c r="U587" s="24"/>
      <c r="V587" s="24">
        <v>800</v>
      </c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</row>
    <row r="588" s="58" customFormat="1" ht="22.5" hidden="1" customHeight="1" spans="1:54">
      <c r="A588" s="18"/>
      <c r="B588" s="24"/>
      <c r="C588" s="25" t="s">
        <v>13</v>
      </c>
      <c r="D588" s="24"/>
      <c r="E588" s="24">
        <v>0</v>
      </c>
      <c r="F588" s="74">
        <f ca="1">SUMIF(I$3:$BB587,"入库",I588:$BB588)</f>
        <v>0</v>
      </c>
      <c r="G588" s="24">
        <f ca="1">SUMIF(J$3:$BB587,"出库",J588:$BB588)</f>
        <v>0</v>
      </c>
      <c r="H588" s="27">
        <f ca="1" t="shared" si="12"/>
        <v>0</v>
      </c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</row>
    <row r="589" s="58" customFormat="1" ht="22.5" hidden="1" customHeight="1" spans="1:54">
      <c r="A589" s="19"/>
      <c r="B589" s="24"/>
      <c r="C589" s="24" t="s">
        <v>14</v>
      </c>
      <c r="D589" s="24"/>
      <c r="E589" s="24">
        <v>0</v>
      </c>
      <c r="F589" s="74">
        <f ca="1">SUMIF(I$3:$BB588,"入库",I589:$BB589)</f>
        <v>0</v>
      </c>
      <c r="G589" s="24">
        <f ca="1">SUMIF(J$3:$BB588,"出库",J589:$BB589)</f>
        <v>0</v>
      </c>
      <c r="H589" s="27">
        <f ca="1" t="shared" si="12"/>
        <v>0</v>
      </c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</row>
    <row r="590" s="58" customFormat="1" ht="22.5" hidden="1" customHeight="1" spans="1:54">
      <c r="A590" s="72">
        <v>195</v>
      </c>
      <c r="B590" s="24" t="s">
        <v>212</v>
      </c>
      <c r="C590" s="73" t="s">
        <v>12</v>
      </c>
      <c r="D590" s="24"/>
      <c r="E590" s="24">
        <v>0</v>
      </c>
      <c r="F590" s="74">
        <f ca="1">SUMIF(I$3:$BB589,"入库",I590:$BB590)</f>
        <v>20</v>
      </c>
      <c r="G590" s="24">
        <f ca="1">SUMIF(J$3:$BB589,"出库",J590:$BB590)</f>
        <v>0</v>
      </c>
      <c r="H590" s="27">
        <f ca="1" t="shared" si="12"/>
        <v>20</v>
      </c>
      <c r="I590" s="24"/>
      <c r="J590" s="24"/>
      <c r="K590" s="24">
        <v>20</v>
      </c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</row>
    <row r="591" s="58" customFormat="1" ht="22.5" hidden="1" customHeight="1" spans="1:54">
      <c r="A591" s="18"/>
      <c r="B591" s="24"/>
      <c r="C591" s="25" t="s">
        <v>13</v>
      </c>
      <c r="D591" s="24"/>
      <c r="E591" s="24">
        <v>0</v>
      </c>
      <c r="F591" s="74">
        <f ca="1">SUMIF(I$3:$BB590,"入库",I591:$BB591)</f>
        <v>50</v>
      </c>
      <c r="G591" s="24">
        <f ca="1">SUMIF(J$3:$BB590,"出库",J591:$BB591)</f>
        <v>0</v>
      </c>
      <c r="H591" s="27">
        <f ca="1" t="shared" si="12"/>
        <v>50</v>
      </c>
      <c r="I591" s="24"/>
      <c r="J591" s="24"/>
      <c r="K591" s="24">
        <v>50</v>
      </c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</row>
    <row r="592" s="58" customFormat="1" ht="22.5" hidden="1" customHeight="1" spans="1:54">
      <c r="A592" s="19"/>
      <c r="B592" s="24"/>
      <c r="C592" s="24" t="s">
        <v>14</v>
      </c>
      <c r="D592" s="24"/>
      <c r="E592" s="24">
        <v>0</v>
      </c>
      <c r="F592" s="74">
        <f ca="1">SUMIF(I$3:$BB591,"入库",I592:$BB592)</f>
        <v>0</v>
      </c>
      <c r="G592" s="24">
        <f ca="1">SUMIF(J$3:$BB591,"出库",J592:$BB592)</f>
        <v>0</v>
      </c>
      <c r="H592" s="27">
        <f ca="1" t="shared" si="12"/>
        <v>0</v>
      </c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</row>
    <row r="593" s="58" customFormat="1" ht="22.5" hidden="1" customHeight="1" spans="1:54">
      <c r="A593" s="72">
        <v>196</v>
      </c>
      <c r="B593" s="24" t="s">
        <v>213</v>
      </c>
      <c r="C593" s="73" t="s">
        <v>12</v>
      </c>
      <c r="D593" s="24"/>
      <c r="E593" s="24">
        <v>0</v>
      </c>
      <c r="F593" s="74">
        <f ca="1">SUMIF(I$3:$BB592,"入库",I593:$BB593)</f>
        <v>500</v>
      </c>
      <c r="G593" s="24">
        <f ca="1">SUMIF(J$3:$BB592,"出库",J593:$BB593)</f>
        <v>0</v>
      </c>
      <c r="H593" s="27">
        <f ca="1" t="shared" si="12"/>
        <v>500</v>
      </c>
      <c r="I593" s="24"/>
      <c r="J593" s="24"/>
      <c r="K593" s="24">
        <v>500</v>
      </c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</row>
    <row r="594" s="58" customFormat="1" ht="22.5" hidden="1" customHeight="1" spans="1:54">
      <c r="A594" s="18"/>
      <c r="B594" s="24"/>
      <c r="C594" s="25" t="s">
        <v>13</v>
      </c>
      <c r="D594" s="24"/>
      <c r="E594" s="24">
        <v>0</v>
      </c>
      <c r="F594" s="74">
        <f ca="1">SUMIF(I$3:$BB593,"入库",I594:$BB594)</f>
        <v>100</v>
      </c>
      <c r="G594" s="24">
        <f ca="1">SUMIF(J$3:$BB593,"出库",J594:$BB594)</f>
        <v>0</v>
      </c>
      <c r="H594" s="27">
        <f ca="1" t="shared" si="12"/>
        <v>100</v>
      </c>
      <c r="I594" s="24"/>
      <c r="J594" s="24"/>
      <c r="K594" s="24">
        <v>100</v>
      </c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</row>
    <row r="595" s="58" customFormat="1" ht="22.5" hidden="1" customHeight="1" spans="1:54">
      <c r="A595" s="19"/>
      <c r="B595" s="24"/>
      <c r="C595" s="24" t="s">
        <v>14</v>
      </c>
      <c r="D595" s="24"/>
      <c r="E595" s="24">
        <v>0</v>
      </c>
      <c r="F595" s="74">
        <f ca="1">SUMIF(I$3:$BB594,"入库",I595:$BB595)</f>
        <v>500</v>
      </c>
      <c r="G595" s="24">
        <f ca="1">SUMIF(J$3:$BB594,"出库",J595:$BB595)</f>
        <v>0</v>
      </c>
      <c r="H595" s="27">
        <f ca="1" t="shared" si="12"/>
        <v>500</v>
      </c>
      <c r="I595" s="24"/>
      <c r="J595" s="24"/>
      <c r="K595" s="24">
        <v>500</v>
      </c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</row>
    <row r="596" s="58" customFormat="1" ht="22.5" hidden="1" customHeight="1" spans="1:54">
      <c r="A596" s="72">
        <v>197</v>
      </c>
      <c r="B596" s="24" t="s">
        <v>214</v>
      </c>
      <c r="C596" s="73" t="s">
        <v>12</v>
      </c>
      <c r="D596" s="24"/>
      <c r="E596" s="24">
        <v>0</v>
      </c>
      <c r="F596" s="74">
        <f ca="1">SUMIF(I$3:$BB595,"入库",I596:$BB596)</f>
        <v>0</v>
      </c>
      <c r="G596" s="24">
        <f ca="1">SUMIF(J$3:$BB595,"出库",J596:$BB596)</f>
        <v>0</v>
      </c>
      <c r="H596" s="27">
        <f ca="1" t="shared" si="12"/>
        <v>0</v>
      </c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</row>
    <row r="597" s="58" customFormat="1" ht="22.5" hidden="1" customHeight="1" spans="1:54">
      <c r="A597" s="18"/>
      <c r="B597" s="24"/>
      <c r="C597" s="25" t="s">
        <v>13</v>
      </c>
      <c r="D597" s="24"/>
      <c r="E597" s="24">
        <v>0</v>
      </c>
      <c r="F597" s="74">
        <f ca="1">SUMIF(I$3:$BB596,"入库",I597:$BB597)</f>
        <v>0</v>
      </c>
      <c r="G597" s="24">
        <f ca="1">SUMIF(J$3:$BB596,"出库",J597:$BB597)</f>
        <v>0</v>
      </c>
      <c r="H597" s="27">
        <f ca="1" t="shared" si="12"/>
        <v>0</v>
      </c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</row>
    <row r="598" s="58" customFormat="1" ht="22.5" hidden="1" customHeight="1" spans="1:54">
      <c r="A598" s="19"/>
      <c r="B598" s="24"/>
      <c r="C598" s="24" t="s">
        <v>14</v>
      </c>
      <c r="D598" s="24"/>
      <c r="E598" s="24">
        <v>0</v>
      </c>
      <c r="F598" s="74">
        <f ca="1">SUMIF(I$3:$BB597,"入库",I598:$BB598)</f>
        <v>0</v>
      </c>
      <c r="G598" s="24">
        <f ca="1">SUMIF(J$3:$BB597,"出库",J598:$BB598)</f>
        <v>0</v>
      </c>
      <c r="H598" s="27">
        <f ca="1" t="shared" si="12"/>
        <v>0</v>
      </c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</row>
    <row r="599" s="58" customFormat="1" ht="22.5" hidden="1" customHeight="1" spans="1:54">
      <c r="A599" s="72">
        <v>198</v>
      </c>
      <c r="B599" s="24" t="s">
        <v>127</v>
      </c>
      <c r="C599" s="73" t="s">
        <v>12</v>
      </c>
      <c r="D599" s="24"/>
      <c r="E599" s="24">
        <v>0</v>
      </c>
      <c r="F599" s="74">
        <f ca="1">SUMIF(I$3:$BB598,"入库",I599:$BB599)</f>
        <v>100</v>
      </c>
      <c r="G599" s="24">
        <f ca="1">SUMIF(J$3:$BB598,"出库",J599:$BB599)</f>
        <v>60</v>
      </c>
      <c r="H599" s="27">
        <f ca="1" t="shared" si="12"/>
        <v>40</v>
      </c>
      <c r="I599" s="24">
        <v>100</v>
      </c>
      <c r="J599" s="24"/>
      <c r="K599" s="24"/>
      <c r="L599" s="24"/>
      <c r="M599" s="24"/>
      <c r="N599" s="24">
        <v>10</v>
      </c>
      <c r="O599" s="24"/>
      <c r="P599" s="24">
        <v>50</v>
      </c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</row>
    <row r="600" s="58" customFormat="1" ht="22.5" hidden="1" customHeight="1" spans="1:54">
      <c r="A600" s="18"/>
      <c r="B600" s="24"/>
      <c r="C600" s="25" t="s">
        <v>13</v>
      </c>
      <c r="D600" s="24"/>
      <c r="E600" s="24">
        <v>0</v>
      </c>
      <c r="F600" s="74">
        <f ca="1">SUMIF(I$3:$BB599,"入库",I600:$BB600)</f>
        <v>20</v>
      </c>
      <c r="G600" s="24">
        <f ca="1">SUMIF(J$3:$BB599,"出库",J600:$BB600)</f>
        <v>0</v>
      </c>
      <c r="H600" s="27">
        <f ca="1" t="shared" si="12"/>
        <v>20</v>
      </c>
      <c r="I600" s="24">
        <v>20</v>
      </c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</row>
    <row r="601" s="58" customFormat="1" ht="22.5" hidden="1" customHeight="1" spans="1:54">
      <c r="A601" s="19"/>
      <c r="B601" s="24"/>
      <c r="C601" s="24" t="s">
        <v>14</v>
      </c>
      <c r="D601" s="24"/>
      <c r="E601" s="24">
        <v>0</v>
      </c>
      <c r="F601" s="74">
        <f ca="1">SUMIF(I$3:$BB600,"入库",I601:$BB601)</f>
        <v>150</v>
      </c>
      <c r="G601" s="24">
        <f ca="1">SUMIF(J$3:$BB600,"出库",J601:$BB601)</f>
        <v>0</v>
      </c>
      <c r="H601" s="27">
        <f ca="1" t="shared" si="12"/>
        <v>150</v>
      </c>
      <c r="I601" s="24">
        <v>150</v>
      </c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</row>
    <row r="602" s="58" customFormat="1" ht="22.5" hidden="1" customHeight="1" spans="1:54">
      <c r="A602" s="72">
        <v>199</v>
      </c>
      <c r="B602" s="24" t="s">
        <v>215</v>
      </c>
      <c r="C602" s="73" t="s">
        <v>12</v>
      </c>
      <c r="D602" s="24"/>
      <c r="E602" s="24">
        <v>0</v>
      </c>
      <c r="F602" s="74">
        <f ca="1">SUMIF(I$3:$BB601,"入库",I602:$BB602)</f>
        <v>600</v>
      </c>
      <c r="G602" s="24">
        <f ca="1">SUMIF(J$3:$BB601,"出库",J602:$BB602)</f>
        <v>0</v>
      </c>
      <c r="H602" s="27">
        <f ca="1" t="shared" si="12"/>
        <v>600</v>
      </c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>
        <v>600</v>
      </c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</row>
    <row r="603" s="58" customFormat="1" ht="22.5" hidden="1" customHeight="1" spans="1:54">
      <c r="A603" s="18"/>
      <c r="B603" s="24"/>
      <c r="C603" s="25" t="s">
        <v>13</v>
      </c>
      <c r="D603" s="24"/>
      <c r="E603" s="24">
        <v>0</v>
      </c>
      <c r="F603" s="74">
        <f ca="1">SUMIF(I$3:$BB602,"入库",I603:$BB603)</f>
        <v>0</v>
      </c>
      <c r="G603" s="24">
        <f ca="1">SUMIF(J$3:$BB602,"出库",J603:$BB603)</f>
        <v>0</v>
      </c>
      <c r="H603" s="27">
        <f ca="1" t="shared" si="12"/>
        <v>0</v>
      </c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</row>
    <row r="604" s="58" customFormat="1" ht="22.5" hidden="1" customHeight="1" spans="1:54">
      <c r="A604" s="19"/>
      <c r="B604" s="24"/>
      <c r="C604" s="24" t="s">
        <v>14</v>
      </c>
      <c r="D604" s="24"/>
      <c r="E604" s="24">
        <v>0</v>
      </c>
      <c r="F604" s="74">
        <f ca="1">SUMIF(I$3:$BB603,"入库",I604:$BB604)</f>
        <v>400</v>
      </c>
      <c r="G604" s="24">
        <f ca="1">SUMIF(J$3:$BB603,"出库",J604:$BB604)</f>
        <v>0</v>
      </c>
      <c r="H604" s="27">
        <f ca="1" t="shared" si="12"/>
        <v>400</v>
      </c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>
        <v>400</v>
      </c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</row>
    <row r="605" s="58" customFormat="1" ht="39" hidden="1" customHeight="1" spans="1:54">
      <c r="A605" s="72">
        <v>200</v>
      </c>
      <c r="B605" s="24" t="s">
        <v>216</v>
      </c>
      <c r="C605" s="73" t="s">
        <v>12</v>
      </c>
      <c r="D605" s="24"/>
      <c r="E605" s="24">
        <v>0</v>
      </c>
      <c r="F605" s="74">
        <f ca="1">SUMIF(I$3:$BB604,"入库",I605:$BB605)</f>
        <v>1500</v>
      </c>
      <c r="G605" s="24">
        <f ca="1">SUMIF(J$3:$BB604,"出库",J605:$BB605)</f>
        <v>0</v>
      </c>
      <c r="H605" s="27">
        <f ca="1" t="shared" si="12"/>
        <v>1500</v>
      </c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>
        <v>1500</v>
      </c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</row>
    <row r="606" s="58" customFormat="1" ht="22.5" hidden="1" customHeight="1" spans="1:54">
      <c r="A606" s="18"/>
      <c r="B606" s="24"/>
      <c r="C606" s="25" t="s">
        <v>13</v>
      </c>
      <c r="D606" s="24"/>
      <c r="E606" s="24">
        <v>0</v>
      </c>
      <c r="F606" s="74">
        <f ca="1">SUMIF(I$3:$BB605,"入库",I606:$BB606)</f>
        <v>20</v>
      </c>
      <c r="G606" s="24">
        <f ca="1">SUMIF(J$3:$BB605,"出库",J606:$BB606)</f>
        <v>0</v>
      </c>
      <c r="H606" s="27">
        <f ca="1" t="shared" si="12"/>
        <v>20</v>
      </c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>
        <v>20</v>
      </c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</row>
    <row r="607" s="58" customFormat="1" ht="22.5" hidden="1" customHeight="1" spans="1:54">
      <c r="A607" s="19"/>
      <c r="B607" s="24"/>
      <c r="C607" s="24" t="s">
        <v>14</v>
      </c>
      <c r="D607" s="24"/>
      <c r="E607" s="24">
        <v>0</v>
      </c>
      <c r="F607" s="74">
        <f ca="1">SUMIF(I$3:$BB606,"入库",I607:$BB607)</f>
        <v>70</v>
      </c>
      <c r="G607" s="24">
        <f ca="1">SUMIF(J$3:$BB606,"出库",J607:$BB607)</f>
        <v>0</v>
      </c>
      <c r="H607" s="27">
        <f ca="1" t="shared" si="12"/>
        <v>70</v>
      </c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>
        <v>70</v>
      </c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</row>
    <row r="608" s="58" customFormat="1" ht="22.5" hidden="1" customHeight="1" spans="1:54">
      <c r="A608" s="72">
        <v>201</v>
      </c>
      <c r="B608" s="24" t="s">
        <v>217</v>
      </c>
      <c r="C608" s="73" t="s">
        <v>12</v>
      </c>
      <c r="D608" s="24"/>
      <c r="E608" s="24">
        <v>0</v>
      </c>
      <c r="F608" s="74">
        <f ca="1">SUMIF(I$3:$BB607,"入库",I608:$BB608)</f>
        <v>450</v>
      </c>
      <c r="G608" s="24">
        <f ca="1">SUMIF(J$3:$BB607,"出库",J608:$BB608)</f>
        <v>400</v>
      </c>
      <c r="H608" s="27">
        <f ca="1" t="shared" si="12"/>
        <v>50</v>
      </c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>
        <v>450</v>
      </c>
      <c r="V608" s="24"/>
      <c r="W608" s="24"/>
      <c r="X608" s="24"/>
      <c r="Y608" s="24"/>
      <c r="Z608" s="24">
        <v>100</v>
      </c>
      <c r="AA608" s="24"/>
      <c r="AB608" s="24"/>
      <c r="AC608" s="24"/>
      <c r="AD608" s="24">
        <v>300</v>
      </c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</row>
    <row r="609" s="58" customFormat="1" ht="22.5" hidden="1" customHeight="1" spans="1:54">
      <c r="A609" s="18"/>
      <c r="B609" s="24"/>
      <c r="C609" s="25" t="s">
        <v>13</v>
      </c>
      <c r="D609" s="24"/>
      <c r="E609" s="24">
        <v>0</v>
      </c>
      <c r="F609" s="74">
        <f ca="1">SUMIF(I$3:$BB608,"入库",I609:$BB609)</f>
        <v>30</v>
      </c>
      <c r="G609" s="24">
        <f ca="1">SUMIF(J$3:$BB608,"出库",J609:$BB609)</f>
        <v>0</v>
      </c>
      <c r="H609" s="27">
        <f ca="1" t="shared" si="12"/>
        <v>30</v>
      </c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>
        <v>30</v>
      </c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</row>
    <row r="610" s="58" customFormat="1" ht="22.5" hidden="1" customHeight="1" spans="1:54">
      <c r="A610" s="19"/>
      <c r="B610" s="24"/>
      <c r="C610" s="24" t="s">
        <v>14</v>
      </c>
      <c r="D610" s="24"/>
      <c r="E610" s="24">
        <v>0</v>
      </c>
      <c r="F610" s="74">
        <f ca="1">SUMIF(I$3:$BB609,"入库",I610:$BB610)</f>
        <v>0</v>
      </c>
      <c r="G610" s="24">
        <f ca="1">SUMIF(J$3:$BB609,"出库",J610:$BB610)</f>
        <v>0</v>
      </c>
      <c r="H610" s="27">
        <f ca="1" t="shared" si="12"/>
        <v>0</v>
      </c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</row>
    <row r="611" s="58" customFormat="1" ht="39" hidden="1" customHeight="1" spans="1:54">
      <c r="A611" s="72">
        <v>202</v>
      </c>
      <c r="B611" s="24" t="s">
        <v>218</v>
      </c>
      <c r="C611" s="73" t="s">
        <v>12</v>
      </c>
      <c r="D611" s="24"/>
      <c r="E611" s="24">
        <v>0</v>
      </c>
      <c r="F611" s="74">
        <f ca="1">SUMIF(I$3:$BB610,"入库",I611:$BB611)</f>
        <v>1050</v>
      </c>
      <c r="G611" s="24">
        <f ca="1">SUMIF(J$3:$BB610,"出库",J611:$BB611)</f>
        <v>0</v>
      </c>
      <c r="H611" s="27">
        <f ca="1" t="shared" ref="H611:H661" si="13">E611+F611-G611</f>
        <v>1050</v>
      </c>
      <c r="I611" s="24"/>
      <c r="J611" s="24"/>
      <c r="K611" s="24"/>
      <c r="L611" s="24"/>
      <c r="M611" s="24">
        <v>1050</v>
      </c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</row>
    <row r="612" s="58" customFormat="1" ht="22.5" hidden="1" customHeight="1" spans="1:54">
      <c r="A612" s="18"/>
      <c r="B612" s="24"/>
      <c r="C612" s="25" t="s">
        <v>13</v>
      </c>
      <c r="D612" s="24"/>
      <c r="E612" s="24">
        <v>0</v>
      </c>
      <c r="F612" s="74">
        <f ca="1">SUMIF(I$3:$BB611,"入库",I612:$BB612)</f>
        <v>0</v>
      </c>
      <c r="G612" s="24">
        <f ca="1">SUMIF(J$3:$BB611,"出库",J612:$BB612)</f>
        <v>0</v>
      </c>
      <c r="H612" s="27">
        <f ca="1" t="shared" si="13"/>
        <v>0</v>
      </c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</row>
    <row r="613" s="58" customFormat="1" ht="22.5" hidden="1" customHeight="1" spans="1:54">
      <c r="A613" s="19"/>
      <c r="B613" s="24"/>
      <c r="C613" s="24" t="s">
        <v>14</v>
      </c>
      <c r="D613" s="24"/>
      <c r="E613" s="24">
        <v>0</v>
      </c>
      <c r="F613" s="74">
        <f ca="1">SUMIF(I$3:$BB612,"入库",I613:$BB613)</f>
        <v>0</v>
      </c>
      <c r="G613" s="24">
        <f ca="1">SUMIF(J$3:$BB612,"出库",J613:$BB613)</f>
        <v>0</v>
      </c>
      <c r="H613" s="27">
        <f ca="1" t="shared" si="13"/>
        <v>0</v>
      </c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</row>
    <row r="614" s="58" customFormat="1" ht="22.5" hidden="1" customHeight="1" spans="1:54">
      <c r="A614" s="72">
        <v>203</v>
      </c>
      <c r="B614" s="24" t="s">
        <v>219</v>
      </c>
      <c r="C614" s="73" t="s">
        <v>12</v>
      </c>
      <c r="D614" s="24"/>
      <c r="E614" s="24">
        <v>0</v>
      </c>
      <c r="F614" s="74">
        <f ca="1">SUMIF(I$3:$BB613,"入库",I614:$BB614)</f>
        <v>750</v>
      </c>
      <c r="G614" s="24">
        <f ca="1">SUMIF(J$3:$BB613,"出库",J614:$BB614)</f>
        <v>0</v>
      </c>
      <c r="H614" s="27">
        <f ca="1" t="shared" si="13"/>
        <v>750</v>
      </c>
      <c r="I614" s="24"/>
      <c r="J614" s="24"/>
      <c r="K614" s="24"/>
      <c r="L614" s="24"/>
      <c r="M614" s="24">
        <v>750</v>
      </c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</row>
    <row r="615" s="58" customFormat="1" ht="22.5" hidden="1" customHeight="1" spans="1:54">
      <c r="A615" s="18"/>
      <c r="B615" s="24"/>
      <c r="C615" s="25" t="s">
        <v>13</v>
      </c>
      <c r="D615" s="24"/>
      <c r="E615" s="24">
        <v>0</v>
      </c>
      <c r="F615" s="74">
        <f ca="1">SUMIF(I$3:$BB614,"入库",I615:$BB615)</f>
        <v>30</v>
      </c>
      <c r="G615" s="24">
        <f ca="1">SUMIF(J$3:$BB614,"出库",J615:$BB615)</f>
        <v>0</v>
      </c>
      <c r="H615" s="27">
        <f ca="1" t="shared" si="13"/>
        <v>30</v>
      </c>
      <c r="I615" s="24"/>
      <c r="J615" s="24"/>
      <c r="K615" s="24"/>
      <c r="L615" s="24"/>
      <c r="M615" s="24">
        <v>30</v>
      </c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</row>
    <row r="616" s="58" customFormat="1" ht="22.5" hidden="1" customHeight="1" spans="1:54">
      <c r="A616" s="19"/>
      <c r="B616" s="24"/>
      <c r="C616" s="24" t="s">
        <v>14</v>
      </c>
      <c r="D616" s="24"/>
      <c r="E616" s="24">
        <v>0</v>
      </c>
      <c r="F616" s="74">
        <f ca="1">SUMIF(I$3:$BB615,"入库",I616:$BB616)</f>
        <v>0</v>
      </c>
      <c r="G616" s="24">
        <f ca="1">SUMIF(J$3:$BB615,"出库",J616:$BB616)</f>
        <v>0</v>
      </c>
      <c r="H616" s="27">
        <f ca="1" t="shared" si="13"/>
        <v>0</v>
      </c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</row>
    <row r="617" s="58" customFormat="1" ht="22.5" hidden="1" customHeight="1" spans="1:54">
      <c r="A617" s="72">
        <v>204</v>
      </c>
      <c r="B617" s="24" t="s">
        <v>220</v>
      </c>
      <c r="C617" s="73" t="s">
        <v>12</v>
      </c>
      <c r="D617" s="24"/>
      <c r="E617" s="24">
        <v>0</v>
      </c>
      <c r="F617" s="74">
        <f ca="1">SUMIF(I$3:$BB616,"入库",I617:$BB617)</f>
        <v>900</v>
      </c>
      <c r="G617" s="24">
        <f ca="1">SUMIF(J$3:$BB616,"出库",J617:$BB617)</f>
        <v>0</v>
      </c>
      <c r="H617" s="27">
        <f ca="1" t="shared" si="13"/>
        <v>900</v>
      </c>
      <c r="I617" s="24"/>
      <c r="J617" s="24"/>
      <c r="K617" s="24">
        <v>900</v>
      </c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</row>
    <row r="618" s="58" customFormat="1" ht="22.5" hidden="1" customHeight="1" spans="1:54">
      <c r="A618" s="18"/>
      <c r="B618" s="24"/>
      <c r="C618" s="25" t="s">
        <v>13</v>
      </c>
      <c r="D618" s="24"/>
      <c r="E618" s="24">
        <v>0</v>
      </c>
      <c r="F618" s="74">
        <f ca="1">SUMIF(I$3:$BB617,"入库",I618:$BB618)</f>
        <v>150</v>
      </c>
      <c r="G618" s="24">
        <f ca="1">SUMIF(J$3:$BB617,"出库",J618:$BB618)</f>
        <v>0</v>
      </c>
      <c r="H618" s="27">
        <f ca="1" t="shared" si="13"/>
        <v>150</v>
      </c>
      <c r="I618" s="24"/>
      <c r="J618" s="24"/>
      <c r="K618" s="24">
        <v>150</v>
      </c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</row>
    <row r="619" s="58" customFormat="1" ht="22.5" hidden="1" customHeight="1" spans="1:54">
      <c r="A619" s="19"/>
      <c r="B619" s="24"/>
      <c r="C619" s="24" t="s">
        <v>14</v>
      </c>
      <c r="D619" s="24"/>
      <c r="E619" s="24">
        <v>0</v>
      </c>
      <c r="F619" s="74">
        <f ca="1">SUMIF(I$3:$BB618,"入库",I619:$BB619)</f>
        <v>0</v>
      </c>
      <c r="G619" s="24">
        <f ca="1">SUMIF(J$3:$BB618,"出库",J619:$BB619)</f>
        <v>0</v>
      </c>
      <c r="H619" s="27">
        <f ca="1" t="shared" si="13"/>
        <v>0</v>
      </c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</row>
    <row r="620" s="58" customFormat="1" ht="22.5" hidden="1" customHeight="1" spans="1:54">
      <c r="A620" s="72">
        <v>205</v>
      </c>
      <c r="B620" s="24" t="s">
        <v>221</v>
      </c>
      <c r="C620" s="73" t="s">
        <v>12</v>
      </c>
      <c r="D620" s="24"/>
      <c r="E620" s="24">
        <v>0</v>
      </c>
      <c r="F620" s="74">
        <f ca="1">SUMIF(I$3:$BB619,"入库",I620:$BB620)</f>
        <v>130</v>
      </c>
      <c r="G620" s="24">
        <f ca="1">SUMIF(J$3:$BB619,"出库",J620:$BB620)</f>
        <v>5</v>
      </c>
      <c r="H620" s="27">
        <f ca="1" t="shared" si="13"/>
        <v>125</v>
      </c>
      <c r="I620" s="24"/>
      <c r="J620" s="24"/>
      <c r="K620" s="24">
        <v>130</v>
      </c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>
        <v>5</v>
      </c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</row>
    <row r="621" s="58" customFormat="1" ht="22.5" hidden="1" customHeight="1" spans="1:54">
      <c r="A621" s="18"/>
      <c r="B621" s="24"/>
      <c r="C621" s="25" t="s">
        <v>13</v>
      </c>
      <c r="D621" s="24"/>
      <c r="E621" s="24">
        <v>0</v>
      </c>
      <c r="F621" s="74">
        <f ca="1">SUMIF(I$3:$BB620,"入库",I621:$BB621)</f>
        <v>190</v>
      </c>
      <c r="G621" s="24">
        <f ca="1">SUMIF(J$3:$BB620,"出库",J621:$BB621)</f>
        <v>0</v>
      </c>
      <c r="H621" s="27">
        <f ca="1" t="shared" si="13"/>
        <v>190</v>
      </c>
      <c r="I621" s="24"/>
      <c r="J621" s="24"/>
      <c r="K621" s="24">
        <v>190</v>
      </c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</row>
    <row r="622" s="58" customFormat="1" ht="22.5" hidden="1" customHeight="1" spans="1:54">
      <c r="A622" s="19"/>
      <c r="B622" s="24"/>
      <c r="C622" s="24" t="s">
        <v>14</v>
      </c>
      <c r="D622" s="24"/>
      <c r="E622" s="24">
        <v>0</v>
      </c>
      <c r="F622" s="74">
        <f ca="1">SUMIF(I$3:$BB621,"入库",I622:$BB622)</f>
        <v>0</v>
      </c>
      <c r="G622" s="24">
        <f ca="1">SUMIF(J$3:$BB621,"出库",J622:$BB622)</f>
        <v>0</v>
      </c>
      <c r="H622" s="27">
        <f ca="1" t="shared" si="13"/>
        <v>0</v>
      </c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</row>
    <row r="623" s="58" customFormat="1" ht="22.5" hidden="1" customHeight="1" spans="1:54">
      <c r="A623" s="72">
        <v>206</v>
      </c>
      <c r="B623" s="24" t="s">
        <v>222</v>
      </c>
      <c r="C623" s="73" t="s">
        <v>12</v>
      </c>
      <c r="D623" s="24"/>
      <c r="E623" s="24">
        <v>0</v>
      </c>
      <c r="F623" s="74">
        <f ca="1">SUMIF(I$3:$BB622,"入库",I623:$BB623)</f>
        <v>300</v>
      </c>
      <c r="G623" s="24">
        <f ca="1">SUMIF(J$3:$BB622,"出库",J623:$BB623)</f>
        <v>0</v>
      </c>
      <c r="H623" s="27">
        <f ca="1" t="shared" si="13"/>
        <v>300</v>
      </c>
      <c r="I623" s="24"/>
      <c r="J623" s="24"/>
      <c r="K623" s="24">
        <v>300</v>
      </c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</row>
    <row r="624" s="58" customFormat="1" ht="22.5" hidden="1" customHeight="1" spans="1:54">
      <c r="A624" s="18"/>
      <c r="B624" s="24"/>
      <c r="C624" s="25" t="s">
        <v>13</v>
      </c>
      <c r="D624" s="24"/>
      <c r="E624" s="24">
        <v>0</v>
      </c>
      <c r="F624" s="74">
        <f ca="1">SUMIF(I$3:$BB623,"入库",I624:$BB624)</f>
        <v>35</v>
      </c>
      <c r="G624" s="24">
        <f ca="1">SUMIF(J$3:$BB623,"出库",J624:$BB624)</f>
        <v>0</v>
      </c>
      <c r="H624" s="27">
        <f ca="1" t="shared" si="13"/>
        <v>35</v>
      </c>
      <c r="I624" s="24"/>
      <c r="J624" s="24"/>
      <c r="K624" s="24">
        <v>35</v>
      </c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</row>
    <row r="625" s="58" customFormat="1" ht="22.5" hidden="1" customHeight="1" spans="1:54">
      <c r="A625" s="19"/>
      <c r="B625" s="24"/>
      <c r="C625" s="24" t="s">
        <v>14</v>
      </c>
      <c r="D625" s="24"/>
      <c r="E625" s="24">
        <v>0</v>
      </c>
      <c r="F625" s="74">
        <f ca="1">SUMIF(I$3:$BB624,"入库",I625:$BB625)</f>
        <v>70</v>
      </c>
      <c r="G625" s="24">
        <f ca="1">SUMIF(J$3:$BB624,"出库",J625:$BB625)</f>
        <v>0</v>
      </c>
      <c r="H625" s="27">
        <f ca="1" t="shared" si="13"/>
        <v>70</v>
      </c>
      <c r="I625" s="24"/>
      <c r="J625" s="24"/>
      <c r="K625" s="24">
        <v>70</v>
      </c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</row>
    <row r="626" s="58" customFormat="1" ht="22.5" hidden="1" customHeight="1" spans="1:54">
      <c r="A626" s="72">
        <v>207</v>
      </c>
      <c r="B626" s="24" t="s">
        <v>223</v>
      </c>
      <c r="C626" s="73" t="s">
        <v>12</v>
      </c>
      <c r="D626" s="24"/>
      <c r="E626" s="24">
        <v>0</v>
      </c>
      <c r="F626" s="74">
        <f ca="1">SUMIF(I$3:$BB625,"入库",I626:$BB626)</f>
        <v>1350</v>
      </c>
      <c r="G626" s="24">
        <f ca="1">SUMIF(J$3:$BB625,"出库",J626:$BB626)</f>
        <v>0</v>
      </c>
      <c r="H626" s="27">
        <f ca="1" t="shared" si="13"/>
        <v>1350</v>
      </c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>
        <v>1350</v>
      </c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</row>
    <row r="627" s="58" customFormat="1" ht="22.5" hidden="1" customHeight="1" spans="1:54">
      <c r="A627" s="18"/>
      <c r="B627" s="24"/>
      <c r="C627" s="25" t="s">
        <v>13</v>
      </c>
      <c r="D627" s="24"/>
      <c r="E627" s="24">
        <v>0</v>
      </c>
      <c r="F627" s="74">
        <f ca="1">SUMIF(I$3:$BB626,"入库",I627:$BB627)</f>
        <v>130</v>
      </c>
      <c r="G627" s="24">
        <f ca="1">SUMIF(J$3:$BB626,"出库",J627:$BB627)</f>
        <v>0</v>
      </c>
      <c r="H627" s="27">
        <f ca="1" t="shared" si="13"/>
        <v>130</v>
      </c>
      <c r="I627" s="24">
        <v>130</v>
      </c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</row>
    <row r="628" s="58" customFormat="1" ht="22.5" hidden="1" customHeight="1" spans="1:54">
      <c r="A628" s="19"/>
      <c r="B628" s="24"/>
      <c r="C628" s="24" t="s">
        <v>14</v>
      </c>
      <c r="D628" s="24"/>
      <c r="E628" s="24">
        <v>0</v>
      </c>
      <c r="F628" s="74">
        <f ca="1">SUMIF(I$3:$BB627,"入库",I628:$BB628)</f>
        <v>0</v>
      </c>
      <c r="G628" s="24">
        <f ca="1">SUMIF(J$3:$BB627,"出库",J628:$BB628)</f>
        <v>0</v>
      </c>
      <c r="H628" s="27">
        <f ca="1" t="shared" si="13"/>
        <v>0</v>
      </c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</row>
    <row r="629" s="58" customFormat="1" ht="22.5" hidden="1" customHeight="1" spans="1:54">
      <c r="A629" s="72">
        <v>208</v>
      </c>
      <c r="B629" s="24" t="s">
        <v>224</v>
      </c>
      <c r="C629" s="73" t="s">
        <v>12</v>
      </c>
      <c r="D629" s="24"/>
      <c r="E629" s="24">
        <v>0</v>
      </c>
      <c r="F629" s="74">
        <f ca="1">SUMIF(I$3:$BB628,"入库",I629:$BB629)</f>
        <v>15</v>
      </c>
      <c r="G629" s="24">
        <f ca="1">SUMIF(J$3:$BB628,"出库",J629:$BB629)</f>
        <v>0</v>
      </c>
      <c r="H629" s="27">
        <f ca="1" t="shared" si="13"/>
        <v>15</v>
      </c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>
        <v>15</v>
      </c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</row>
    <row r="630" s="58" customFormat="1" ht="22.5" hidden="1" customHeight="1" spans="1:54">
      <c r="A630" s="18"/>
      <c r="B630" s="24"/>
      <c r="C630" s="25" t="s">
        <v>13</v>
      </c>
      <c r="D630" s="24"/>
      <c r="E630" s="24">
        <v>0</v>
      </c>
      <c r="F630" s="74">
        <f ca="1">SUMIF(I$3:$BB629,"入库",I630:$BB630)</f>
        <v>0</v>
      </c>
      <c r="G630" s="24">
        <f ca="1">SUMIF(J$3:$BB629,"出库",J630:$BB630)</f>
        <v>0</v>
      </c>
      <c r="H630" s="27">
        <f ca="1" t="shared" si="13"/>
        <v>0</v>
      </c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</row>
    <row r="631" s="58" customFormat="1" ht="22.5" hidden="1" customHeight="1" spans="1:54">
      <c r="A631" s="19"/>
      <c r="B631" s="24"/>
      <c r="C631" s="24" t="s">
        <v>14</v>
      </c>
      <c r="D631" s="24"/>
      <c r="E631" s="24">
        <v>0</v>
      </c>
      <c r="F631" s="74">
        <f ca="1">SUMIF(I$3:$BB630,"入库",I631:$BB631)</f>
        <v>170</v>
      </c>
      <c r="G631" s="24">
        <f ca="1">SUMIF(J$3:$BB630,"出库",J631:$BB631)</f>
        <v>0</v>
      </c>
      <c r="H631" s="27">
        <f ca="1" t="shared" si="13"/>
        <v>170</v>
      </c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>
        <v>170</v>
      </c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</row>
    <row r="632" s="58" customFormat="1" ht="22.5" hidden="1" customHeight="1" spans="1:54">
      <c r="A632" s="72">
        <v>209</v>
      </c>
      <c r="B632" s="24" t="s">
        <v>225</v>
      </c>
      <c r="C632" s="73" t="s">
        <v>12</v>
      </c>
      <c r="D632" s="24"/>
      <c r="E632" s="24">
        <v>0</v>
      </c>
      <c r="F632" s="74">
        <f ca="1">SUMIF(I$3:$BB631,"入库",I632:$BB632)</f>
        <v>350</v>
      </c>
      <c r="G632" s="24">
        <f ca="1">SUMIF(J$3:$BB631,"出库",J632:$BB632)</f>
        <v>300</v>
      </c>
      <c r="H632" s="27">
        <f ca="1" t="shared" si="13"/>
        <v>50</v>
      </c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>
        <v>350</v>
      </c>
      <c r="X632" s="24"/>
      <c r="Y632" s="24"/>
      <c r="Z632" s="24">
        <v>100</v>
      </c>
      <c r="AA632" s="24"/>
      <c r="AB632" s="24"/>
      <c r="AC632" s="24"/>
      <c r="AD632" s="24">
        <v>200</v>
      </c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</row>
    <row r="633" s="58" customFormat="1" ht="22.5" hidden="1" customHeight="1" spans="1:54">
      <c r="A633" s="18"/>
      <c r="B633" s="24"/>
      <c r="C633" s="25" t="s">
        <v>13</v>
      </c>
      <c r="D633" s="24"/>
      <c r="E633" s="24">
        <v>0</v>
      </c>
      <c r="F633" s="74">
        <f ca="1">SUMIF(I$3:$BB632,"入库",I633:$BB633)</f>
        <v>70</v>
      </c>
      <c r="G633" s="24">
        <f ca="1">SUMIF(J$3:$BB632,"出库",J633:$BB633)</f>
        <v>0</v>
      </c>
      <c r="H633" s="27">
        <f ca="1" t="shared" si="13"/>
        <v>70</v>
      </c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>
        <v>70</v>
      </c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</row>
    <row r="634" s="58" customFormat="1" ht="22.5" hidden="1" customHeight="1" spans="1:54">
      <c r="A634" s="19"/>
      <c r="B634" s="24"/>
      <c r="C634" s="24" t="s">
        <v>14</v>
      </c>
      <c r="D634" s="24"/>
      <c r="E634" s="24">
        <v>0</v>
      </c>
      <c r="F634" s="74">
        <f ca="1">SUMIF(I$3:$BB633,"入库",I634:$BB634)</f>
        <v>220</v>
      </c>
      <c r="G634" s="24">
        <f ca="1">SUMIF(J$3:$BB633,"出库",J634:$BB634)</f>
        <v>10</v>
      </c>
      <c r="H634" s="27">
        <f ca="1" t="shared" si="13"/>
        <v>210</v>
      </c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>
        <v>220</v>
      </c>
      <c r="X634" s="24">
        <v>10</v>
      </c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</row>
    <row r="635" s="58" customFormat="1" ht="39" hidden="1" customHeight="1" spans="1:54">
      <c r="A635" s="72">
        <v>210</v>
      </c>
      <c r="B635" s="24" t="s">
        <v>226</v>
      </c>
      <c r="C635" s="73" t="s">
        <v>12</v>
      </c>
      <c r="D635" s="24"/>
      <c r="E635" s="24">
        <v>0</v>
      </c>
      <c r="F635" s="74">
        <f ca="1">SUMIF(I$3:$BB634,"入库",I635:$BB635)</f>
        <v>1300</v>
      </c>
      <c r="G635" s="24">
        <f ca="1">SUMIF(J$3:$BB634,"出库",J635:$BB635)</f>
        <v>400</v>
      </c>
      <c r="H635" s="27">
        <f ca="1" t="shared" si="13"/>
        <v>900</v>
      </c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>
        <v>1300</v>
      </c>
      <c r="V635" s="24">
        <v>300</v>
      </c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>
        <v>100</v>
      </c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</row>
    <row r="636" s="58" customFormat="1" ht="22.5" hidden="1" customHeight="1" spans="1:54">
      <c r="A636" s="18"/>
      <c r="B636" s="24"/>
      <c r="C636" s="25" t="s">
        <v>13</v>
      </c>
      <c r="D636" s="24"/>
      <c r="E636" s="24">
        <v>0</v>
      </c>
      <c r="F636" s="74">
        <f ca="1">SUMIF(I$3:$BB635,"入库",I636:$BB636)</f>
        <v>50</v>
      </c>
      <c r="G636" s="24">
        <f ca="1">SUMIF(J$3:$BB635,"出库",J636:$BB636)</f>
        <v>0</v>
      </c>
      <c r="H636" s="27">
        <f ca="1" t="shared" si="13"/>
        <v>50</v>
      </c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>
        <v>50</v>
      </c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</row>
    <row r="637" s="58" customFormat="1" ht="22.5" hidden="1" customHeight="1" spans="1:54">
      <c r="A637" s="19"/>
      <c r="B637" s="24"/>
      <c r="C637" s="24" t="s">
        <v>14</v>
      </c>
      <c r="D637" s="24"/>
      <c r="E637" s="24">
        <v>0</v>
      </c>
      <c r="F637" s="74">
        <f ca="1">SUMIF(I$3:$BB636,"入库",I637:$BB637)</f>
        <v>0</v>
      </c>
      <c r="G637" s="24">
        <f ca="1">SUMIF(J$3:$BB636,"出库",J637:$BB637)</f>
        <v>0</v>
      </c>
      <c r="H637" s="27">
        <f ca="1" t="shared" si="13"/>
        <v>0</v>
      </c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</row>
    <row r="638" s="58" customFormat="1" ht="22.5" hidden="1" customHeight="1" spans="1:54">
      <c r="A638" s="72">
        <v>211</v>
      </c>
      <c r="B638" s="24" t="s">
        <v>227</v>
      </c>
      <c r="C638" s="73" t="s">
        <v>12</v>
      </c>
      <c r="D638" s="24"/>
      <c r="E638" s="24">
        <v>0</v>
      </c>
      <c r="F638" s="74">
        <f ca="1">SUMIF(I$3:$BB637,"入库",I638:$BB638)</f>
        <v>150</v>
      </c>
      <c r="G638" s="24">
        <f ca="1">SUMIF(J$3:$BB637,"出库",J638:$BB638)</f>
        <v>0</v>
      </c>
      <c r="H638" s="27">
        <f ca="1" t="shared" si="13"/>
        <v>150</v>
      </c>
      <c r="I638" s="24"/>
      <c r="J638" s="24"/>
      <c r="K638" s="24"/>
      <c r="L638" s="24"/>
      <c r="M638" s="24">
        <v>150</v>
      </c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</row>
    <row r="639" s="58" customFormat="1" ht="22.5" hidden="1" customHeight="1" spans="1:54">
      <c r="A639" s="18"/>
      <c r="B639" s="24"/>
      <c r="C639" s="25" t="s">
        <v>13</v>
      </c>
      <c r="D639" s="24"/>
      <c r="E639" s="24">
        <v>0</v>
      </c>
      <c r="F639" s="74">
        <f ca="1">SUMIF(I$3:$BB638,"入库",I639:$BB639)</f>
        <v>0</v>
      </c>
      <c r="G639" s="24">
        <f ca="1">SUMIF(J$3:$BB638,"出库",J639:$BB639)</f>
        <v>0</v>
      </c>
      <c r="H639" s="27">
        <f ca="1" t="shared" si="13"/>
        <v>0</v>
      </c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</row>
    <row r="640" s="58" customFormat="1" ht="22.5" hidden="1" customHeight="1" spans="1:54">
      <c r="A640" s="19"/>
      <c r="B640" s="24"/>
      <c r="C640" s="24" t="s">
        <v>14</v>
      </c>
      <c r="D640" s="24"/>
      <c r="E640" s="24">
        <v>0</v>
      </c>
      <c r="F640" s="74">
        <f ca="1">SUMIF(I$3:$BB639,"入库",I640:$BB640)</f>
        <v>40</v>
      </c>
      <c r="G640" s="24">
        <f ca="1">SUMIF(J$3:$BB639,"出库",J640:$BB640)</f>
        <v>0</v>
      </c>
      <c r="H640" s="27">
        <f ca="1" t="shared" si="13"/>
        <v>40</v>
      </c>
      <c r="I640" s="24"/>
      <c r="J640" s="24"/>
      <c r="K640" s="24"/>
      <c r="L640" s="24"/>
      <c r="M640" s="24">
        <v>40</v>
      </c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</row>
    <row r="641" s="58" customFormat="1" ht="22.5" hidden="1" customHeight="1" spans="1:54">
      <c r="A641" s="72">
        <v>212</v>
      </c>
      <c r="B641" s="24" t="s">
        <v>228</v>
      </c>
      <c r="C641" s="73" t="s">
        <v>12</v>
      </c>
      <c r="D641" s="24"/>
      <c r="E641" s="24">
        <v>0</v>
      </c>
      <c r="F641" s="74">
        <f ca="1">SUMIF(I$3:$BB640,"入库",I641:$BB641)</f>
        <v>0</v>
      </c>
      <c r="G641" s="24">
        <f ca="1">SUMIF(J$3:$BB640,"出库",J641:$BB641)</f>
        <v>0</v>
      </c>
      <c r="H641" s="27">
        <f ca="1" t="shared" si="13"/>
        <v>0</v>
      </c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</row>
    <row r="642" s="58" customFormat="1" ht="22.5" hidden="1" customHeight="1" spans="1:54">
      <c r="A642" s="18"/>
      <c r="B642" s="24"/>
      <c r="C642" s="25" t="s">
        <v>13</v>
      </c>
      <c r="D642" s="24"/>
      <c r="E642" s="24">
        <v>0</v>
      </c>
      <c r="F642" s="74">
        <f ca="1">SUMIF(I$3:$BB641,"入库",I642:$BB642)</f>
        <v>100</v>
      </c>
      <c r="G642" s="24">
        <f ca="1">SUMIF(J$3:$BB641,"出库",J642:$BB642)</f>
        <v>0</v>
      </c>
      <c r="H642" s="27">
        <f ca="1" t="shared" si="13"/>
        <v>100</v>
      </c>
      <c r="I642" s="24"/>
      <c r="J642" s="24"/>
      <c r="K642" s="24"/>
      <c r="L642" s="24"/>
      <c r="M642" s="24">
        <v>100</v>
      </c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</row>
    <row r="643" s="58" customFormat="1" ht="22.5" hidden="1" customHeight="1" spans="1:54">
      <c r="A643" s="19"/>
      <c r="B643" s="24"/>
      <c r="C643" s="24" t="s">
        <v>14</v>
      </c>
      <c r="D643" s="24"/>
      <c r="E643" s="24">
        <v>0</v>
      </c>
      <c r="F643" s="74">
        <f ca="1">SUMIF(I$3:$BB642,"入库",I643:$BB643)</f>
        <v>0</v>
      </c>
      <c r="G643" s="24">
        <f ca="1">SUMIF(J$3:$BB642,"出库",J643:$BB643)</f>
        <v>0</v>
      </c>
      <c r="H643" s="27">
        <f ca="1" t="shared" si="13"/>
        <v>0</v>
      </c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</row>
    <row r="644" s="58" customFormat="1" ht="22.5" hidden="1" customHeight="1" spans="1:54">
      <c r="A644" s="72">
        <v>213</v>
      </c>
      <c r="B644" s="24" t="s">
        <v>229</v>
      </c>
      <c r="C644" s="25" t="s">
        <v>13</v>
      </c>
      <c r="D644" s="24"/>
      <c r="E644" s="24">
        <v>0</v>
      </c>
      <c r="F644" s="74">
        <f ca="1">SUMIF(I$3:$BB643,"入库",I644:$BB644)</f>
        <v>130</v>
      </c>
      <c r="G644" s="24">
        <f ca="1">SUMIF(J$3:$BB643,"出库",J644:$BB644)</f>
        <v>0</v>
      </c>
      <c r="H644" s="27">
        <f ca="1" t="shared" si="13"/>
        <v>130</v>
      </c>
      <c r="I644" s="24"/>
      <c r="J644" s="24"/>
      <c r="K644" s="24">
        <v>130</v>
      </c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</row>
    <row r="645" s="58" customFormat="1" ht="22.5" hidden="1" customHeight="1" spans="1:54">
      <c r="A645" s="18"/>
      <c r="B645" s="24"/>
      <c r="C645" s="24" t="s">
        <v>14</v>
      </c>
      <c r="D645" s="24"/>
      <c r="E645" s="24">
        <v>0</v>
      </c>
      <c r="F645" s="74">
        <f ca="1">SUMIF(I$3:$BB644,"入库",I645:$BB645)</f>
        <v>200</v>
      </c>
      <c r="G645" s="24">
        <f ca="1">SUMIF(J$3:$BB644,"出库",J645:$BB645)</f>
        <v>0</v>
      </c>
      <c r="H645" s="27">
        <f ca="1" t="shared" si="13"/>
        <v>200</v>
      </c>
      <c r="I645" s="24"/>
      <c r="J645" s="24"/>
      <c r="K645" s="24">
        <v>200</v>
      </c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</row>
    <row r="646" s="58" customFormat="1" ht="22.5" hidden="1" customHeight="1" spans="1:54">
      <c r="A646" s="19"/>
      <c r="B646" s="24"/>
      <c r="C646" s="73" t="s">
        <v>12</v>
      </c>
      <c r="D646" s="24"/>
      <c r="E646" s="24">
        <v>0</v>
      </c>
      <c r="F646" s="74">
        <f ca="1">SUMIF(I$3:$BB645,"入库",I646:$BB646)</f>
        <v>200</v>
      </c>
      <c r="G646" s="24">
        <f ca="1">SUMIF(J$3:$BB645,"出库",J646:$BB646)</f>
        <v>0</v>
      </c>
      <c r="H646" s="27">
        <f ca="1" t="shared" si="13"/>
        <v>200</v>
      </c>
      <c r="I646" s="24"/>
      <c r="J646" s="24"/>
      <c r="K646" s="24">
        <v>200</v>
      </c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</row>
    <row r="647" s="58" customFormat="1" ht="22.5" hidden="1" customHeight="1" spans="1:54">
      <c r="A647" s="72">
        <v>214</v>
      </c>
      <c r="B647" s="24" t="s">
        <v>230</v>
      </c>
      <c r="C647" s="25" t="s">
        <v>13</v>
      </c>
      <c r="D647" s="24"/>
      <c r="E647" s="24">
        <v>0</v>
      </c>
      <c r="F647" s="74">
        <f ca="1">SUMIF(I$3:$BB646,"入库",I647:$BB647)</f>
        <v>100</v>
      </c>
      <c r="G647" s="24">
        <f ca="1">SUMIF(J$3:$BB646,"出库",J647:$BB647)</f>
        <v>0</v>
      </c>
      <c r="H647" s="27">
        <f ca="1" t="shared" si="13"/>
        <v>100</v>
      </c>
      <c r="I647" s="24"/>
      <c r="J647" s="24"/>
      <c r="K647" s="24">
        <v>100</v>
      </c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</row>
    <row r="648" s="58" customFormat="1" ht="22.5" hidden="1" customHeight="1" spans="1:54">
      <c r="A648" s="18"/>
      <c r="B648" s="24"/>
      <c r="C648" s="24" t="s">
        <v>14</v>
      </c>
      <c r="D648" s="24"/>
      <c r="E648" s="24">
        <v>0</v>
      </c>
      <c r="F648" s="74">
        <f ca="1">SUMIF(I$3:$BB647,"入库",I648:$BB648)</f>
        <v>100</v>
      </c>
      <c r="G648" s="24">
        <f ca="1">SUMIF(J$3:$BB647,"出库",J648:$BB648)</f>
        <v>0</v>
      </c>
      <c r="H648" s="27">
        <f ca="1" t="shared" si="13"/>
        <v>100</v>
      </c>
      <c r="I648" s="24"/>
      <c r="J648" s="24"/>
      <c r="K648" s="24">
        <v>100</v>
      </c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</row>
    <row r="649" s="58" customFormat="1" ht="22.5" hidden="1" customHeight="1" spans="1:54">
      <c r="A649" s="19"/>
      <c r="B649" s="24"/>
      <c r="C649" s="73" t="s">
        <v>12</v>
      </c>
      <c r="D649" s="24"/>
      <c r="E649" s="24">
        <v>0</v>
      </c>
      <c r="F649" s="74">
        <f ca="1">SUMIF(I$3:$BB648,"入库",I649:$BB649)</f>
        <v>250</v>
      </c>
      <c r="G649" s="24">
        <f ca="1">SUMIF(J$3:$BB648,"出库",J649:$BB649)</f>
        <v>20</v>
      </c>
      <c r="H649" s="27">
        <f ca="1" t="shared" si="13"/>
        <v>230</v>
      </c>
      <c r="I649" s="24"/>
      <c r="J649" s="24"/>
      <c r="K649" s="24">
        <v>250</v>
      </c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>
        <v>20</v>
      </c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</row>
    <row r="650" s="58" customFormat="1" ht="22.5" hidden="1" customHeight="1" spans="1:54">
      <c r="A650" s="72">
        <v>215</v>
      </c>
      <c r="B650" s="24" t="s">
        <v>231</v>
      </c>
      <c r="C650" s="25" t="s">
        <v>13</v>
      </c>
      <c r="D650" s="24"/>
      <c r="E650" s="24">
        <v>0</v>
      </c>
      <c r="F650" s="74">
        <f ca="1">SUMIF(I$3:$BB649,"入库",I650:$BB650)</f>
        <v>0</v>
      </c>
      <c r="G650" s="24">
        <f ca="1">SUMIF(J$3:$BB649,"出库",J650:$BB650)</f>
        <v>0</v>
      </c>
      <c r="H650" s="27">
        <f ca="1" t="shared" si="13"/>
        <v>0</v>
      </c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</row>
    <row r="651" s="58" customFormat="1" ht="22.5" hidden="1" customHeight="1" spans="1:54">
      <c r="A651" s="18"/>
      <c r="B651" s="24"/>
      <c r="C651" s="24" t="s">
        <v>14</v>
      </c>
      <c r="D651" s="24"/>
      <c r="E651" s="24">
        <v>0</v>
      </c>
      <c r="F651" s="74">
        <f ca="1">SUMIF(I$3:$BB650,"入库",I651:$BB651)</f>
        <v>20</v>
      </c>
      <c r="G651" s="24">
        <f ca="1">SUMIF(J$3:$BB650,"出库",J651:$BB651)</f>
        <v>0</v>
      </c>
      <c r="H651" s="27">
        <f ca="1" t="shared" si="13"/>
        <v>20</v>
      </c>
      <c r="I651" s="24"/>
      <c r="J651" s="24"/>
      <c r="K651" s="24">
        <v>20</v>
      </c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</row>
    <row r="652" s="58" customFormat="1" ht="22.5" hidden="1" customHeight="1" spans="1:54">
      <c r="A652" s="19"/>
      <c r="B652" s="24"/>
      <c r="C652" s="73" t="s">
        <v>12</v>
      </c>
      <c r="D652" s="24"/>
      <c r="E652" s="24">
        <v>0</v>
      </c>
      <c r="F652" s="74">
        <f ca="1">SUMIF(I$3:$BB651,"入库",I652:$BB652)</f>
        <v>0</v>
      </c>
      <c r="G652" s="24">
        <f ca="1">SUMIF(J$3:$BB651,"出库",J652:$BB652)</f>
        <v>0</v>
      </c>
      <c r="H652" s="27">
        <f ca="1" t="shared" si="13"/>
        <v>0</v>
      </c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</row>
    <row r="653" s="58" customFormat="1" ht="22.5" hidden="1" customHeight="1" spans="1:54">
      <c r="A653" s="72">
        <v>216</v>
      </c>
      <c r="B653" s="24" t="s">
        <v>232</v>
      </c>
      <c r="C653" s="25" t="s">
        <v>13</v>
      </c>
      <c r="D653" s="24"/>
      <c r="E653" s="24">
        <v>0</v>
      </c>
      <c r="F653" s="74">
        <f ca="1">SUMIF(I$3:$BB652,"入库",I653:$BB653)</f>
        <v>0</v>
      </c>
      <c r="G653" s="24">
        <f ca="1">SUMIF(J$3:$BB652,"出库",J653:$BB653)</f>
        <v>0</v>
      </c>
      <c r="H653" s="27">
        <f ca="1" t="shared" si="13"/>
        <v>0</v>
      </c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</row>
    <row r="654" s="58" customFormat="1" ht="22.5" hidden="1" customHeight="1" spans="1:54">
      <c r="A654" s="18"/>
      <c r="B654" s="24"/>
      <c r="C654" s="24" t="s">
        <v>14</v>
      </c>
      <c r="D654" s="24"/>
      <c r="E654" s="24">
        <v>0</v>
      </c>
      <c r="F654" s="74">
        <f ca="1">SUMIF(I$3:$BB653,"入库",I654:$BB654)</f>
        <v>0</v>
      </c>
      <c r="G654" s="24">
        <f ca="1">SUMIF(J$3:$BB653,"出库",J654:$BB654)</f>
        <v>0</v>
      </c>
      <c r="H654" s="27">
        <f ca="1" t="shared" si="13"/>
        <v>0</v>
      </c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</row>
    <row r="655" s="58" customFormat="1" ht="22.5" hidden="1" customHeight="1" spans="1:54">
      <c r="A655" s="19"/>
      <c r="B655" s="24"/>
      <c r="C655" s="73" t="s">
        <v>12</v>
      </c>
      <c r="D655" s="24"/>
      <c r="E655" s="24">
        <v>0</v>
      </c>
      <c r="F655" s="74">
        <f ca="1">SUMIF(I$3:$BB654,"入库",I655:$BB655)</f>
        <v>530</v>
      </c>
      <c r="G655" s="24">
        <f ca="1">SUMIF(J$3:$BB654,"出库",J655:$BB655)</f>
        <v>65</v>
      </c>
      <c r="H655" s="27">
        <f ca="1" t="shared" si="13"/>
        <v>465</v>
      </c>
      <c r="I655" s="24">
        <v>80</v>
      </c>
      <c r="J655" s="24"/>
      <c r="K655" s="24"/>
      <c r="L655" s="24"/>
      <c r="M655" s="24"/>
      <c r="N655" s="24">
        <v>64</v>
      </c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>
        <v>1</v>
      </c>
      <c r="AC655" s="24">
        <v>450</v>
      </c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</row>
    <row r="656" s="58" customFormat="1" ht="22.5" hidden="1" customHeight="1" spans="1:54">
      <c r="A656" s="72">
        <v>217</v>
      </c>
      <c r="B656" s="72" t="s">
        <v>233</v>
      </c>
      <c r="C656" s="25" t="s">
        <v>13</v>
      </c>
      <c r="D656" s="24"/>
      <c r="E656" s="24">
        <v>0</v>
      </c>
      <c r="F656" s="74">
        <f ca="1">SUMIF(I$3:$BB655,"入库",I656:$BB656)</f>
        <v>0</v>
      </c>
      <c r="G656" s="24">
        <f ca="1">SUMIF(J$3:$BB655,"出库",J656:$BB656)</f>
        <v>0</v>
      </c>
      <c r="H656" s="27">
        <f ca="1" t="shared" si="13"/>
        <v>0</v>
      </c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</row>
    <row r="657" s="58" customFormat="1" ht="22.5" hidden="1" customHeight="1" spans="1:54">
      <c r="A657" s="18"/>
      <c r="B657" s="18"/>
      <c r="C657" s="24" t="s">
        <v>14</v>
      </c>
      <c r="D657" s="24"/>
      <c r="E657" s="24">
        <v>0</v>
      </c>
      <c r="F657" s="74">
        <f ca="1">SUMIF(I$3:$BB656,"入库",I657:$BB657)</f>
        <v>20</v>
      </c>
      <c r="G657" s="24">
        <f ca="1">SUMIF(J$3:$BB656,"出库",J657:$BB657)</f>
        <v>0</v>
      </c>
      <c r="H657" s="27">
        <f ca="1" t="shared" si="13"/>
        <v>20</v>
      </c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>
        <v>20</v>
      </c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</row>
    <row r="658" s="58" customFormat="1" ht="22.5" hidden="1" customHeight="1" spans="1:54">
      <c r="A658" s="19"/>
      <c r="B658" s="19"/>
      <c r="C658" s="73" t="s">
        <v>12</v>
      </c>
      <c r="D658" s="24"/>
      <c r="E658" s="24">
        <v>0</v>
      </c>
      <c r="F658" s="74">
        <f ca="1">SUMIF(I$3:$BB657,"入库",I658:$BB658)</f>
        <v>0</v>
      </c>
      <c r="G658" s="24">
        <f ca="1">SUMIF(J$3:$BB657,"出库",J658:$BB658)</f>
        <v>0</v>
      </c>
      <c r="H658" s="27">
        <f ca="1" t="shared" si="13"/>
        <v>0</v>
      </c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</row>
    <row r="659" s="58" customFormat="1" ht="22.5" hidden="1" customHeight="1" spans="1:54">
      <c r="A659" s="72">
        <v>218</v>
      </c>
      <c r="B659" s="72" t="s">
        <v>234</v>
      </c>
      <c r="C659" s="25" t="s">
        <v>13</v>
      </c>
      <c r="D659" s="24"/>
      <c r="E659" s="24">
        <v>0</v>
      </c>
      <c r="F659" s="74">
        <f ca="1">SUMIF(I$3:$BB658,"入库",I659:$BB659)</f>
        <v>30</v>
      </c>
      <c r="G659" s="24">
        <f ca="1">SUMIF(J$3:$BB658,"出库",J659:$BB659)</f>
        <v>0</v>
      </c>
      <c r="H659" s="27">
        <f ca="1" t="shared" si="13"/>
        <v>30</v>
      </c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>
        <v>30</v>
      </c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</row>
    <row r="660" s="58" customFormat="1" ht="22.5" hidden="1" customHeight="1" spans="1:54">
      <c r="A660" s="18"/>
      <c r="B660" s="18"/>
      <c r="C660" s="24" t="s">
        <v>14</v>
      </c>
      <c r="D660" s="24"/>
      <c r="E660" s="24">
        <v>0</v>
      </c>
      <c r="F660" s="74">
        <f ca="1">SUMIF(I$3:$BB659,"入库",I660:$BB660)</f>
        <v>0</v>
      </c>
      <c r="G660" s="24">
        <f ca="1">SUMIF(J$3:$BB659,"出库",J660:$BB660)</f>
        <v>0</v>
      </c>
      <c r="H660" s="27">
        <f ca="1" t="shared" si="13"/>
        <v>0</v>
      </c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</row>
    <row r="661" s="58" customFormat="1" ht="22.5" hidden="1" customHeight="1" spans="1:54">
      <c r="A661" s="19"/>
      <c r="B661" s="19"/>
      <c r="C661" s="73" t="s">
        <v>12</v>
      </c>
      <c r="D661" s="24"/>
      <c r="E661" s="24">
        <v>0</v>
      </c>
      <c r="F661" s="74">
        <f ca="1">SUMIF(I$3:$BB660,"入库",I661:$BB661)</f>
        <v>900</v>
      </c>
      <c r="G661" s="24">
        <f ca="1">SUMIF(J$3:$BB660,"出库",J661:$BB661)</f>
        <v>0</v>
      </c>
      <c r="H661" s="27">
        <f ca="1" t="shared" si="13"/>
        <v>900</v>
      </c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>
        <v>900</v>
      </c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</row>
    <row r="662" s="58" customFormat="1" ht="22.5" hidden="1" customHeight="1" spans="1:54">
      <c r="A662" s="72">
        <v>219</v>
      </c>
      <c r="B662" s="72" t="s">
        <v>235</v>
      </c>
      <c r="C662" s="25" t="s">
        <v>13</v>
      </c>
      <c r="D662" s="24"/>
      <c r="E662" s="24">
        <v>0</v>
      </c>
      <c r="F662" s="74">
        <f ca="1">SUMIF(I$3:$BB661,"入库",I662:$BB662)</f>
        <v>110</v>
      </c>
      <c r="G662" s="24">
        <f ca="1">SUMIF(J$3:$BB661,"出库",J662:$BB662)</f>
        <v>0</v>
      </c>
      <c r="H662" s="27">
        <f ca="1" t="shared" ref="H662:H725" si="14">E662+F662-G662</f>
        <v>110</v>
      </c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>
        <v>110</v>
      </c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</row>
    <row r="663" s="58" customFormat="1" ht="22.5" hidden="1" customHeight="1" spans="1:54">
      <c r="A663" s="18"/>
      <c r="B663" s="18"/>
      <c r="C663" s="24" t="s">
        <v>14</v>
      </c>
      <c r="D663" s="24"/>
      <c r="E663" s="24">
        <v>0</v>
      </c>
      <c r="F663" s="74">
        <f ca="1">SUMIF(I$3:$BB662,"入库",I663:$BB663)</f>
        <v>20</v>
      </c>
      <c r="G663" s="24">
        <f ca="1">SUMIF(J$3:$BB662,"出库",J663:$BB663)</f>
        <v>0</v>
      </c>
      <c r="H663" s="27">
        <f ca="1" t="shared" si="14"/>
        <v>20</v>
      </c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>
        <v>20</v>
      </c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</row>
    <row r="664" s="58" customFormat="1" ht="22.5" hidden="1" customHeight="1" spans="1:54">
      <c r="A664" s="19"/>
      <c r="B664" s="19"/>
      <c r="C664" s="73" t="s">
        <v>12</v>
      </c>
      <c r="D664" s="24"/>
      <c r="E664" s="24">
        <v>0</v>
      </c>
      <c r="F664" s="74">
        <f ca="1">SUMIF(I$3:$BB663,"入库",I664:$BB664)</f>
        <v>380</v>
      </c>
      <c r="G664" s="24">
        <f ca="1">SUMIF(J$3:$BB663,"出库",J664:$BB664)</f>
        <v>40</v>
      </c>
      <c r="H664" s="27">
        <f ca="1" t="shared" si="14"/>
        <v>340</v>
      </c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>
        <v>380</v>
      </c>
      <c r="V664" s="24"/>
      <c r="W664" s="24"/>
      <c r="X664" s="24"/>
      <c r="Y664" s="24"/>
      <c r="Z664" s="24">
        <v>40</v>
      </c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</row>
    <row r="665" s="58" customFormat="1" ht="22.5" hidden="1" customHeight="1" spans="1:54">
      <c r="A665" s="72">
        <v>220</v>
      </c>
      <c r="B665" s="72" t="s">
        <v>236</v>
      </c>
      <c r="C665" s="25" t="s">
        <v>13</v>
      </c>
      <c r="D665" s="24"/>
      <c r="E665" s="24">
        <v>0</v>
      </c>
      <c r="F665" s="74">
        <f ca="1">SUMIF(I$3:$BB664,"入库",I665:$BB665)</f>
        <v>50</v>
      </c>
      <c r="G665" s="24">
        <f ca="1">SUMIF(J$3:$BB664,"出库",J665:$BB665)</f>
        <v>0</v>
      </c>
      <c r="H665" s="27">
        <f ca="1" t="shared" si="14"/>
        <v>50</v>
      </c>
      <c r="I665" s="24"/>
      <c r="J665" s="24"/>
      <c r="K665" s="24"/>
      <c r="L665" s="24"/>
      <c r="M665" s="24">
        <v>50</v>
      </c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</row>
    <row r="666" s="58" customFormat="1" ht="22.5" hidden="1" customHeight="1" spans="1:54">
      <c r="A666" s="18"/>
      <c r="B666" s="18"/>
      <c r="C666" s="24" t="s">
        <v>14</v>
      </c>
      <c r="D666" s="24"/>
      <c r="E666" s="24">
        <v>0</v>
      </c>
      <c r="F666" s="74">
        <f ca="1">SUMIF(I$3:$BB665,"入库",I666:$BB666)</f>
        <v>0</v>
      </c>
      <c r="G666" s="24">
        <f ca="1">SUMIF(J$3:$BB665,"出库",J666:$BB666)</f>
        <v>0</v>
      </c>
      <c r="H666" s="27">
        <f ca="1" t="shared" si="14"/>
        <v>0</v>
      </c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</row>
    <row r="667" s="58" customFormat="1" ht="22.5" hidden="1" customHeight="1" spans="1:54">
      <c r="A667" s="19"/>
      <c r="B667" s="19"/>
      <c r="C667" s="73" t="s">
        <v>12</v>
      </c>
      <c r="D667" s="24"/>
      <c r="E667" s="24">
        <v>0</v>
      </c>
      <c r="F667" s="74">
        <f ca="1">SUMIF(I$3:$BB666,"入库",I667:$BB667)</f>
        <v>650</v>
      </c>
      <c r="G667" s="24">
        <f ca="1">SUMIF(J$3:$BB666,"出库",J667:$BB667)</f>
        <v>0</v>
      </c>
      <c r="H667" s="27">
        <f ca="1" t="shared" si="14"/>
        <v>650</v>
      </c>
      <c r="I667" s="24"/>
      <c r="J667" s="24"/>
      <c r="K667" s="24"/>
      <c r="L667" s="24"/>
      <c r="M667" s="24">
        <v>650</v>
      </c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</row>
    <row r="668" s="58" customFormat="1" ht="22.5" hidden="1" customHeight="1" spans="1:54">
      <c r="A668" s="72">
        <v>221</v>
      </c>
      <c r="B668" s="72" t="s">
        <v>237</v>
      </c>
      <c r="C668" s="25" t="s">
        <v>13</v>
      </c>
      <c r="D668" s="24"/>
      <c r="E668" s="24">
        <v>0</v>
      </c>
      <c r="F668" s="74">
        <f ca="1">SUMIF(I$3:$BB667,"入库",I668:$BB668)</f>
        <v>40</v>
      </c>
      <c r="G668" s="24">
        <f ca="1">SUMIF(J$3:$BB667,"出库",J668:$BB668)</f>
        <v>0</v>
      </c>
      <c r="H668" s="27">
        <f ca="1" t="shared" si="14"/>
        <v>40</v>
      </c>
      <c r="I668" s="24"/>
      <c r="J668" s="24"/>
      <c r="K668" s="24"/>
      <c r="L668" s="24"/>
      <c r="M668" s="24">
        <v>40</v>
      </c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</row>
    <row r="669" s="58" customFormat="1" ht="22.5" hidden="1" customHeight="1" spans="1:54">
      <c r="A669" s="18"/>
      <c r="B669" s="18"/>
      <c r="C669" s="24" t="s">
        <v>14</v>
      </c>
      <c r="D669" s="24"/>
      <c r="E669" s="24">
        <v>0</v>
      </c>
      <c r="F669" s="74">
        <f ca="1">SUMIF(I$3:$BB668,"入库",I669:$BB669)</f>
        <v>50</v>
      </c>
      <c r="G669" s="24">
        <f ca="1">SUMIF(J$3:$BB668,"出库",J669:$BB669)</f>
        <v>0</v>
      </c>
      <c r="H669" s="27">
        <f ca="1" t="shared" si="14"/>
        <v>50</v>
      </c>
      <c r="I669" s="24"/>
      <c r="J669" s="24"/>
      <c r="K669" s="24"/>
      <c r="L669" s="24"/>
      <c r="M669" s="24">
        <v>50</v>
      </c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</row>
    <row r="670" s="58" customFormat="1" ht="22.5" hidden="1" customHeight="1" spans="1:54">
      <c r="A670" s="19"/>
      <c r="B670" s="19"/>
      <c r="C670" s="73" t="s">
        <v>12</v>
      </c>
      <c r="D670" s="24"/>
      <c r="E670" s="24">
        <v>0</v>
      </c>
      <c r="F670" s="74">
        <f ca="1">SUMIF(I$3:$BB669,"入库",I670:$BB670)</f>
        <v>30</v>
      </c>
      <c r="G670" s="24">
        <f ca="1">SUMIF(J$3:$BB669,"出库",J670:$BB670)</f>
        <v>0</v>
      </c>
      <c r="H670" s="27">
        <f ca="1" t="shared" si="14"/>
        <v>30</v>
      </c>
      <c r="I670" s="24"/>
      <c r="J670" s="24"/>
      <c r="K670" s="24"/>
      <c r="L670" s="24"/>
      <c r="M670" s="24">
        <v>30</v>
      </c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</row>
    <row r="671" s="58" customFormat="1" ht="22.5" hidden="1" customHeight="1" spans="1:54">
      <c r="A671" s="72">
        <v>222</v>
      </c>
      <c r="B671" s="72" t="s">
        <v>238</v>
      </c>
      <c r="C671" s="25" t="s">
        <v>13</v>
      </c>
      <c r="D671" s="24"/>
      <c r="E671" s="24">
        <v>0</v>
      </c>
      <c r="F671" s="74">
        <f ca="1">SUMIF(I$3:$BB670,"入库",I671:$BB671)</f>
        <v>30</v>
      </c>
      <c r="G671" s="24">
        <f ca="1">SUMIF(J$3:$BB670,"出库",J671:$BB671)</f>
        <v>0</v>
      </c>
      <c r="H671" s="27">
        <f ca="1" t="shared" si="14"/>
        <v>30</v>
      </c>
      <c r="I671" s="24"/>
      <c r="J671" s="24"/>
      <c r="K671" s="24">
        <v>30</v>
      </c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</row>
    <row r="672" s="58" customFormat="1" ht="22.5" hidden="1" customHeight="1" spans="1:54">
      <c r="A672" s="18"/>
      <c r="B672" s="18"/>
      <c r="C672" s="24" t="s">
        <v>14</v>
      </c>
      <c r="D672" s="24"/>
      <c r="E672" s="24">
        <v>0</v>
      </c>
      <c r="F672" s="74">
        <f ca="1">SUMIF(I$3:$BB671,"入库",I672:$BB672)</f>
        <v>0</v>
      </c>
      <c r="G672" s="24">
        <f ca="1">SUMIF(J$3:$BB671,"出库",J672:$BB672)</f>
        <v>0</v>
      </c>
      <c r="H672" s="27">
        <f ca="1" t="shared" si="14"/>
        <v>0</v>
      </c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</row>
    <row r="673" s="58" customFormat="1" ht="22.5" hidden="1" customHeight="1" spans="1:54">
      <c r="A673" s="19"/>
      <c r="B673" s="19"/>
      <c r="C673" s="73" t="s">
        <v>12</v>
      </c>
      <c r="D673" s="24"/>
      <c r="E673" s="24">
        <v>0</v>
      </c>
      <c r="F673" s="74">
        <f ca="1">SUMIF(I$3:$BB672,"入库",I673:$BB673)</f>
        <v>140</v>
      </c>
      <c r="G673" s="24">
        <f ca="1">SUMIF(J$3:$BB672,"出库",J673:$BB673)</f>
        <v>0</v>
      </c>
      <c r="H673" s="27">
        <f ca="1" t="shared" si="14"/>
        <v>140</v>
      </c>
      <c r="I673" s="24"/>
      <c r="J673" s="24"/>
      <c r="K673" s="24">
        <v>140</v>
      </c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</row>
    <row r="674" s="58" customFormat="1" ht="22.5" hidden="1" customHeight="1" spans="1:54">
      <c r="A674" s="72">
        <v>223</v>
      </c>
      <c r="B674" s="72" t="s">
        <v>239</v>
      </c>
      <c r="C674" s="25" t="s">
        <v>13</v>
      </c>
      <c r="D674" s="24"/>
      <c r="E674" s="24">
        <v>0</v>
      </c>
      <c r="F674" s="74">
        <f ca="1">SUMIF(I$3:$BB673,"入库",I674:$BB674)</f>
        <v>0</v>
      </c>
      <c r="G674" s="24">
        <f ca="1">SUMIF(J$3:$BB673,"出库",J674:$BB674)</f>
        <v>0</v>
      </c>
      <c r="H674" s="27">
        <f ca="1" t="shared" si="14"/>
        <v>0</v>
      </c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</row>
    <row r="675" s="58" customFormat="1" ht="22.5" hidden="1" customHeight="1" spans="1:54">
      <c r="A675" s="18"/>
      <c r="B675" s="18"/>
      <c r="C675" s="24" t="s">
        <v>14</v>
      </c>
      <c r="D675" s="24"/>
      <c r="E675" s="24">
        <v>0</v>
      </c>
      <c r="F675" s="74">
        <f ca="1">SUMIF(I$3:$BB674,"入库",I675:$BB675)</f>
        <v>0</v>
      </c>
      <c r="G675" s="24">
        <f ca="1">SUMIF(J$3:$BB674,"出库",J675:$BB675)</f>
        <v>0</v>
      </c>
      <c r="H675" s="27">
        <f ca="1" t="shared" si="14"/>
        <v>0</v>
      </c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</row>
    <row r="676" s="58" customFormat="1" ht="22.5" hidden="1" customHeight="1" spans="1:54">
      <c r="A676" s="19"/>
      <c r="B676" s="19"/>
      <c r="C676" s="73" t="s">
        <v>12</v>
      </c>
      <c r="D676" s="24"/>
      <c r="E676" s="24">
        <v>0</v>
      </c>
      <c r="F676" s="74">
        <f ca="1">SUMIF(I$3:$BB675,"入库",I676:$BB676)</f>
        <v>450</v>
      </c>
      <c r="G676" s="24">
        <f ca="1">SUMIF(J$3:$BB675,"出库",J676:$BB676)</f>
        <v>0</v>
      </c>
      <c r="H676" s="27">
        <f ca="1" t="shared" si="14"/>
        <v>450</v>
      </c>
      <c r="I676" s="24"/>
      <c r="J676" s="24"/>
      <c r="K676" s="24">
        <v>450</v>
      </c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</row>
    <row r="677" s="58" customFormat="1" ht="22.5" hidden="1" customHeight="1" spans="1:54">
      <c r="A677" s="72">
        <v>224</v>
      </c>
      <c r="B677" s="72" t="s">
        <v>240</v>
      </c>
      <c r="C677" s="25" t="s">
        <v>13</v>
      </c>
      <c r="D677" s="24"/>
      <c r="E677" s="24">
        <v>0</v>
      </c>
      <c r="F677" s="74">
        <f ca="1">SUMIF(I$3:$BB676,"入库",I677:$BB677)</f>
        <v>0</v>
      </c>
      <c r="G677" s="24">
        <f ca="1">SUMIF(J$3:$BB676,"出库",J677:$BB677)</f>
        <v>0</v>
      </c>
      <c r="H677" s="27">
        <f ca="1" t="shared" si="14"/>
        <v>0</v>
      </c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</row>
    <row r="678" s="58" customFormat="1" ht="22.5" hidden="1" customHeight="1" spans="1:54">
      <c r="A678" s="18"/>
      <c r="B678" s="18"/>
      <c r="C678" s="24" t="s">
        <v>14</v>
      </c>
      <c r="D678" s="24"/>
      <c r="E678" s="24">
        <v>0</v>
      </c>
      <c r="F678" s="74">
        <f ca="1">SUMIF(I$3:$BB677,"入库",I678:$BB678)</f>
        <v>0</v>
      </c>
      <c r="G678" s="24">
        <f ca="1">SUMIF(J$3:$BB677,"出库",J678:$BB678)</f>
        <v>0</v>
      </c>
      <c r="H678" s="27">
        <f ca="1" t="shared" si="14"/>
        <v>0</v>
      </c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</row>
    <row r="679" s="58" customFormat="1" ht="22.5" hidden="1" customHeight="1" spans="1:54">
      <c r="A679" s="19"/>
      <c r="B679" s="19"/>
      <c r="C679" s="73" t="s">
        <v>12</v>
      </c>
      <c r="D679" s="24"/>
      <c r="E679" s="24">
        <v>0</v>
      </c>
      <c r="F679" s="74">
        <f ca="1">SUMIF(I$3:$BB678,"入库",I679:$BB679)</f>
        <v>250</v>
      </c>
      <c r="G679" s="24">
        <f ca="1">SUMIF(J$3:$BB678,"出库",J679:$BB679)</f>
        <v>0</v>
      </c>
      <c r="H679" s="27">
        <f ca="1" t="shared" si="14"/>
        <v>250</v>
      </c>
      <c r="I679" s="24"/>
      <c r="J679" s="24"/>
      <c r="K679" s="24">
        <v>250</v>
      </c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</row>
    <row r="680" s="58" customFormat="1" ht="22.5" hidden="1" customHeight="1" spans="1:54">
      <c r="A680" s="72">
        <v>225</v>
      </c>
      <c r="B680" s="72" t="s">
        <v>241</v>
      </c>
      <c r="C680" s="25" t="s">
        <v>13</v>
      </c>
      <c r="D680" s="24"/>
      <c r="E680" s="24">
        <v>0</v>
      </c>
      <c r="F680" s="74">
        <f ca="1">SUMIF(I$3:$BB679,"入库",I680:$BB680)</f>
        <v>0</v>
      </c>
      <c r="G680" s="24">
        <f ca="1">SUMIF(J$3:$BB679,"出库",J680:$BB680)</f>
        <v>0</v>
      </c>
      <c r="H680" s="27">
        <f ca="1" t="shared" si="14"/>
        <v>0</v>
      </c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</row>
    <row r="681" s="58" customFormat="1" ht="22.5" hidden="1" customHeight="1" spans="1:54">
      <c r="A681" s="18"/>
      <c r="B681" s="18"/>
      <c r="C681" s="24" t="s">
        <v>14</v>
      </c>
      <c r="D681" s="24"/>
      <c r="E681" s="24">
        <v>0</v>
      </c>
      <c r="F681" s="74">
        <f ca="1">SUMIF(I$3:$BB680,"入库",I681:$BB681)</f>
        <v>20</v>
      </c>
      <c r="G681" s="24">
        <f ca="1">SUMIF(J$3:$BB680,"出库",J681:$BB681)</f>
        <v>0</v>
      </c>
      <c r="H681" s="27">
        <f ca="1" t="shared" si="14"/>
        <v>20</v>
      </c>
      <c r="I681" s="24">
        <v>20</v>
      </c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</row>
    <row r="682" s="58" customFormat="1" ht="22.5" hidden="1" customHeight="1" spans="1:54">
      <c r="A682" s="19"/>
      <c r="B682" s="19"/>
      <c r="C682" s="73" t="s">
        <v>12</v>
      </c>
      <c r="D682" s="24"/>
      <c r="E682" s="24">
        <v>0</v>
      </c>
      <c r="F682" s="74">
        <f ca="1">SUMIF(I$3:$BB681,"入库",I682:$BB682)</f>
        <v>470</v>
      </c>
      <c r="G682" s="24">
        <f ca="1">SUMIF(J$3:$BB681,"出库",J682:$BB682)</f>
        <v>190</v>
      </c>
      <c r="H682" s="27">
        <f ca="1" t="shared" si="14"/>
        <v>280</v>
      </c>
      <c r="I682" s="24">
        <v>20</v>
      </c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>
        <v>450</v>
      </c>
      <c r="Z682" s="24">
        <v>40</v>
      </c>
      <c r="AA682" s="24"/>
      <c r="AB682" s="24"/>
      <c r="AC682" s="24"/>
      <c r="AD682" s="24">
        <v>100</v>
      </c>
      <c r="AE682" s="24"/>
      <c r="AF682" s="24"/>
      <c r="AG682" s="24"/>
      <c r="AH682" s="24"/>
      <c r="AI682" s="24"/>
      <c r="AJ682" s="24">
        <v>50</v>
      </c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</row>
    <row r="683" s="58" customFormat="1" ht="22.5" hidden="1" customHeight="1" spans="1:54">
      <c r="A683" s="72">
        <v>226</v>
      </c>
      <c r="B683" s="72" t="s">
        <v>242</v>
      </c>
      <c r="C683" s="25" t="s">
        <v>13</v>
      </c>
      <c r="D683" s="24"/>
      <c r="E683" s="24">
        <v>0</v>
      </c>
      <c r="F683" s="74">
        <f ca="1">SUMIF(I$3:$BB682,"入库",I683:$BB683)</f>
        <v>400</v>
      </c>
      <c r="G683" s="24">
        <f ca="1">SUMIF(J$3:$BB682,"出库",J683:$BB683)</f>
        <v>130</v>
      </c>
      <c r="H683" s="27">
        <f ca="1" t="shared" si="14"/>
        <v>270</v>
      </c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>
        <v>400</v>
      </c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>
        <v>130</v>
      </c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</row>
    <row r="684" s="58" customFormat="1" ht="22.5" hidden="1" customHeight="1" spans="1:54">
      <c r="A684" s="18"/>
      <c r="B684" s="18"/>
      <c r="C684" s="24" t="s">
        <v>14</v>
      </c>
      <c r="D684" s="24"/>
      <c r="E684" s="24">
        <v>0</v>
      </c>
      <c r="F684" s="74">
        <f ca="1">SUMIF(I$3:$BB683,"入库",I684:$BB684)</f>
        <v>50</v>
      </c>
      <c r="G684" s="24">
        <f ca="1">SUMIF(J$3:$BB683,"出库",J684:$BB684)</f>
        <v>0</v>
      </c>
      <c r="H684" s="27">
        <f ca="1" t="shared" si="14"/>
        <v>50</v>
      </c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>
        <v>50</v>
      </c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</row>
    <row r="685" s="58" customFormat="1" ht="22.5" hidden="1" customHeight="1" spans="1:54">
      <c r="A685" s="19"/>
      <c r="B685" s="19"/>
      <c r="C685" s="73" t="s">
        <v>12</v>
      </c>
      <c r="D685" s="24"/>
      <c r="E685" s="24">
        <v>0</v>
      </c>
      <c r="F685" s="74">
        <f ca="1">SUMIF(I$3:$BB684,"入库",I685:$BB685)</f>
        <v>750</v>
      </c>
      <c r="G685" s="24">
        <f ca="1">SUMIF(J$3:$BB684,"出库",J685:$BB685)</f>
        <v>0</v>
      </c>
      <c r="H685" s="27">
        <f ca="1" t="shared" si="14"/>
        <v>750</v>
      </c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>
        <v>750</v>
      </c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</row>
    <row r="686" s="58" customFormat="1" ht="22.5" hidden="1" customHeight="1" spans="1:54">
      <c r="A686" s="72">
        <v>227</v>
      </c>
      <c r="B686" s="72" t="s">
        <v>243</v>
      </c>
      <c r="C686" s="25" t="s">
        <v>13</v>
      </c>
      <c r="D686" s="24"/>
      <c r="E686" s="24">
        <v>0</v>
      </c>
      <c r="F686" s="74">
        <f ca="1">SUMIF(I$3:$BB685,"入库",I686:$BB686)</f>
        <v>350</v>
      </c>
      <c r="G686" s="24">
        <f ca="1">SUMIF(J$3:$BB685,"出库",J686:$BB686)</f>
        <v>0</v>
      </c>
      <c r="H686" s="27">
        <f ca="1" t="shared" si="14"/>
        <v>350</v>
      </c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>
        <v>350</v>
      </c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</row>
    <row r="687" s="58" customFormat="1" ht="22.5" hidden="1" customHeight="1" spans="1:54">
      <c r="A687" s="18"/>
      <c r="B687" s="18"/>
      <c r="C687" s="24" t="s">
        <v>14</v>
      </c>
      <c r="D687" s="24"/>
      <c r="E687" s="24">
        <v>0</v>
      </c>
      <c r="F687" s="74">
        <f ca="1">SUMIF(I$3:$BB686,"入库",I687:$BB687)</f>
        <v>6</v>
      </c>
      <c r="G687" s="24">
        <f ca="1">SUMIF(J$3:$BB686,"出库",J687:$BB687)</f>
        <v>0</v>
      </c>
      <c r="H687" s="27">
        <f ca="1" t="shared" si="14"/>
        <v>6</v>
      </c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>
        <v>6</v>
      </c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</row>
    <row r="688" s="58" customFormat="1" ht="22.5" hidden="1" customHeight="1" spans="1:54">
      <c r="A688" s="19"/>
      <c r="B688" s="19"/>
      <c r="C688" s="73" t="s">
        <v>12</v>
      </c>
      <c r="D688" s="24"/>
      <c r="E688" s="24">
        <v>0</v>
      </c>
      <c r="F688" s="74">
        <f ca="1">SUMIF(I$3:$BB687,"入库",I688:$BB688)</f>
        <v>110</v>
      </c>
      <c r="G688" s="24">
        <f ca="1">SUMIF(J$3:$BB687,"出库",J688:$BB688)</f>
        <v>35</v>
      </c>
      <c r="H688" s="27">
        <f ca="1" t="shared" si="14"/>
        <v>75</v>
      </c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>
        <v>110</v>
      </c>
      <c r="X688" s="24"/>
      <c r="Y688" s="24"/>
      <c r="Z688" s="24">
        <v>35</v>
      </c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</row>
    <row r="689" s="58" customFormat="1" ht="22.5" hidden="1" customHeight="1" spans="1:54">
      <c r="A689" s="72">
        <v>228</v>
      </c>
      <c r="B689" s="72" t="s">
        <v>244</v>
      </c>
      <c r="C689" s="25" t="s">
        <v>13</v>
      </c>
      <c r="D689" s="24"/>
      <c r="E689" s="24">
        <v>0</v>
      </c>
      <c r="F689" s="74">
        <f ca="1">SUMIF(I$3:$BB688,"入库",I689:$BB689)</f>
        <v>0</v>
      </c>
      <c r="G689" s="24">
        <f ca="1">SUMIF(J$3:$BB688,"出库",J689:$BB689)</f>
        <v>0</v>
      </c>
      <c r="H689" s="27">
        <f ca="1" t="shared" si="14"/>
        <v>0</v>
      </c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</row>
    <row r="690" s="58" customFormat="1" ht="22.5" hidden="1" customHeight="1" spans="1:54">
      <c r="A690" s="18"/>
      <c r="B690" s="18"/>
      <c r="C690" s="24" t="s">
        <v>14</v>
      </c>
      <c r="D690" s="24"/>
      <c r="E690" s="24">
        <v>0</v>
      </c>
      <c r="F690" s="74">
        <f ca="1">SUMIF(I$3:$BB689,"入库",I690:$BB690)</f>
        <v>10</v>
      </c>
      <c r="G690" s="24">
        <f ca="1">SUMIF(J$3:$BB689,"出库",J690:$BB690)</f>
        <v>0</v>
      </c>
      <c r="H690" s="27">
        <f ca="1" t="shared" si="14"/>
        <v>10</v>
      </c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>
        <v>10</v>
      </c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</row>
    <row r="691" s="58" customFormat="1" ht="22.5" hidden="1" customHeight="1" spans="1:54">
      <c r="A691" s="19"/>
      <c r="B691" s="19"/>
      <c r="C691" s="73" t="s">
        <v>12</v>
      </c>
      <c r="D691" s="24"/>
      <c r="E691" s="24">
        <v>0</v>
      </c>
      <c r="F691" s="74">
        <f ca="1">SUMIF(I$3:$BB690,"入库",I691:$BB691)</f>
        <v>90</v>
      </c>
      <c r="G691" s="24">
        <f ca="1">SUMIF(J$3:$BB690,"出库",J691:$BB691)</f>
        <v>0</v>
      </c>
      <c r="H691" s="27">
        <f ca="1" t="shared" si="14"/>
        <v>90</v>
      </c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>
        <v>90</v>
      </c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</row>
    <row r="692" s="58" customFormat="1" ht="22.5" hidden="1" customHeight="1" spans="1:54">
      <c r="A692" s="72">
        <v>229</v>
      </c>
      <c r="B692" s="72" t="s">
        <v>245</v>
      </c>
      <c r="C692" s="25" t="s">
        <v>13</v>
      </c>
      <c r="D692" s="24"/>
      <c r="E692" s="24">
        <v>0</v>
      </c>
      <c r="F692" s="74">
        <f ca="1">SUMIF(I$3:$BB691,"入库",I692:$BB692)</f>
        <v>400</v>
      </c>
      <c r="G692" s="24">
        <f ca="1">SUMIF(J$3:$BB691,"出库",J692:$BB692)</f>
        <v>0</v>
      </c>
      <c r="H692" s="27">
        <f ca="1" t="shared" si="14"/>
        <v>400</v>
      </c>
      <c r="I692" s="24"/>
      <c r="J692" s="24"/>
      <c r="K692" s="24"/>
      <c r="L692" s="24"/>
      <c r="M692" s="24">
        <v>400</v>
      </c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</row>
    <row r="693" s="58" customFormat="1" ht="22.5" hidden="1" customHeight="1" spans="1:54">
      <c r="A693" s="18"/>
      <c r="B693" s="18"/>
      <c r="C693" s="24" t="s">
        <v>14</v>
      </c>
      <c r="D693" s="24"/>
      <c r="E693" s="24">
        <v>0</v>
      </c>
      <c r="F693" s="74">
        <f ca="1">SUMIF(I$3:$BB692,"入库",I693:$BB693)</f>
        <v>0</v>
      </c>
      <c r="G693" s="24">
        <f ca="1">SUMIF(J$3:$BB692,"出库",J693:$BB693)</f>
        <v>0</v>
      </c>
      <c r="H693" s="27">
        <f ca="1" t="shared" si="14"/>
        <v>0</v>
      </c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</row>
    <row r="694" s="58" customFormat="1" ht="22.5" hidden="1" customHeight="1" spans="1:54">
      <c r="A694" s="19"/>
      <c r="B694" s="19"/>
      <c r="C694" s="73" t="s">
        <v>12</v>
      </c>
      <c r="D694" s="24"/>
      <c r="E694" s="24">
        <v>0</v>
      </c>
      <c r="F694" s="74">
        <f ca="1">SUMIF(I$3:$BB693,"入库",I694:$BB694)</f>
        <v>600</v>
      </c>
      <c r="G694" s="24">
        <f ca="1">SUMIF(J$3:$BB693,"出库",J694:$BB694)</f>
        <v>0</v>
      </c>
      <c r="H694" s="27">
        <f ca="1" t="shared" si="14"/>
        <v>600</v>
      </c>
      <c r="I694" s="24"/>
      <c r="J694" s="24"/>
      <c r="K694" s="24"/>
      <c r="L694" s="24"/>
      <c r="M694" s="24">
        <v>600</v>
      </c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</row>
    <row r="695" s="58" customFormat="1" ht="22.5" hidden="1" customHeight="1" spans="1:54">
      <c r="A695" s="72">
        <v>230</v>
      </c>
      <c r="B695" s="72" t="s">
        <v>246</v>
      </c>
      <c r="C695" s="25" t="s">
        <v>13</v>
      </c>
      <c r="D695" s="24"/>
      <c r="E695" s="24">
        <v>0</v>
      </c>
      <c r="F695" s="74">
        <f ca="1">SUMIF(I$3:$BB694,"入库",I695:$BB695)</f>
        <v>15</v>
      </c>
      <c r="G695" s="24">
        <f ca="1">SUMIF(J$3:$BB694,"出库",J695:$BB695)</f>
        <v>0</v>
      </c>
      <c r="H695" s="27">
        <f ca="1" t="shared" si="14"/>
        <v>15</v>
      </c>
      <c r="I695" s="24"/>
      <c r="J695" s="24"/>
      <c r="K695" s="24"/>
      <c r="L695" s="24"/>
      <c r="M695" s="24">
        <v>15</v>
      </c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</row>
    <row r="696" s="58" customFormat="1" ht="22.5" hidden="1" customHeight="1" spans="1:54">
      <c r="A696" s="18"/>
      <c r="B696" s="18"/>
      <c r="C696" s="24" t="s">
        <v>14</v>
      </c>
      <c r="D696" s="24"/>
      <c r="E696" s="24">
        <v>0</v>
      </c>
      <c r="F696" s="74">
        <f ca="1">SUMIF(I$3:$BB695,"入库",I696:$BB696)</f>
        <v>150</v>
      </c>
      <c r="G696" s="24">
        <f ca="1">SUMIF(J$3:$BB695,"出库",J696:$BB696)</f>
        <v>0</v>
      </c>
      <c r="H696" s="27">
        <f ca="1" t="shared" si="14"/>
        <v>150</v>
      </c>
      <c r="I696" s="24"/>
      <c r="J696" s="24"/>
      <c r="K696" s="24"/>
      <c r="L696" s="24"/>
      <c r="M696" s="24">
        <v>150</v>
      </c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</row>
    <row r="697" s="58" customFormat="1" ht="22.5" hidden="1" customHeight="1" spans="1:54">
      <c r="A697" s="19"/>
      <c r="B697" s="19"/>
      <c r="C697" s="73" t="s">
        <v>12</v>
      </c>
      <c r="D697" s="24"/>
      <c r="E697" s="24">
        <v>0</v>
      </c>
      <c r="F697" s="74">
        <f ca="1">SUMIF(I$3:$BB696,"入库",I697:$BB697)</f>
        <v>0</v>
      </c>
      <c r="G697" s="24">
        <f ca="1">SUMIF(J$3:$BB696,"出库",J697:$BB697)</f>
        <v>0</v>
      </c>
      <c r="H697" s="27">
        <f ca="1" t="shared" si="14"/>
        <v>0</v>
      </c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</row>
    <row r="698" s="58" customFormat="1" ht="22.5" hidden="1" customHeight="1" spans="1:54">
      <c r="A698" s="72">
        <v>231</v>
      </c>
      <c r="B698" s="72" t="s">
        <v>247</v>
      </c>
      <c r="C698" s="25" t="s">
        <v>13</v>
      </c>
      <c r="D698" s="24"/>
      <c r="E698" s="24">
        <v>0</v>
      </c>
      <c r="F698" s="74">
        <f ca="1">SUMIF(I$3:$BB697,"入库",I698:$BB698)</f>
        <v>50</v>
      </c>
      <c r="G698" s="24">
        <f ca="1">SUMIF(J$3:$BB697,"出库",J698:$BB698)</f>
        <v>0</v>
      </c>
      <c r="H698" s="27">
        <f ca="1" t="shared" si="14"/>
        <v>50</v>
      </c>
      <c r="I698" s="24"/>
      <c r="J698" s="24"/>
      <c r="K698" s="24">
        <v>50</v>
      </c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</row>
    <row r="699" s="58" customFormat="1" ht="22.5" hidden="1" customHeight="1" spans="1:54">
      <c r="A699" s="18"/>
      <c r="B699" s="18"/>
      <c r="C699" s="24" t="s">
        <v>14</v>
      </c>
      <c r="D699" s="24"/>
      <c r="E699" s="24">
        <v>0</v>
      </c>
      <c r="F699" s="74">
        <f ca="1">SUMIF(I$3:$BB698,"入库",I699:$BB699)</f>
        <v>10</v>
      </c>
      <c r="G699" s="24">
        <f ca="1">SUMIF(J$3:$BB698,"出库",J699:$BB699)</f>
        <v>0</v>
      </c>
      <c r="H699" s="27">
        <f ca="1" t="shared" si="14"/>
        <v>10</v>
      </c>
      <c r="I699" s="24"/>
      <c r="J699" s="24"/>
      <c r="K699" s="24">
        <v>10</v>
      </c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</row>
    <row r="700" s="58" customFormat="1" ht="22.5" hidden="1" customHeight="1" spans="1:54">
      <c r="A700" s="19"/>
      <c r="B700" s="19"/>
      <c r="C700" s="73" t="s">
        <v>12</v>
      </c>
      <c r="D700" s="24"/>
      <c r="E700" s="24">
        <v>0</v>
      </c>
      <c r="F700" s="74">
        <f ca="1">SUMIF(I$3:$BB699,"入库",I700:$BB700)</f>
        <v>950</v>
      </c>
      <c r="G700" s="24">
        <f ca="1">SUMIF(J$3:$BB699,"出库",J700:$BB700)</f>
        <v>0</v>
      </c>
      <c r="H700" s="27"/>
      <c r="I700" s="24"/>
      <c r="J700" s="24"/>
      <c r="K700" s="24">
        <v>450</v>
      </c>
      <c r="L700" s="24"/>
      <c r="M700" s="24"/>
      <c r="N700" s="24"/>
      <c r="O700" s="24"/>
      <c r="P700" s="24"/>
      <c r="Q700" s="24"/>
      <c r="R700" s="24"/>
      <c r="S700" s="24"/>
      <c r="T700" s="24"/>
      <c r="U700" s="24">
        <v>500</v>
      </c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</row>
    <row r="701" s="58" customFormat="1" ht="22.5" hidden="1" customHeight="1" spans="1:54">
      <c r="A701" s="72">
        <v>232</v>
      </c>
      <c r="B701" s="72" t="s">
        <v>248</v>
      </c>
      <c r="C701" s="25" t="s">
        <v>13</v>
      </c>
      <c r="D701" s="24"/>
      <c r="E701" s="24">
        <v>0</v>
      </c>
      <c r="F701" s="74">
        <f ca="1">SUMIF(I$3:$BB700,"入库",I701:$BB701)</f>
        <v>0</v>
      </c>
      <c r="G701" s="24">
        <f ca="1">SUMIF(J$3:$BB700,"出库",J701:$BB701)</f>
        <v>0</v>
      </c>
      <c r="H701" s="27">
        <f ca="1" t="shared" si="14"/>
        <v>0</v>
      </c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</row>
    <row r="702" s="58" customFormat="1" ht="22.5" hidden="1" customHeight="1" spans="1:54">
      <c r="A702" s="18"/>
      <c r="B702" s="18"/>
      <c r="C702" s="24" t="s">
        <v>14</v>
      </c>
      <c r="D702" s="24"/>
      <c r="E702" s="24">
        <v>0</v>
      </c>
      <c r="F702" s="74">
        <f ca="1">SUMIF(I$3:$BB701,"入库",I702:$BB702)</f>
        <v>230</v>
      </c>
      <c r="G702" s="24">
        <f ca="1">SUMIF(J$3:$BB701,"出库",J702:$BB702)</f>
        <v>0</v>
      </c>
      <c r="H702" s="27">
        <f ca="1" t="shared" si="14"/>
        <v>230</v>
      </c>
      <c r="I702" s="24"/>
      <c r="J702" s="24"/>
      <c r="K702" s="24">
        <v>230</v>
      </c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</row>
    <row r="703" s="58" customFormat="1" ht="22.5" hidden="1" customHeight="1" spans="1:54">
      <c r="A703" s="19"/>
      <c r="B703" s="19"/>
      <c r="C703" s="73" t="s">
        <v>12</v>
      </c>
      <c r="D703" s="24"/>
      <c r="E703" s="24">
        <v>0</v>
      </c>
      <c r="F703" s="74">
        <f ca="1">SUMIF(I$3:$BB702,"入库",I703:$BB703)</f>
        <v>810</v>
      </c>
      <c r="G703" s="24">
        <f ca="1">SUMIF(J$3:$BB702,"出库",J703:$BB703)</f>
        <v>0</v>
      </c>
      <c r="H703" s="27">
        <f ca="1" t="shared" si="14"/>
        <v>810</v>
      </c>
      <c r="I703" s="24"/>
      <c r="J703" s="24"/>
      <c r="K703" s="24">
        <v>810</v>
      </c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</row>
    <row r="704" s="58" customFormat="1" ht="22.5" hidden="1" customHeight="1" spans="1:54">
      <c r="A704" s="72">
        <v>233</v>
      </c>
      <c r="B704" s="72" t="s">
        <v>249</v>
      </c>
      <c r="C704" s="25" t="s">
        <v>13</v>
      </c>
      <c r="D704" s="24"/>
      <c r="E704" s="24">
        <v>0</v>
      </c>
      <c r="F704" s="74">
        <f ca="1">SUMIF(I$3:$BB703,"入库",I704:$BB704)</f>
        <v>0</v>
      </c>
      <c r="G704" s="24">
        <f ca="1">SUMIF(J$3:$BB703,"出库",J704:$BB704)</f>
        <v>0</v>
      </c>
      <c r="H704" s="27">
        <f ca="1" t="shared" si="14"/>
        <v>0</v>
      </c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</row>
    <row r="705" s="58" customFormat="1" ht="22.5" hidden="1" customHeight="1" spans="1:54">
      <c r="A705" s="18"/>
      <c r="B705" s="18"/>
      <c r="C705" s="24" t="s">
        <v>14</v>
      </c>
      <c r="D705" s="24"/>
      <c r="E705" s="24">
        <v>0</v>
      </c>
      <c r="F705" s="74">
        <f ca="1">SUMIF(I$3:$BB704,"入库",I705:$BB705)</f>
        <v>0</v>
      </c>
      <c r="G705" s="24">
        <f ca="1">SUMIF(J$3:$BB704,"出库",J705:$BB705)</f>
        <v>0</v>
      </c>
      <c r="H705" s="27">
        <f ca="1" t="shared" si="14"/>
        <v>0</v>
      </c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</row>
    <row r="706" s="58" customFormat="1" ht="22.5" hidden="1" customHeight="1" spans="1:54">
      <c r="A706" s="19"/>
      <c r="B706" s="19"/>
      <c r="C706" s="73" t="s">
        <v>12</v>
      </c>
      <c r="D706" s="24"/>
      <c r="E706" s="24">
        <v>0</v>
      </c>
      <c r="F706" s="74">
        <f ca="1">SUMIF(I$3:$BB705,"入库",I706:$BB706)</f>
        <v>620</v>
      </c>
      <c r="G706" s="24">
        <f ca="1">SUMIF(J$3:$BB705,"出库",J706:$BB706)</f>
        <v>0</v>
      </c>
      <c r="H706" s="27">
        <f ca="1" t="shared" si="14"/>
        <v>620</v>
      </c>
      <c r="I706" s="24"/>
      <c r="J706" s="24"/>
      <c r="K706" s="24">
        <v>620</v>
      </c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</row>
    <row r="707" s="58" customFormat="1" ht="22.5" hidden="1" customHeight="1" spans="1:54">
      <c r="A707" s="72">
        <v>234</v>
      </c>
      <c r="B707" s="72" t="s">
        <v>250</v>
      </c>
      <c r="C707" s="25" t="s">
        <v>13</v>
      </c>
      <c r="D707" s="24"/>
      <c r="E707" s="24">
        <v>0</v>
      </c>
      <c r="F707" s="74">
        <f ca="1">SUMIF(I$3:$BB706,"入库",I707:$BB707)</f>
        <v>0</v>
      </c>
      <c r="G707" s="24">
        <f ca="1">SUMIF(J$3:$BB706,"出库",J707:$BB707)</f>
        <v>0</v>
      </c>
      <c r="H707" s="27">
        <v>90</v>
      </c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</row>
    <row r="708" s="58" customFormat="1" ht="22.5" hidden="1" customHeight="1" spans="1:54">
      <c r="A708" s="18"/>
      <c r="B708" s="18"/>
      <c r="C708" s="24" t="s">
        <v>14</v>
      </c>
      <c r="D708" s="24"/>
      <c r="E708" s="24">
        <v>0</v>
      </c>
      <c r="F708" s="74">
        <f ca="1">SUMIF(I$3:$BB707,"入库",I708:$BB708)</f>
        <v>0</v>
      </c>
      <c r="G708" s="24">
        <f ca="1">SUMIF(J$3:$BB707,"出库",J708:$BB708)</f>
        <v>0</v>
      </c>
      <c r="H708" s="27">
        <f ca="1" t="shared" si="14"/>
        <v>0</v>
      </c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</row>
    <row r="709" s="58" customFormat="1" ht="22.5" hidden="1" customHeight="1" spans="1:54">
      <c r="A709" s="19"/>
      <c r="B709" s="19"/>
      <c r="C709" s="73" t="s">
        <v>12</v>
      </c>
      <c r="D709" s="24"/>
      <c r="E709" s="24">
        <v>0</v>
      </c>
      <c r="F709" s="74">
        <f ca="1">SUMIF(I$3:$BB708,"入库",I709:$BB709)</f>
        <v>0</v>
      </c>
      <c r="G709" s="24">
        <f ca="1">SUMIF(J$3:$BB708,"出库",J709:$BB709)</f>
        <v>0</v>
      </c>
      <c r="H709" s="27">
        <v>50</v>
      </c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</row>
    <row r="710" s="58" customFormat="1" ht="22.5" hidden="1" customHeight="1" spans="1:54">
      <c r="A710" s="72">
        <v>235</v>
      </c>
      <c r="B710" s="72" t="s">
        <v>251</v>
      </c>
      <c r="C710" s="25" t="s">
        <v>13</v>
      </c>
      <c r="D710" s="24"/>
      <c r="E710" s="24">
        <v>0</v>
      </c>
      <c r="F710" s="74">
        <f ca="1">SUMIF(I$3:$BB709,"入库",I710:$BB710)</f>
        <v>50</v>
      </c>
      <c r="G710" s="24">
        <f ca="1">SUMIF(J$3:$BB709,"出库",J710:$BB710)</f>
        <v>0</v>
      </c>
      <c r="H710" s="27">
        <f ca="1" t="shared" si="14"/>
        <v>50</v>
      </c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>
        <v>50</v>
      </c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</row>
    <row r="711" s="58" customFormat="1" ht="22.5" hidden="1" customHeight="1" spans="1:54">
      <c r="A711" s="18"/>
      <c r="B711" s="18"/>
      <c r="C711" s="24" t="s">
        <v>14</v>
      </c>
      <c r="D711" s="24"/>
      <c r="E711" s="24">
        <v>0</v>
      </c>
      <c r="F711" s="74">
        <f ca="1">SUMIF(I$3:$BB710,"入库",I711:$BB711)</f>
        <v>0</v>
      </c>
      <c r="G711" s="24">
        <f ca="1">SUMIF(J$3:$BB710,"出库",J711:$BB711)</f>
        <v>0</v>
      </c>
      <c r="H711" s="27">
        <f ca="1" t="shared" si="14"/>
        <v>0</v>
      </c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</row>
    <row r="712" s="58" customFormat="1" ht="22.5" hidden="1" customHeight="1" spans="1:54">
      <c r="A712" s="19"/>
      <c r="B712" s="19"/>
      <c r="C712" s="73" t="s">
        <v>12</v>
      </c>
      <c r="D712" s="24"/>
      <c r="E712" s="24">
        <v>0</v>
      </c>
      <c r="F712" s="74">
        <f ca="1">SUMIF(I$3:$BB711,"入库",I712:$BB712)</f>
        <v>4300</v>
      </c>
      <c r="G712" s="24">
        <f ca="1">SUMIF(J$3:$BB711,"出库",J712:$BB712)</f>
        <v>0</v>
      </c>
      <c r="H712" s="27">
        <f ca="1" t="shared" si="14"/>
        <v>4300</v>
      </c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>
        <v>4300</v>
      </c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</row>
    <row r="713" s="58" customFormat="1" ht="22.5" hidden="1" customHeight="1" spans="1:54">
      <c r="A713" s="72">
        <v>236</v>
      </c>
      <c r="B713" s="72" t="s">
        <v>252</v>
      </c>
      <c r="C713" s="25" t="s">
        <v>13</v>
      </c>
      <c r="D713" s="24"/>
      <c r="E713" s="24">
        <v>0</v>
      </c>
      <c r="F713" s="74">
        <f ca="1">SUMIF(I$3:$BB712,"入库",I713:$BB713)</f>
        <v>20</v>
      </c>
      <c r="G713" s="24">
        <f ca="1">SUMIF(J$3:$BB712,"出库",J713:$BB713)</f>
        <v>0</v>
      </c>
      <c r="H713" s="27">
        <f ca="1" t="shared" si="14"/>
        <v>20</v>
      </c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>
        <v>20</v>
      </c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</row>
    <row r="714" s="58" customFormat="1" ht="22.5" hidden="1" customHeight="1" spans="1:54">
      <c r="A714" s="18"/>
      <c r="B714" s="18"/>
      <c r="C714" s="24" t="s">
        <v>14</v>
      </c>
      <c r="D714" s="24"/>
      <c r="E714" s="24">
        <v>0</v>
      </c>
      <c r="F714" s="74">
        <f ca="1">SUMIF(I$3:$BB713,"入库",I714:$BB714)</f>
        <v>6</v>
      </c>
      <c r="G714" s="24">
        <f ca="1">SUMIF(J$3:$BB713,"出库",J714:$BB714)</f>
        <v>0</v>
      </c>
      <c r="H714" s="27">
        <f ca="1" t="shared" si="14"/>
        <v>6</v>
      </c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>
        <v>6</v>
      </c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</row>
    <row r="715" s="58" customFormat="1" ht="22.5" hidden="1" customHeight="1" spans="1:54">
      <c r="A715" s="19"/>
      <c r="B715" s="19"/>
      <c r="C715" s="73" t="s">
        <v>12</v>
      </c>
      <c r="D715" s="24"/>
      <c r="E715" s="24">
        <v>0</v>
      </c>
      <c r="F715" s="74">
        <f ca="1">SUMIF(I$3:$BB714,"入库",I715:$BB715)</f>
        <v>350</v>
      </c>
      <c r="G715" s="24">
        <f ca="1">SUMIF(J$3:$BB714,"出库",J715:$BB715)</f>
        <v>150</v>
      </c>
      <c r="H715" s="27">
        <f ca="1" t="shared" si="14"/>
        <v>200</v>
      </c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>
        <v>350</v>
      </c>
      <c r="X715" s="24"/>
      <c r="Y715" s="24"/>
      <c r="Z715" s="24">
        <v>100</v>
      </c>
      <c r="AA715" s="24"/>
      <c r="AB715" s="24"/>
      <c r="AC715" s="24"/>
      <c r="AD715" s="24">
        <v>50</v>
      </c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</row>
    <row r="716" s="58" customFormat="1" ht="22.5" hidden="1" customHeight="1" spans="1:54">
      <c r="A716" s="72">
        <v>237</v>
      </c>
      <c r="B716" s="72" t="s">
        <v>253</v>
      </c>
      <c r="C716" s="25" t="s">
        <v>13</v>
      </c>
      <c r="D716" s="24"/>
      <c r="E716" s="24">
        <v>0</v>
      </c>
      <c r="F716" s="74">
        <f ca="1">SUMIF(I$3:$BB715,"入库",I716:$BB716)</f>
        <v>350</v>
      </c>
      <c r="G716" s="24">
        <f ca="1">SUMIF(J$3:$BB715,"出库",J716:$BB716)</f>
        <v>0</v>
      </c>
      <c r="H716" s="27">
        <f ca="1" t="shared" si="14"/>
        <v>350</v>
      </c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>
        <v>350</v>
      </c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</row>
    <row r="717" s="58" customFormat="1" ht="22.5" hidden="1" customHeight="1" spans="1:54">
      <c r="A717" s="18"/>
      <c r="B717" s="18"/>
      <c r="C717" s="24" t="s">
        <v>14</v>
      </c>
      <c r="D717" s="24"/>
      <c r="E717" s="24">
        <v>0</v>
      </c>
      <c r="F717" s="74">
        <f ca="1">SUMIF(I$3:$BB716,"入库",I717:$BB717)</f>
        <v>10</v>
      </c>
      <c r="G717" s="24">
        <f ca="1">SUMIF(J$3:$BB716,"出库",J717:$BB717)</f>
        <v>10</v>
      </c>
      <c r="H717" s="27">
        <f ca="1" t="shared" si="14"/>
        <v>0</v>
      </c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>
        <v>10</v>
      </c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>
        <v>10</v>
      </c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</row>
    <row r="718" s="58" customFormat="1" ht="39" hidden="1" customHeight="1" spans="1:54">
      <c r="A718" s="19"/>
      <c r="B718" s="19"/>
      <c r="C718" s="73" t="s">
        <v>12</v>
      </c>
      <c r="D718" s="24"/>
      <c r="E718" s="24">
        <v>0</v>
      </c>
      <c r="F718" s="74">
        <f ca="1">SUMIF(I$3:$BB717,"入库",I718:$BB718)</f>
        <v>3200</v>
      </c>
      <c r="G718" s="24">
        <f ca="1">SUMIF(J$3:$BB717,"出库",J718:$BB718)</f>
        <v>0</v>
      </c>
      <c r="H718" s="27">
        <f ca="1" t="shared" si="14"/>
        <v>3200</v>
      </c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>
        <v>1400</v>
      </c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>
        <v>1800</v>
      </c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</row>
    <row r="719" s="58" customFormat="1" ht="22.5" hidden="1" customHeight="1" spans="1:54">
      <c r="A719" s="72">
        <v>238</v>
      </c>
      <c r="B719" s="72" t="s">
        <v>254</v>
      </c>
      <c r="C719" s="25" t="s">
        <v>13</v>
      </c>
      <c r="D719" s="24"/>
      <c r="E719" s="24">
        <v>0</v>
      </c>
      <c r="F719" s="74">
        <f ca="1">SUMIF(I$3:$BB718,"入库",I719:$BB719)</f>
        <v>0</v>
      </c>
      <c r="G719" s="24">
        <f ca="1">SUMIF(J$3:$BB718,"出库",J719:$BB719)</f>
        <v>0</v>
      </c>
      <c r="H719" s="27">
        <f ca="1" t="shared" si="14"/>
        <v>0</v>
      </c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</row>
    <row r="720" s="58" customFormat="1" ht="22.5" hidden="1" customHeight="1" spans="1:54">
      <c r="A720" s="18"/>
      <c r="B720" s="18"/>
      <c r="C720" s="24" t="s">
        <v>14</v>
      </c>
      <c r="D720" s="24"/>
      <c r="E720" s="24">
        <v>0</v>
      </c>
      <c r="F720" s="74">
        <f ca="1">SUMIF(I$3:$BB719,"入库",I720:$BB720)</f>
        <v>18</v>
      </c>
      <c r="G720" s="24">
        <f ca="1">SUMIF(J$3:$BB719,"出库",J720:$BB720)</f>
        <v>12</v>
      </c>
      <c r="H720" s="27">
        <f ca="1" t="shared" si="14"/>
        <v>6</v>
      </c>
      <c r="I720" s="24"/>
      <c r="J720" s="24"/>
      <c r="K720" s="24"/>
      <c r="L720" s="24"/>
      <c r="M720" s="24">
        <v>18</v>
      </c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>
        <v>12</v>
      </c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</row>
    <row r="721" s="58" customFormat="1" ht="39" hidden="1" customHeight="1" spans="1:54">
      <c r="A721" s="19"/>
      <c r="B721" s="19"/>
      <c r="C721" s="73" t="s">
        <v>12</v>
      </c>
      <c r="D721" s="24"/>
      <c r="E721" s="24">
        <v>0</v>
      </c>
      <c r="F721" s="74">
        <f ca="1">SUMIF(I$3:$BB720,"入库",I721:$BB721)</f>
        <v>5100</v>
      </c>
      <c r="G721" s="24">
        <f ca="1">SUMIF(J$3:$BB720,"出库",J721:$BB721)</f>
        <v>300</v>
      </c>
      <c r="H721" s="27">
        <f ca="1" t="shared" si="14"/>
        <v>4800</v>
      </c>
      <c r="I721" s="24"/>
      <c r="J721" s="24"/>
      <c r="K721" s="24"/>
      <c r="L721" s="24"/>
      <c r="M721" s="24">
        <v>5100</v>
      </c>
      <c r="N721" s="24"/>
      <c r="O721" s="24"/>
      <c r="P721" s="24">
        <v>300</v>
      </c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</row>
    <row r="722" s="58" customFormat="1" ht="22.5" hidden="1" customHeight="1" spans="1:54">
      <c r="A722" s="72">
        <v>239</v>
      </c>
      <c r="B722" s="72" t="s">
        <v>255</v>
      </c>
      <c r="C722" s="25" t="s">
        <v>13</v>
      </c>
      <c r="D722" s="24"/>
      <c r="E722" s="24">
        <v>0</v>
      </c>
      <c r="F722" s="74">
        <f ca="1">SUMIF(I$3:$BB721,"入库",I722:$BB722)</f>
        <v>30</v>
      </c>
      <c r="G722" s="24">
        <f ca="1">SUMIF(J$3:$BB721,"出库",J722:$BB722)</f>
        <v>0</v>
      </c>
      <c r="H722" s="27">
        <f ca="1" t="shared" si="14"/>
        <v>30</v>
      </c>
      <c r="I722" s="24"/>
      <c r="J722" s="24"/>
      <c r="K722" s="24"/>
      <c r="L722" s="24"/>
      <c r="M722" s="24">
        <v>30</v>
      </c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</row>
    <row r="723" s="58" customFormat="1" ht="22.5" hidden="1" customHeight="1" spans="1:54">
      <c r="A723" s="18"/>
      <c r="B723" s="18"/>
      <c r="C723" s="24" t="s">
        <v>14</v>
      </c>
      <c r="D723" s="24"/>
      <c r="E723" s="24">
        <v>0</v>
      </c>
      <c r="F723" s="74">
        <f ca="1">SUMIF(I$3:$BB722,"入库",I723:$BB723)</f>
        <v>45</v>
      </c>
      <c r="G723" s="24">
        <f ca="1">SUMIF(J$3:$BB722,"出库",J723:$BB723)</f>
        <v>0</v>
      </c>
      <c r="H723" s="27">
        <f ca="1" t="shared" si="14"/>
        <v>45</v>
      </c>
      <c r="I723" s="24"/>
      <c r="J723" s="24"/>
      <c r="K723" s="24"/>
      <c r="L723" s="24"/>
      <c r="M723" s="24">
        <v>45</v>
      </c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</row>
    <row r="724" s="58" customFormat="1" ht="22.5" hidden="1" customHeight="1" spans="1:54">
      <c r="A724" s="19"/>
      <c r="B724" s="19"/>
      <c r="C724" s="73" t="s">
        <v>12</v>
      </c>
      <c r="D724" s="24"/>
      <c r="E724" s="24">
        <v>0</v>
      </c>
      <c r="F724" s="74">
        <f ca="1">SUMIF(I$3:$BB723,"入库",I724:$BB724)</f>
        <v>150</v>
      </c>
      <c r="G724" s="24">
        <f ca="1">SUMIF(J$3:$BB723,"出库",J724:$BB724)</f>
        <v>10</v>
      </c>
      <c r="H724" s="27">
        <f ca="1" t="shared" si="14"/>
        <v>140</v>
      </c>
      <c r="I724" s="24"/>
      <c r="J724" s="24"/>
      <c r="K724" s="24"/>
      <c r="L724" s="24"/>
      <c r="M724" s="24">
        <v>150</v>
      </c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>
        <v>10</v>
      </c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</row>
    <row r="725" s="58" customFormat="1" ht="22.5" hidden="1" customHeight="1" spans="1:54">
      <c r="A725" s="72">
        <v>240</v>
      </c>
      <c r="B725" s="72" t="s">
        <v>256</v>
      </c>
      <c r="C725" s="25" t="s">
        <v>13</v>
      </c>
      <c r="D725" s="24"/>
      <c r="E725" s="24">
        <v>0</v>
      </c>
      <c r="F725" s="74">
        <f ca="1">SUMIF(I$3:$BB724,"入库",I725:$BB725)</f>
        <v>200</v>
      </c>
      <c r="G725" s="24">
        <f ca="1">SUMIF(J$3:$BB724,"出库",J725:$BB725)</f>
        <v>0</v>
      </c>
      <c r="H725" s="27">
        <f ca="1" t="shared" si="14"/>
        <v>200</v>
      </c>
      <c r="I725" s="24"/>
      <c r="J725" s="24"/>
      <c r="K725" s="24">
        <v>200</v>
      </c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</row>
    <row r="726" s="58" customFormat="1" ht="22.5" hidden="1" customHeight="1" spans="1:54">
      <c r="A726" s="18"/>
      <c r="B726" s="18"/>
      <c r="C726" s="24" t="s">
        <v>14</v>
      </c>
      <c r="D726" s="24"/>
      <c r="E726" s="24">
        <v>0</v>
      </c>
      <c r="F726" s="74">
        <f ca="1">SUMIF(I$3:$BB725,"入库",I726:$BB726)</f>
        <v>0</v>
      </c>
      <c r="G726" s="24">
        <f ca="1">SUMIF(J$3:$BB725,"出库",J726:$BB726)</f>
        <v>0</v>
      </c>
      <c r="H726" s="27">
        <f ca="1" t="shared" ref="H726:H789" si="15">E726+F726-G726</f>
        <v>0</v>
      </c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</row>
    <row r="727" s="58" customFormat="1" ht="22.5" hidden="1" customHeight="1" spans="1:54">
      <c r="A727" s="19"/>
      <c r="B727" s="19"/>
      <c r="C727" s="73" t="s">
        <v>12</v>
      </c>
      <c r="D727" s="24"/>
      <c r="E727" s="24">
        <v>0</v>
      </c>
      <c r="F727" s="74">
        <f ca="1">SUMIF(I$3:$BB726,"入库",I727:$BB727)</f>
        <v>230</v>
      </c>
      <c r="G727" s="24">
        <f ca="1">SUMIF(J$3:$BB726,"出库",J727:$BB727)</f>
        <v>0</v>
      </c>
      <c r="H727" s="27">
        <f ca="1" t="shared" si="15"/>
        <v>230</v>
      </c>
      <c r="I727" s="24"/>
      <c r="J727" s="24"/>
      <c r="K727" s="24">
        <v>230</v>
      </c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</row>
    <row r="728" s="58" customFormat="1" ht="22.5" hidden="1" customHeight="1" spans="1:54">
      <c r="A728" s="72">
        <v>241</v>
      </c>
      <c r="B728" s="72" t="s">
        <v>257</v>
      </c>
      <c r="C728" s="25" t="s">
        <v>13</v>
      </c>
      <c r="D728" s="24"/>
      <c r="E728" s="24">
        <v>0</v>
      </c>
      <c r="F728" s="74">
        <f ca="1">SUMIF(I$3:$BB727,"入库",I728:$BB728)</f>
        <v>0</v>
      </c>
      <c r="G728" s="24">
        <f ca="1">SUMIF(J$3:$BB727,"出库",J728:$BB728)</f>
        <v>0</v>
      </c>
      <c r="H728" s="27">
        <f ca="1" t="shared" si="15"/>
        <v>0</v>
      </c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</row>
    <row r="729" s="58" customFormat="1" ht="22.5" hidden="1" customHeight="1" spans="1:54">
      <c r="A729" s="18"/>
      <c r="B729" s="18"/>
      <c r="C729" s="24" t="s">
        <v>14</v>
      </c>
      <c r="D729" s="24"/>
      <c r="E729" s="24">
        <v>0</v>
      </c>
      <c r="F729" s="74">
        <f ca="1">SUMIF(I$3:$BB728,"入库",I729:$BB729)</f>
        <v>0</v>
      </c>
      <c r="G729" s="24">
        <f ca="1">SUMIF(J$3:$BB728,"出库",J729:$BB729)</f>
        <v>0</v>
      </c>
      <c r="H729" s="27">
        <v>150</v>
      </c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</row>
    <row r="730" s="58" customFormat="1" ht="22.5" hidden="1" customHeight="1" spans="1:54">
      <c r="A730" s="19"/>
      <c r="B730" s="19"/>
      <c r="C730" s="73" t="s">
        <v>12</v>
      </c>
      <c r="D730" s="24"/>
      <c r="E730" s="24">
        <v>0</v>
      </c>
      <c r="F730" s="74">
        <f ca="1">SUMIF(I$3:$BB729,"入库",I730:$BB730)</f>
        <v>0</v>
      </c>
      <c r="G730" s="24">
        <f ca="1">SUMIF(J$3:$BB729,"出库",J730:$BB730)</f>
        <v>0</v>
      </c>
      <c r="H730" s="27">
        <f ca="1" t="shared" si="15"/>
        <v>0</v>
      </c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</row>
    <row r="731" s="58" customFormat="1" ht="22.5" hidden="1" customHeight="1" spans="1:54">
      <c r="A731" s="72">
        <v>242</v>
      </c>
      <c r="B731" s="72" t="s">
        <v>258</v>
      </c>
      <c r="C731" s="25" t="s">
        <v>13</v>
      </c>
      <c r="D731" s="24"/>
      <c r="E731" s="24">
        <v>0</v>
      </c>
      <c r="F731" s="74">
        <f ca="1">SUMIF(I$3:$BB730,"入库",I731:$BB731)</f>
        <v>40</v>
      </c>
      <c r="G731" s="24">
        <f ca="1">SUMIF(J$3:$BB730,"出库",J731:$BB731)</f>
        <v>0</v>
      </c>
      <c r="H731" s="27">
        <f ca="1" t="shared" si="15"/>
        <v>40</v>
      </c>
      <c r="I731" s="24"/>
      <c r="J731" s="24"/>
      <c r="K731" s="24">
        <v>40</v>
      </c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</row>
    <row r="732" s="58" customFormat="1" ht="22.5" hidden="1" customHeight="1" spans="1:54">
      <c r="A732" s="18"/>
      <c r="B732" s="18"/>
      <c r="C732" s="24" t="s">
        <v>14</v>
      </c>
      <c r="D732" s="24"/>
      <c r="E732" s="24">
        <v>0</v>
      </c>
      <c r="F732" s="74">
        <f ca="1">SUMIF(I$3:$BB731,"入库",I732:$BB732)</f>
        <v>110</v>
      </c>
      <c r="G732" s="24">
        <f ca="1">SUMIF(J$3:$BB731,"出库",J732:$BB732)</f>
        <v>0</v>
      </c>
      <c r="H732" s="27">
        <f ca="1" t="shared" si="15"/>
        <v>110</v>
      </c>
      <c r="I732" s="24"/>
      <c r="J732" s="24"/>
      <c r="K732" s="24">
        <v>110</v>
      </c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</row>
    <row r="733" s="58" customFormat="1" ht="22.5" hidden="1" customHeight="1" spans="1:54">
      <c r="A733" s="19"/>
      <c r="B733" s="19"/>
      <c r="C733" s="73" t="s">
        <v>12</v>
      </c>
      <c r="D733" s="24"/>
      <c r="E733" s="24">
        <v>0</v>
      </c>
      <c r="F733" s="74">
        <f ca="1">SUMIF(I$3:$BB732,"入库",I733:$BB733)</f>
        <v>280</v>
      </c>
      <c r="G733" s="24">
        <f ca="1">SUMIF(J$3:$BB732,"出库",J733:$BB733)</f>
        <v>200</v>
      </c>
      <c r="H733" s="27">
        <f ca="1" t="shared" si="15"/>
        <v>80</v>
      </c>
      <c r="I733" s="24"/>
      <c r="J733" s="24"/>
      <c r="K733" s="24">
        <v>280</v>
      </c>
      <c r="L733" s="24"/>
      <c r="M733" s="24"/>
      <c r="N733" s="24"/>
      <c r="O733" s="24"/>
      <c r="P733" s="24">
        <v>100</v>
      </c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>
        <v>100</v>
      </c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</row>
    <row r="734" s="58" customFormat="1" ht="22.5" hidden="1" customHeight="1" spans="1:54">
      <c r="A734" s="72">
        <v>243</v>
      </c>
      <c r="B734" s="72" t="s">
        <v>259</v>
      </c>
      <c r="C734" s="25" t="s">
        <v>13</v>
      </c>
      <c r="D734" s="24"/>
      <c r="E734" s="24">
        <v>0</v>
      </c>
      <c r="F734" s="74">
        <f ca="1">SUMIF(I$3:$BB733,"入库",I734:$BB734)</f>
        <v>0</v>
      </c>
      <c r="G734" s="24">
        <f ca="1">SUMIF(J$3:$BB733,"出库",J734:$BB734)</f>
        <v>0</v>
      </c>
      <c r="H734" s="27">
        <f ca="1" t="shared" si="15"/>
        <v>0</v>
      </c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</row>
    <row r="735" s="58" customFormat="1" ht="22.5" hidden="1" customHeight="1" spans="1:54">
      <c r="A735" s="18"/>
      <c r="B735" s="18"/>
      <c r="C735" s="24" t="s">
        <v>14</v>
      </c>
      <c r="D735" s="24"/>
      <c r="E735" s="24">
        <v>0</v>
      </c>
      <c r="F735" s="74">
        <f ca="1">SUMIF(I$3:$BB734,"入库",I735:$BB735)</f>
        <v>20</v>
      </c>
      <c r="G735" s="24">
        <f ca="1">SUMIF(J$3:$BB734,"出库",J735:$BB735)</f>
        <v>0</v>
      </c>
      <c r="H735" s="27">
        <f ca="1" t="shared" si="15"/>
        <v>20</v>
      </c>
      <c r="I735" s="24">
        <v>20</v>
      </c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</row>
    <row r="736" s="58" customFormat="1" ht="22.5" hidden="1" customHeight="1" spans="1:54">
      <c r="A736" s="19"/>
      <c r="B736" s="19"/>
      <c r="C736" s="73" t="s">
        <v>12</v>
      </c>
      <c r="D736" s="24"/>
      <c r="E736" s="24">
        <v>0</v>
      </c>
      <c r="F736" s="74">
        <f ca="1">SUMIF(I$3:$BB735,"入库",I736:$BB736)</f>
        <v>80</v>
      </c>
      <c r="G736" s="24">
        <f ca="1">SUMIF(J$3:$BB735,"出库",J736:$BB736)</f>
        <v>60</v>
      </c>
      <c r="H736" s="27">
        <f ca="1" t="shared" si="15"/>
        <v>20</v>
      </c>
      <c r="I736" s="24">
        <v>80</v>
      </c>
      <c r="J736" s="24">
        <v>30</v>
      </c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>
        <v>30</v>
      </c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</row>
    <row r="737" s="58" customFormat="1" ht="22.5" hidden="1" customHeight="1" spans="1:54">
      <c r="A737" s="72">
        <v>244</v>
      </c>
      <c r="B737" s="18" t="s">
        <v>260</v>
      </c>
      <c r="C737" s="25" t="s">
        <v>13</v>
      </c>
      <c r="D737" s="24"/>
      <c r="E737" s="24">
        <v>0</v>
      </c>
      <c r="F737" s="74">
        <f ca="1">SUMIF(I$3:$BB736,"入库",I737:$BB737)</f>
        <v>100</v>
      </c>
      <c r="G737" s="24">
        <f ca="1">SUMIF(J$3:$BB736,"出库",J737:$BB737)</f>
        <v>0</v>
      </c>
      <c r="H737" s="27">
        <f ca="1" t="shared" si="15"/>
        <v>100</v>
      </c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>
        <v>100</v>
      </c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</row>
    <row r="738" s="58" customFormat="1" ht="22.5" hidden="1" customHeight="1" spans="1:54">
      <c r="A738" s="18"/>
      <c r="B738" s="18"/>
      <c r="C738" s="24" t="s">
        <v>14</v>
      </c>
      <c r="D738" s="24"/>
      <c r="E738" s="24">
        <v>0</v>
      </c>
      <c r="F738" s="74">
        <f ca="1">SUMIF(I$3:$BB737,"入库",I738:$BB738)</f>
        <v>0</v>
      </c>
      <c r="G738" s="24">
        <f ca="1">SUMIF(J$3:$BB737,"出库",J738:$BB738)</f>
        <v>0</v>
      </c>
      <c r="H738" s="27">
        <f ca="1" t="shared" si="15"/>
        <v>0</v>
      </c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</row>
    <row r="739" s="58" customFormat="1" ht="22.5" hidden="1" customHeight="1" spans="1:54">
      <c r="A739" s="19"/>
      <c r="B739" s="19"/>
      <c r="C739" s="73" t="s">
        <v>12</v>
      </c>
      <c r="D739" s="24"/>
      <c r="E739" s="24">
        <v>0</v>
      </c>
      <c r="F739" s="74">
        <f ca="1">SUMIF(I$3:$BB738,"入库",I739:$BB739)</f>
        <v>600</v>
      </c>
      <c r="G739" s="24">
        <f ca="1">SUMIF(J$3:$BB738,"出库",J739:$BB739)</f>
        <v>0</v>
      </c>
      <c r="H739" s="27">
        <f ca="1" t="shared" si="15"/>
        <v>600</v>
      </c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>
        <v>600</v>
      </c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</row>
    <row r="740" s="58" customFormat="1" ht="22.5" hidden="1" customHeight="1" spans="1:54">
      <c r="A740" s="72">
        <v>245</v>
      </c>
      <c r="B740" s="18" t="s">
        <v>261</v>
      </c>
      <c r="C740" s="25" t="s">
        <v>13</v>
      </c>
      <c r="D740" s="24"/>
      <c r="E740" s="24">
        <v>0</v>
      </c>
      <c r="F740" s="74">
        <f ca="1">SUMIF(I$3:$BB739,"入库",I740:$BB740)</f>
        <v>180</v>
      </c>
      <c r="G740" s="24">
        <f ca="1">SUMIF(J$3:$BB739,"出库",J740:$BB740)</f>
        <v>0</v>
      </c>
      <c r="H740" s="27">
        <f ca="1" t="shared" si="15"/>
        <v>180</v>
      </c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>
        <v>180</v>
      </c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</row>
    <row r="741" s="58" customFormat="1" ht="22.5" hidden="1" customHeight="1" spans="1:54">
      <c r="A741" s="18"/>
      <c r="B741" s="18"/>
      <c r="C741" s="24" t="s">
        <v>14</v>
      </c>
      <c r="D741" s="24"/>
      <c r="E741" s="24">
        <v>0</v>
      </c>
      <c r="F741" s="74">
        <f ca="1">SUMIF(I$3:$BB740,"入库",I741:$BB741)</f>
        <v>0</v>
      </c>
      <c r="G741" s="24">
        <f ca="1">SUMIF(J$3:$BB740,"出库",J741:$BB741)</f>
        <v>0</v>
      </c>
      <c r="H741" s="27">
        <f ca="1" t="shared" si="15"/>
        <v>0</v>
      </c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</row>
    <row r="742" s="58" customFormat="1" ht="22.5" hidden="1" customHeight="1" spans="1:54">
      <c r="A742" s="19"/>
      <c r="B742" s="19"/>
      <c r="C742" s="73" t="s">
        <v>12</v>
      </c>
      <c r="D742" s="24"/>
      <c r="E742" s="24">
        <v>0</v>
      </c>
      <c r="F742" s="74">
        <f ca="1">SUMIF(I$3:$BB741,"入库",I742:$BB742)</f>
        <v>300</v>
      </c>
      <c r="G742" s="24">
        <f ca="1">SUMIF(J$3:$BB741,"出库",J742:$BB742)</f>
        <v>0</v>
      </c>
      <c r="H742" s="27">
        <f ca="1" t="shared" si="15"/>
        <v>300</v>
      </c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>
        <v>300</v>
      </c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</row>
    <row r="743" s="58" customFormat="1" ht="22.5" hidden="1" customHeight="1" spans="1:54">
      <c r="A743" s="72">
        <v>246</v>
      </c>
      <c r="B743" s="18" t="s">
        <v>262</v>
      </c>
      <c r="C743" s="25" t="s">
        <v>13</v>
      </c>
      <c r="D743" s="24"/>
      <c r="E743" s="24">
        <v>0</v>
      </c>
      <c r="F743" s="74">
        <f ca="1">SUMIF(I$3:$BB742,"入库",I743:$BB743)</f>
        <v>0</v>
      </c>
      <c r="G743" s="24">
        <f ca="1">SUMIF(J$3:$BB742,"出库",J743:$BB743)</f>
        <v>0</v>
      </c>
      <c r="H743" s="27">
        <f ca="1" t="shared" si="15"/>
        <v>0</v>
      </c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</row>
    <row r="744" s="58" customFormat="1" ht="22.5" hidden="1" customHeight="1" spans="1:54">
      <c r="A744" s="18"/>
      <c r="B744" s="18"/>
      <c r="C744" s="24" t="s">
        <v>14</v>
      </c>
      <c r="D744" s="24"/>
      <c r="E744" s="24">
        <v>0</v>
      </c>
      <c r="F744" s="74">
        <f ca="1">SUMIF(I$3:$BB743,"入库",I744:$BB744)</f>
        <v>60</v>
      </c>
      <c r="G744" s="24">
        <f ca="1">SUMIF(J$3:$BB743,"出库",J744:$BB744)</f>
        <v>0</v>
      </c>
      <c r="H744" s="27">
        <f ca="1" t="shared" si="15"/>
        <v>60</v>
      </c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>
        <v>60</v>
      </c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</row>
    <row r="745" s="58" customFormat="1" ht="22.5" hidden="1" customHeight="1" spans="1:54">
      <c r="A745" s="19"/>
      <c r="B745" s="19"/>
      <c r="C745" s="73" t="s">
        <v>12</v>
      </c>
      <c r="D745" s="24"/>
      <c r="E745" s="24">
        <v>0</v>
      </c>
      <c r="F745" s="74">
        <f ca="1">SUMIF(I$3:$BB744,"入库",I745:$BB745)</f>
        <v>350</v>
      </c>
      <c r="G745" s="24">
        <f ca="1">SUMIF(J$3:$BB744,"出库",J745:$BB745)</f>
        <v>0</v>
      </c>
      <c r="H745" s="27">
        <f ca="1" t="shared" si="15"/>
        <v>350</v>
      </c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>
        <v>350</v>
      </c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</row>
    <row r="746" s="58" customFormat="1" ht="22.5" hidden="1" customHeight="1" spans="1:54">
      <c r="A746" s="72">
        <v>247</v>
      </c>
      <c r="B746" s="18" t="s">
        <v>263</v>
      </c>
      <c r="C746" s="25" t="s">
        <v>13</v>
      </c>
      <c r="D746" s="24"/>
      <c r="E746" s="24">
        <v>0</v>
      </c>
      <c r="F746" s="74">
        <f ca="1">SUMIF(I$3:$BB745,"入库",I746:$BB746)</f>
        <v>0</v>
      </c>
      <c r="G746" s="24">
        <f ca="1">SUMIF(J$3:$BB745,"出库",J746:$BB746)</f>
        <v>0</v>
      </c>
      <c r="H746" s="27">
        <f ca="1" t="shared" si="15"/>
        <v>0</v>
      </c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</row>
    <row r="747" s="58" customFormat="1" ht="22.5" hidden="1" customHeight="1" spans="1:54">
      <c r="A747" s="18"/>
      <c r="B747" s="18"/>
      <c r="C747" s="24" t="s">
        <v>14</v>
      </c>
      <c r="D747" s="24"/>
      <c r="E747" s="24">
        <v>0</v>
      </c>
      <c r="F747" s="74">
        <f ca="1">SUMIF(I$3:$BB746,"入库",I747:$BB747)</f>
        <v>50</v>
      </c>
      <c r="G747" s="24">
        <f ca="1">SUMIF(J$3:$BB746,"出库",J747:$BB747)</f>
        <v>1</v>
      </c>
      <c r="H747" s="27">
        <f ca="1" t="shared" si="15"/>
        <v>49</v>
      </c>
      <c r="I747" s="24"/>
      <c r="J747" s="24"/>
      <c r="K747" s="24"/>
      <c r="L747" s="24"/>
      <c r="M747" s="24">
        <v>50</v>
      </c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>
        <v>1</v>
      </c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</row>
    <row r="748" s="58" customFormat="1" ht="22.5" hidden="1" customHeight="1" spans="1:54">
      <c r="A748" s="19"/>
      <c r="B748" s="19"/>
      <c r="C748" s="73" t="s">
        <v>12</v>
      </c>
      <c r="D748" s="24"/>
      <c r="E748" s="24">
        <v>0</v>
      </c>
      <c r="F748" s="74">
        <f ca="1">SUMIF(I$3:$BB747,"入库",I748:$BB748)</f>
        <v>50</v>
      </c>
      <c r="G748" s="24">
        <f ca="1">SUMIF(J$3:$BB747,"出库",J748:$BB748)</f>
        <v>0</v>
      </c>
      <c r="H748" s="27">
        <f ca="1" t="shared" si="15"/>
        <v>50</v>
      </c>
      <c r="I748" s="24"/>
      <c r="J748" s="24"/>
      <c r="K748" s="24"/>
      <c r="L748" s="24"/>
      <c r="M748" s="24">
        <v>50</v>
      </c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</row>
    <row r="749" s="58" customFormat="1" ht="22.5" hidden="1" customHeight="1" spans="1:54">
      <c r="A749" s="72">
        <v>248</v>
      </c>
      <c r="B749" s="18" t="s">
        <v>264</v>
      </c>
      <c r="C749" s="25" t="s">
        <v>13</v>
      </c>
      <c r="D749" s="24"/>
      <c r="E749" s="24">
        <v>0</v>
      </c>
      <c r="F749" s="74">
        <f ca="1">SUMIF(I$3:$BB748,"入库",I749:$BB749)</f>
        <v>20</v>
      </c>
      <c r="G749" s="24">
        <f ca="1">SUMIF(J$3:$BB748,"出库",J749:$BB749)</f>
        <v>0</v>
      </c>
      <c r="H749" s="27">
        <f ca="1" t="shared" si="15"/>
        <v>20</v>
      </c>
      <c r="I749" s="24"/>
      <c r="J749" s="24"/>
      <c r="K749" s="24"/>
      <c r="L749" s="24"/>
      <c r="M749" s="24">
        <v>20</v>
      </c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</row>
    <row r="750" s="58" customFormat="1" ht="22.5" hidden="1" customHeight="1" spans="1:54">
      <c r="A750" s="18"/>
      <c r="B750" s="18"/>
      <c r="C750" s="24" t="s">
        <v>14</v>
      </c>
      <c r="D750" s="24"/>
      <c r="E750" s="24">
        <v>0</v>
      </c>
      <c r="F750" s="74">
        <f ca="1">SUMIF(I$3:$BB749,"入库",I750:$BB750)</f>
        <v>0</v>
      </c>
      <c r="G750" s="24">
        <f ca="1">SUMIF(J$3:$BB749,"出库",J750:$BB750)</f>
        <v>0</v>
      </c>
      <c r="H750" s="27">
        <f ca="1" t="shared" si="15"/>
        <v>0</v>
      </c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</row>
    <row r="751" s="58" customFormat="1" ht="22.5" hidden="1" customHeight="1" spans="1:54">
      <c r="A751" s="19"/>
      <c r="B751" s="19"/>
      <c r="C751" s="73" t="s">
        <v>12</v>
      </c>
      <c r="D751" s="24"/>
      <c r="E751" s="24">
        <v>0</v>
      </c>
      <c r="F751" s="74">
        <f ca="1">SUMIF(I$3:$BB750,"入库",I751:$BB751)</f>
        <v>600</v>
      </c>
      <c r="G751" s="24">
        <f ca="1">SUMIF(J$3:$BB750,"出库",J751:$BB751)</f>
        <v>0</v>
      </c>
      <c r="H751" s="27">
        <f ca="1" t="shared" si="15"/>
        <v>600</v>
      </c>
      <c r="I751" s="24"/>
      <c r="J751" s="24"/>
      <c r="K751" s="24"/>
      <c r="L751" s="24"/>
      <c r="M751" s="24">
        <v>600</v>
      </c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</row>
    <row r="752" s="58" customFormat="1" ht="22.5" hidden="1" customHeight="1" spans="1:54">
      <c r="A752" s="72">
        <v>249</v>
      </c>
      <c r="B752" s="18" t="s">
        <v>265</v>
      </c>
      <c r="C752" s="25" t="s">
        <v>13</v>
      </c>
      <c r="D752" s="24"/>
      <c r="E752" s="24">
        <v>0</v>
      </c>
      <c r="F752" s="74">
        <f ca="1">SUMIF(I$3:$BB751,"入库",I752:$BB752)</f>
        <v>0</v>
      </c>
      <c r="G752" s="24">
        <f ca="1">SUMIF(J$3:$BB751,"出库",J752:$BB752)</f>
        <v>0</v>
      </c>
      <c r="H752" s="27">
        <f ca="1" t="shared" si="15"/>
        <v>0</v>
      </c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</row>
    <row r="753" s="58" customFormat="1" ht="22.5" hidden="1" customHeight="1" spans="1:54">
      <c r="A753" s="18"/>
      <c r="B753" s="18"/>
      <c r="C753" s="24" t="s">
        <v>14</v>
      </c>
      <c r="D753" s="24"/>
      <c r="E753" s="24">
        <v>0</v>
      </c>
      <c r="F753" s="74">
        <f ca="1">SUMIF(I$3:$BB752,"入库",I753:$BB753)</f>
        <v>0</v>
      </c>
      <c r="G753" s="24">
        <f ca="1">SUMIF(J$3:$BB752,"出库",J753:$BB753)</f>
        <v>0</v>
      </c>
      <c r="H753" s="27">
        <f ca="1" t="shared" si="15"/>
        <v>0</v>
      </c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</row>
    <row r="754" s="58" customFormat="1" ht="22.5" hidden="1" customHeight="1" spans="1:54">
      <c r="A754" s="19"/>
      <c r="B754" s="19"/>
      <c r="C754" s="73" t="s">
        <v>12</v>
      </c>
      <c r="D754" s="24"/>
      <c r="E754" s="24">
        <v>0</v>
      </c>
      <c r="F754" s="74">
        <f ca="1">SUMIF(I$3:$BB753,"入库",I754:$BB754)</f>
        <v>20</v>
      </c>
      <c r="G754" s="24">
        <f ca="1">SUMIF(J$3:$BB753,"出库",J754:$BB754)</f>
        <v>0</v>
      </c>
      <c r="H754" s="27">
        <f ca="1" t="shared" si="15"/>
        <v>20</v>
      </c>
      <c r="I754" s="24"/>
      <c r="J754" s="24"/>
      <c r="K754" s="24">
        <v>20</v>
      </c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</row>
    <row r="755" s="58" customFormat="1" ht="22.5" hidden="1" customHeight="1" spans="1:54">
      <c r="A755" s="72">
        <v>250</v>
      </c>
      <c r="B755" s="18" t="s">
        <v>266</v>
      </c>
      <c r="C755" s="25" t="s">
        <v>13</v>
      </c>
      <c r="D755" s="24"/>
      <c r="E755" s="24">
        <v>0</v>
      </c>
      <c r="F755" s="74">
        <f ca="1">SUMIF(I$3:$BB754,"入库",I755:$BB755)</f>
        <v>0</v>
      </c>
      <c r="G755" s="24">
        <f ca="1">SUMIF(J$3:$BB754,"出库",J755:$BB755)</f>
        <v>0</v>
      </c>
      <c r="H755" s="27">
        <f ca="1" t="shared" si="15"/>
        <v>0</v>
      </c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</row>
    <row r="756" s="58" customFormat="1" ht="22.5" hidden="1" customHeight="1" spans="1:54">
      <c r="A756" s="18"/>
      <c r="B756" s="18"/>
      <c r="C756" s="24" t="s">
        <v>14</v>
      </c>
      <c r="D756" s="24"/>
      <c r="E756" s="24">
        <v>0</v>
      </c>
      <c r="F756" s="74">
        <f ca="1">SUMIF(I$3:$BB755,"入库",I756:$BB756)</f>
        <v>0</v>
      </c>
      <c r="G756" s="24">
        <f ca="1">SUMIF(J$3:$BB755,"出库",J756:$BB756)</f>
        <v>0</v>
      </c>
      <c r="H756" s="27">
        <f ca="1" t="shared" si="15"/>
        <v>0</v>
      </c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</row>
    <row r="757" s="58" customFormat="1" ht="22.5" hidden="1" customHeight="1" spans="1:54">
      <c r="A757" s="19"/>
      <c r="B757" s="19"/>
      <c r="C757" s="73" t="s">
        <v>12</v>
      </c>
      <c r="D757" s="24"/>
      <c r="E757" s="24">
        <v>0</v>
      </c>
      <c r="F757" s="74">
        <f ca="1">SUMIF(I$3:$BB756,"入库",I757:$BB757)</f>
        <v>450</v>
      </c>
      <c r="G757" s="24">
        <f ca="1">SUMIF(J$3:$BB756,"出库",J757:$BB757)</f>
        <v>0</v>
      </c>
      <c r="H757" s="27">
        <f ca="1" t="shared" si="15"/>
        <v>450</v>
      </c>
      <c r="I757" s="24"/>
      <c r="J757" s="24"/>
      <c r="K757" s="24">
        <v>450</v>
      </c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</row>
    <row r="758" s="58" customFormat="1" ht="22.5" hidden="1" customHeight="1" spans="1:54">
      <c r="A758" s="72">
        <v>251</v>
      </c>
      <c r="B758" s="18" t="s">
        <v>267</v>
      </c>
      <c r="C758" s="25" t="s">
        <v>13</v>
      </c>
      <c r="D758" s="24"/>
      <c r="E758" s="24">
        <v>0</v>
      </c>
      <c r="F758" s="74">
        <f ca="1">SUMIF(I$3:$BB757,"入库",I758:$BB758)</f>
        <v>0</v>
      </c>
      <c r="G758" s="24">
        <f ca="1">SUMIF(J$3:$BB757,"出库",J758:$BB758)</f>
        <v>0</v>
      </c>
      <c r="H758" s="27">
        <f ca="1" t="shared" si="15"/>
        <v>0</v>
      </c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</row>
    <row r="759" s="58" customFormat="1" ht="22.5" hidden="1" customHeight="1" spans="1:54">
      <c r="A759" s="18"/>
      <c r="B759" s="18"/>
      <c r="C759" s="24" t="s">
        <v>14</v>
      </c>
      <c r="D759" s="24"/>
      <c r="E759" s="24">
        <v>0</v>
      </c>
      <c r="F759" s="74">
        <f ca="1">SUMIF(I$3:$BB758,"入库",I759:$BB759)</f>
        <v>0</v>
      </c>
      <c r="G759" s="24">
        <f ca="1">SUMIF(J$3:$BB758,"出库",J759:$BB759)</f>
        <v>0</v>
      </c>
      <c r="H759" s="27">
        <f ca="1" t="shared" si="15"/>
        <v>0</v>
      </c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</row>
    <row r="760" s="58" customFormat="1" ht="22.5" hidden="1" customHeight="1" spans="1:54">
      <c r="A760" s="19"/>
      <c r="B760" s="19"/>
      <c r="C760" s="73" t="s">
        <v>12</v>
      </c>
      <c r="D760" s="24"/>
      <c r="E760" s="24">
        <v>0</v>
      </c>
      <c r="F760" s="74">
        <f ca="1">SUMIF(I$3:$BB759,"入库",I760:$BB760)</f>
        <v>0</v>
      </c>
      <c r="G760" s="24">
        <f ca="1">SUMIF(J$3:$BB759,"出库",J760:$BB760)</f>
        <v>0</v>
      </c>
      <c r="H760" s="27">
        <f ca="1" t="shared" si="15"/>
        <v>0</v>
      </c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</row>
    <row r="761" s="58" customFormat="1" ht="22.5" hidden="1" customHeight="1" spans="1:54">
      <c r="A761" s="72">
        <v>252</v>
      </c>
      <c r="B761" s="18" t="s">
        <v>268</v>
      </c>
      <c r="C761" s="25" t="s">
        <v>13</v>
      </c>
      <c r="D761" s="24"/>
      <c r="E761" s="24">
        <v>0</v>
      </c>
      <c r="F761" s="74">
        <f ca="1">SUMIF(I$3:$BB760,"入库",I761:$BB761)</f>
        <v>0</v>
      </c>
      <c r="G761" s="24">
        <f ca="1">SUMIF(J$3:$BB760,"出库",J761:$BB761)</f>
        <v>0</v>
      </c>
      <c r="H761" s="27">
        <v>330</v>
      </c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</row>
    <row r="762" s="58" customFormat="1" ht="39" hidden="1" customHeight="1" spans="1:54">
      <c r="A762" s="18"/>
      <c r="B762" s="18"/>
      <c r="C762" s="24" t="s">
        <v>14</v>
      </c>
      <c r="D762" s="24"/>
      <c r="E762" s="24">
        <v>0</v>
      </c>
      <c r="F762" s="74">
        <f ca="1">SUMIF(I$3:$BB761,"入库",I762:$BB762)</f>
        <v>0</v>
      </c>
      <c r="G762" s="24">
        <f ca="1">SUMIF(J$3:$BB761,"出库",J762:$BB762)</f>
        <v>0</v>
      </c>
      <c r="H762" s="27">
        <v>1200</v>
      </c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</row>
    <row r="763" s="58" customFormat="1" ht="22.5" hidden="1" customHeight="1" spans="1:54">
      <c r="A763" s="19"/>
      <c r="B763" s="19"/>
      <c r="C763" s="73" t="s">
        <v>12</v>
      </c>
      <c r="D763" s="24"/>
      <c r="E763" s="24">
        <v>0</v>
      </c>
      <c r="F763" s="74">
        <f ca="1">SUMIF(I$3:$BB762,"入库",I763:$BB763)</f>
        <v>0</v>
      </c>
      <c r="G763" s="24">
        <f ca="1">SUMIF(J$3:$BB762,"出库",J763:$BB763)</f>
        <v>0</v>
      </c>
      <c r="H763" s="27">
        <v>250</v>
      </c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</row>
    <row r="764" s="58" customFormat="1" ht="22.5" hidden="1" customHeight="1" spans="1:54">
      <c r="A764" s="72">
        <v>253</v>
      </c>
      <c r="B764" s="18" t="s">
        <v>269</v>
      </c>
      <c r="C764" s="25" t="s">
        <v>13</v>
      </c>
      <c r="D764" s="24"/>
      <c r="E764" s="24">
        <v>0</v>
      </c>
      <c r="F764" s="74">
        <f ca="1">SUMIF(I$3:$BB763,"入库",I764:$BB764)</f>
        <v>0</v>
      </c>
      <c r="G764" s="24">
        <f ca="1">SUMIF(J$3:$BB763,"出库",J764:$BB764)</f>
        <v>0</v>
      </c>
      <c r="H764" s="27">
        <f ca="1" t="shared" si="15"/>
        <v>0</v>
      </c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</row>
    <row r="765" s="58" customFormat="1" ht="22.5" hidden="1" customHeight="1" spans="1:54">
      <c r="A765" s="18"/>
      <c r="B765" s="18"/>
      <c r="C765" s="24" t="s">
        <v>14</v>
      </c>
      <c r="D765" s="24"/>
      <c r="E765" s="24">
        <v>0</v>
      </c>
      <c r="F765" s="74">
        <f ca="1">SUMIF(I$3:$BB764,"入库",I765:$BB765)</f>
        <v>0</v>
      </c>
      <c r="G765" s="24">
        <f ca="1">SUMIF(J$3:$BB764,"出库",J765:$BB765)</f>
        <v>0</v>
      </c>
      <c r="H765" s="27">
        <f ca="1" t="shared" si="15"/>
        <v>0</v>
      </c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</row>
    <row r="766" s="58" customFormat="1" ht="22.5" hidden="1" customHeight="1" spans="1:54">
      <c r="A766" s="19"/>
      <c r="B766" s="19"/>
      <c r="C766" s="73" t="s">
        <v>12</v>
      </c>
      <c r="D766" s="24"/>
      <c r="E766" s="24">
        <v>0</v>
      </c>
      <c r="F766" s="74">
        <f ca="1">SUMIF(I$3:$BB765,"入库",I766:$BB766)</f>
        <v>60</v>
      </c>
      <c r="G766" s="24">
        <f ca="1">SUMIF(J$3:$BB765,"出库",J766:$BB766)</f>
        <v>0</v>
      </c>
      <c r="H766" s="27">
        <f ca="1" t="shared" si="15"/>
        <v>60</v>
      </c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>
        <v>60</v>
      </c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</row>
    <row r="767" s="58" customFormat="1" ht="22.5" hidden="1" customHeight="1" spans="1:54">
      <c r="A767" s="72">
        <v>254</v>
      </c>
      <c r="B767" s="18" t="s">
        <v>270</v>
      </c>
      <c r="C767" s="25" t="s">
        <v>13</v>
      </c>
      <c r="D767" s="24"/>
      <c r="E767" s="24">
        <v>0</v>
      </c>
      <c r="F767" s="74">
        <f ca="1">SUMIF(I$3:$BB766,"入库",I767:$BB767)</f>
        <v>180</v>
      </c>
      <c r="G767" s="24">
        <f ca="1">SUMIF(J$3:$BB766,"出库",J767:$BB767)</f>
        <v>0</v>
      </c>
      <c r="H767" s="27">
        <f ca="1" t="shared" si="15"/>
        <v>180</v>
      </c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>
        <v>180</v>
      </c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</row>
    <row r="768" s="58" customFormat="1" ht="22.5" hidden="1" customHeight="1" spans="1:54">
      <c r="A768" s="18"/>
      <c r="B768" s="18"/>
      <c r="C768" s="24" t="s">
        <v>14</v>
      </c>
      <c r="D768" s="24"/>
      <c r="E768" s="24">
        <v>0</v>
      </c>
      <c r="F768" s="74">
        <f ca="1">SUMIF(I$3:$BB767,"入库",I768:$BB768)</f>
        <v>0</v>
      </c>
      <c r="G768" s="24">
        <f ca="1">SUMIF(J$3:$BB767,"出库",J768:$BB768)</f>
        <v>0</v>
      </c>
      <c r="H768" s="27">
        <f ca="1" t="shared" si="15"/>
        <v>0</v>
      </c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</row>
    <row r="769" s="58" customFormat="1" ht="22.5" hidden="1" customHeight="1" spans="1:54">
      <c r="A769" s="19"/>
      <c r="B769" s="19"/>
      <c r="C769" s="73" t="s">
        <v>12</v>
      </c>
      <c r="D769" s="24"/>
      <c r="E769" s="24">
        <v>0</v>
      </c>
      <c r="F769" s="74">
        <f ca="1">SUMIF(I$3:$BB768,"入库",I769:$BB769)</f>
        <v>650</v>
      </c>
      <c r="G769" s="24">
        <f ca="1">SUMIF(J$3:$BB768,"出库",J769:$BB769)</f>
        <v>0</v>
      </c>
      <c r="H769" s="27">
        <f ca="1" t="shared" si="15"/>
        <v>650</v>
      </c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>
        <v>650</v>
      </c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</row>
    <row r="770" s="58" customFormat="1" ht="22.5" hidden="1" customHeight="1" spans="1:54">
      <c r="A770" s="72">
        <v>255</v>
      </c>
      <c r="B770" s="18" t="s">
        <v>271</v>
      </c>
      <c r="C770" s="25" t="s">
        <v>13</v>
      </c>
      <c r="D770" s="24"/>
      <c r="E770" s="24">
        <v>0</v>
      </c>
      <c r="F770" s="74">
        <f ca="1">SUMIF(I$3:$BB769,"入库",I770:$BB770)</f>
        <v>400</v>
      </c>
      <c r="G770" s="24">
        <f ca="1">SUMIF(J$3:$BB769,"出库",J770:$BB770)</f>
        <v>0</v>
      </c>
      <c r="H770" s="27">
        <f ca="1" t="shared" si="15"/>
        <v>400</v>
      </c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>
        <v>400</v>
      </c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</row>
    <row r="771" s="58" customFormat="1" ht="22.5" hidden="1" customHeight="1" spans="1:54">
      <c r="A771" s="18"/>
      <c r="B771" s="18"/>
      <c r="C771" s="24" t="s">
        <v>14</v>
      </c>
      <c r="D771" s="24"/>
      <c r="E771" s="24">
        <v>0</v>
      </c>
      <c r="F771" s="74">
        <f ca="1">SUMIF(I$3:$BB770,"入库",I771:$BB771)</f>
        <v>0</v>
      </c>
      <c r="G771" s="24">
        <f ca="1">SUMIF(J$3:$BB770,"出库",J771:$BB771)</f>
        <v>0</v>
      </c>
      <c r="H771" s="27">
        <f ca="1" t="shared" si="15"/>
        <v>0</v>
      </c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</row>
    <row r="772" s="58" customFormat="1" ht="22.5" hidden="1" customHeight="1" spans="1:54">
      <c r="A772" s="19"/>
      <c r="B772" s="19"/>
      <c r="C772" s="73" t="s">
        <v>12</v>
      </c>
      <c r="D772" s="24"/>
      <c r="E772" s="24">
        <v>0</v>
      </c>
      <c r="F772" s="74">
        <f ca="1">SUMIF(I$3:$BB771,"入库",I772:$BB772)</f>
        <v>0</v>
      </c>
      <c r="G772" s="24">
        <f ca="1">SUMIF(J$3:$BB771,"出库",J772:$BB772)</f>
        <v>0</v>
      </c>
      <c r="H772" s="27">
        <f ca="1" t="shared" si="15"/>
        <v>0</v>
      </c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</row>
    <row r="773" s="58" customFormat="1" ht="22.5" hidden="1" customHeight="1" spans="1:54">
      <c r="A773" s="72">
        <v>256</v>
      </c>
      <c r="B773" s="18" t="s">
        <v>272</v>
      </c>
      <c r="C773" s="25" t="s">
        <v>13</v>
      </c>
      <c r="D773" s="24"/>
      <c r="E773" s="24">
        <v>0</v>
      </c>
      <c r="F773" s="74">
        <f ca="1">SUMIF(I$3:$BB772,"入库",I773:$BB773)</f>
        <v>0</v>
      </c>
      <c r="G773" s="24">
        <f ca="1">SUMIF(J$3:$BB772,"出库",J773:$BB773)</f>
        <v>0</v>
      </c>
      <c r="H773" s="27">
        <f ca="1" t="shared" si="15"/>
        <v>0</v>
      </c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</row>
    <row r="774" s="58" customFormat="1" ht="22.5" hidden="1" customHeight="1" spans="1:54">
      <c r="A774" s="18"/>
      <c r="B774" s="18"/>
      <c r="C774" s="24" t="s">
        <v>14</v>
      </c>
      <c r="D774" s="24"/>
      <c r="E774" s="24">
        <v>0</v>
      </c>
      <c r="F774" s="74">
        <f ca="1">SUMIF(I$3:$BB773,"入库",I774:$BB774)</f>
        <v>300</v>
      </c>
      <c r="G774" s="24">
        <f ca="1">SUMIF(J$3:$BB773,"出库",J774:$BB774)</f>
        <v>0</v>
      </c>
      <c r="H774" s="27">
        <f ca="1" t="shared" si="15"/>
        <v>300</v>
      </c>
      <c r="I774" s="24"/>
      <c r="J774" s="24"/>
      <c r="K774" s="24"/>
      <c r="L774" s="24"/>
      <c r="M774" s="24">
        <v>300</v>
      </c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</row>
    <row r="775" s="58" customFormat="1" ht="22.5" hidden="1" customHeight="1" spans="1:54">
      <c r="A775" s="19"/>
      <c r="B775" s="19"/>
      <c r="C775" s="73" t="s">
        <v>12</v>
      </c>
      <c r="D775" s="24"/>
      <c r="E775" s="24">
        <v>0</v>
      </c>
      <c r="F775" s="74">
        <f ca="1">SUMIF(I$3:$BB774,"入库",I775:$BB775)</f>
        <v>20</v>
      </c>
      <c r="G775" s="24">
        <f ca="1">SUMIF(J$3:$BB774,"出库",J775:$BB775)</f>
        <v>0</v>
      </c>
      <c r="H775" s="27">
        <f ca="1" t="shared" si="15"/>
        <v>20</v>
      </c>
      <c r="I775" s="24"/>
      <c r="J775" s="24"/>
      <c r="K775" s="24"/>
      <c r="L775" s="24"/>
      <c r="M775" s="24">
        <v>20</v>
      </c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</row>
    <row r="776" s="58" customFormat="1" ht="22.5" hidden="1" customHeight="1" spans="1:54">
      <c r="A776" s="72">
        <v>257</v>
      </c>
      <c r="B776" s="18" t="s">
        <v>273</v>
      </c>
      <c r="C776" s="25" t="s">
        <v>13</v>
      </c>
      <c r="D776" s="24"/>
      <c r="E776" s="24">
        <v>0</v>
      </c>
      <c r="F776" s="74">
        <f ca="1">SUMIF(I$3:$BB775,"入库",I776:$BB776)</f>
        <v>0</v>
      </c>
      <c r="G776" s="24">
        <f ca="1">SUMIF(J$3:$BB775,"出库",J776:$BB776)</f>
        <v>0</v>
      </c>
      <c r="H776" s="27">
        <f ca="1" t="shared" si="15"/>
        <v>0</v>
      </c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</row>
    <row r="777" s="58" customFormat="1" ht="22.5" hidden="1" customHeight="1" spans="1:54">
      <c r="A777" s="18"/>
      <c r="B777" s="18"/>
      <c r="C777" s="24" t="s">
        <v>14</v>
      </c>
      <c r="D777" s="24"/>
      <c r="E777" s="24">
        <v>0</v>
      </c>
      <c r="F777" s="74">
        <f ca="1">SUMIF(I$3:$BB776,"入库",I777:$BB777)</f>
        <v>0</v>
      </c>
      <c r="G777" s="24">
        <f ca="1">SUMIF(J$3:$BB776,"出库",J777:$BB777)</f>
        <v>0</v>
      </c>
      <c r="H777" s="27">
        <f ca="1" t="shared" si="15"/>
        <v>0</v>
      </c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</row>
    <row r="778" s="58" customFormat="1" ht="22.5" hidden="1" customHeight="1" spans="1:54">
      <c r="A778" s="19"/>
      <c r="B778" s="19"/>
      <c r="C778" s="73" t="s">
        <v>12</v>
      </c>
      <c r="D778" s="24"/>
      <c r="E778" s="24">
        <v>0</v>
      </c>
      <c r="F778" s="74">
        <f ca="1">SUMIF(I$3:$BB777,"入库",I778:$BB778)</f>
        <v>20</v>
      </c>
      <c r="G778" s="24">
        <f ca="1">SUMIF(J$3:$BB777,"出库",J778:$BB778)</f>
        <v>0</v>
      </c>
      <c r="H778" s="27">
        <f ca="1" t="shared" si="15"/>
        <v>20</v>
      </c>
      <c r="I778" s="24"/>
      <c r="J778" s="24"/>
      <c r="K778" s="24"/>
      <c r="L778" s="24"/>
      <c r="M778" s="24">
        <v>20</v>
      </c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</row>
    <row r="779" s="58" customFormat="1" ht="22.5" hidden="1" customHeight="1" spans="1:54">
      <c r="A779" s="72">
        <v>258</v>
      </c>
      <c r="B779" s="18" t="s">
        <v>274</v>
      </c>
      <c r="C779" s="25" t="s">
        <v>13</v>
      </c>
      <c r="D779" s="24"/>
      <c r="E779" s="24">
        <v>0</v>
      </c>
      <c r="F779" s="74">
        <f ca="1">SUMIF(I$3:$BB778,"入库",I779:$BB779)</f>
        <v>50</v>
      </c>
      <c r="G779" s="24">
        <f ca="1">SUMIF(J$3:$BB778,"出库",J779:$BB779)</f>
        <v>0</v>
      </c>
      <c r="H779" s="27">
        <f ca="1" t="shared" si="15"/>
        <v>50</v>
      </c>
      <c r="I779" s="24"/>
      <c r="J779" s="24"/>
      <c r="K779" s="24">
        <v>50</v>
      </c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</row>
    <row r="780" s="58" customFormat="1" ht="22.5" hidden="1" customHeight="1" spans="1:54">
      <c r="A780" s="18"/>
      <c r="B780" s="18"/>
      <c r="C780" s="24" t="s">
        <v>14</v>
      </c>
      <c r="D780" s="24"/>
      <c r="E780" s="24">
        <v>0</v>
      </c>
      <c r="F780" s="74">
        <f ca="1">SUMIF(I$3:$BB779,"入库",I780:$BB780)</f>
        <v>0</v>
      </c>
      <c r="G780" s="24">
        <f ca="1">SUMIF(J$3:$BB779,"出库",J780:$BB780)</f>
        <v>0</v>
      </c>
      <c r="H780" s="27">
        <f ca="1" t="shared" si="15"/>
        <v>0</v>
      </c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</row>
    <row r="781" s="58" customFormat="1" ht="22.5" hidden="1" customHeight="1" spans="1:54">
      <c r="A781" s="19"/>
      <c r="B781" s="19"/>
      <c r="C781" s="73" t="s">
        <v>12</v>
      </c>
      <c r="D781" s="24"/>
      <c r="E781" s="24">
        <v>0</v>
      </c>
      <c r="F781" s="74">
        <f ca="1">SUMIF(I$3:$BB780,"入库",I781:$BB781)</f>
        <v>0</v>
      </c>
      <c r="G781" s="24">
        <f ca="1">SUMIF(J$3:$BB780,"出库",J781:$BB781)</f>
        <v>0</v>
      </c>
      <c r="H781" s="27">
        <f ca="1" t="shared" si="15"/>
        <v>0</v>
      </c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</row>
    <row r="782" s="58" customFormat="1" ht="22.5" hidden="1" customHeight="1" spans="1:54">
      <c r="A782" s="72">
        <v>259</v>
      </c>
      <c r="B782" s="18" t="s">
        <v>275</v>
      </c>
      <c r="C782" s="25" t="s">
        <v>13</v>
      </c>
      <c r="D782" s="24"/>
      <c r="E782" s="24">
        <v>0</v>
      </c>
      <c r="F782" s="74">
        <f ca="1">SUMIF(I$3:$BB781,"入库",I782:$BB782)</f>
        <v>180</v>
      </c>
      <c r="G782" s="24">
        <f ca="1">SUMIF(J$3:$BB781,"出库",J782:$BB782)</f>
        <v>0</v>
      </c>
      <c r="H782" s="27">
        <f ca="1" t="shared" si="15"/>
        <v>180</v>
      </c>
      <c r="I782" s="24"/>
      <c r="J782" s="24"/>
      <c r="K782" s="24">
        <v>180</v>
      </c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</row>
    <row r="783" s="58" customFormat="1" ht="22.5" hidden="1" customHeight="1" spans="1:54">
      <c r="A783" s="18"/>
      <c r="B783" s="18"/>
      <c r="C783" s="24" t="s">
        <v>14</v>
      </c>
      <c r="D783" s="24"/>
      <c r="E783" s="24">
        <v>0</v>
      </c>
      <c r="F783" s="74">
        <f ca="1">SUMIF(I$3:$BB782,"入库",I783:$BB783)</f>
        <v>0</v>
      </c>
      <c r="G783" s="24">
        <f ca="1">SUMIF(J$3:$BB782,"出库",J783:$BB783)</f>
        <v>0</v>
      </c>
      <c r="H783" s="27">
        <f ca="1" t="shared" si="15"/>
        <v>0</v>
      </c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</row>
    <row r="784" s="58" customFormat="1" ht="22.5" hidden="1" customHeight="1" spans="1:54">
      <c r="A784" s="19"/>
      <c r="B784" s="19"/>
      <c r="C784" s="73" t="s">
        <v>12</v>
      </c>
      <c r="D784" s="24"/>
      <c r="E784" s="24">
        <v>0</v>
      </c>
      <c r="F784" s="74">
        <f ca="1">SUMIF(I$3:$BB783,"入库",I784:$BB784)</f>
        <v>720</v>
      </c>
      <c r="G784" s="24">
        <f ca="1">SUMIF(J$3:$BB783,"出库",J784:$BB784)</f>
        <v>0</v>
      </c>
      <c r="H784" s="27">
        <f ca="1" t="shared" si="15"/>
        <v>720</v>
      </c>
      <c r="I784" s="24"/>
      <c r="J784" s="24"/>
      <c r="K784" s="24">
        <v>720</v>
      </c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</row>
    <row r="785" s="58" customFormat="1" ht="22.5" hidden="1" customHeight="1" spans="1:54">
      <c r="A785" s="72">
        <v>260</v>
      </c>
      <c r="B785" s="18" t="s">
        <v>276</v>
      </c>
      <c r="C785" s="25" t="s">
        <v>13</v>
      </c>
      <c r="D785" s="24"/>
      <c r="E785" s="24">
        <v>0</v>
      </c>
      <c r="F785" s="74">
        <f ca="1">SUMIF(I$3:$BB784,"入库",I785:$BB785)</f>
        <v>40</v>
      </c>
      <c r="G785" s="24">
        <f ca="1">SUMIF(J$3:$BB784,"出库",J785:$BB785)</f>
        <v>0</v>
      </c>
      <c r="H785" s="27">
        <f ca="1" t="shared" si="15"/>
        <v>40</v>
      </c>
      <c r="I785" s="24"/>
      <c r="J785" s="24"/>
      <c r="K785" s="24">
        <v>40</v>
      </c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</row>
    <row r="786" s="58" customFormat="1" ht="22.5" hidden="1" customHeight="1" spans="1:54">
      <c r="A786" s="18"/>
      <c r="B786" s="18"/>
      <c r="C786" s="24" t="s">
        <v>14</v>
      </c>
      <c r="D786" s="24"/>
      <c r="E786" s="24">
        <v>0</v>
      </c>
      <c r="F786" s="74">
        <f ca="1">SUMIF(I$3:$BB785,"入库",I786:$BB786)</f>
        <v>110</v>
      </c>
      <c r="G786" s="24">
        <f ca="1">SUMIF(J$3:$BB785,"出库",J786:$BB786)</f>
        <v>0</v>
      </c>
      <c r="H786" s="27">
        <f ca="1" t="shared" si="15"/>
        <v>110</v>
      </c>
      <c r="I786" s="24"/>
      <c r="J786" s="24"/>
      <c r="K786" s="24">
        <v>110</v>
      </c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</row>
    <row r="787" s="58" customFormat="1" ht="22.5" hidden="1" customHeight="1" spans="1:54">
      <c r="A787" s="19"/>
      <c r="B787" s="19"/>
      <c r="C787" s="73" t="s">
        <v>12</v>
      </c>
      <c r="D787" s="24"/>
      <c r="E787" s="24">
        <v>0</v>
      </c>
      <c r="F787" s="74">
        <f ca="1">SUMIF(I$3:$BB786,"入库",I787:$BB787)</f>
        <v>150</v>
      </c>
      <c r="G787" s="24">
        <f ca="1">SUMIF(J$3:$BB786,"出库",J787:$BB787)</f>
        <v>0</v>
      </c>
      <c r="H787" s="27">
        <f ca="1" t="shared" si="15"/>
        <v>150</v>
      </c>
      <c r="I787" s="24"/>
      <c r="J787" s="24"/>
      <c r="K787" s="24">
        <v>150</v>
      </c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</row>
    <row r="788" s="58" customFormat="1" ht="22.5" hidden="1" customHeight="1" spans="1:54">
      <c r="A788" s="72">
        <v>261</v>
      </c>
      <c r="B788" s="18" t="s">
        <v>277</v>
      </c>
      <c r="C788" s="25" t="s">
        <v>13</v>
      </c>
      <c r="D788" s="24"/>
      <c r="E788" s="24">
        <v>0</v>
      </c>
      <c r="F788" s="74">
        <f ca="1">SUMIF(I$3:$BB787,"入库",I788:$BB788)</f>
        <v>0</v>
      </c>
      <c r="G788" s="24">
        <f ca="1">SUMIF(J$3:$BB787,"出库",J788:$BB788)</f>
        <v>0</v>
      </c>
      <c r="H788" s="27">
        <f ca="1" t="shared" si="15"/>
        <v>0</v>
      </c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</row>
    <row r="789" s="58" customFormat="1" ht="22.5" hidden="1" customHeight="1" spans="1:54">
      <c r="A789" s="18"/>
      <c r="B789" s="18"/>
      <c r="C789" s="24" t="s">
        <v>14</v>
      </c>
      <c r="D789" s="24"/>
      <c r="E789" s="24">
        <v>0</v>
      </c>
      <c r="F789" s="74">
        <f ca="1">SUMIF(I$3:$BB788,"入库",I789:$BB789)</f>
        <v>0</v>
      </c>
      <c r="G789" s="24">
        <f ca="1">SUMIF(J$3:$BB788,"出库",J789:$BB789)</f>
        <v>0</v>
      </c>
      <c r="H789" s="27">
        <f ca="1" t="shared" si="15"/>
        <v>0</v>
      </c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</row>
    <row r="790" s="58" customFormat="1" ht="22.5" hidden="1" customHeight="1" spans="1:54">
      <c r="A790" s="19"/>
      <c r="B790" s="19"/>
      <c r="C790" s="73" t="s">
        <v>12</v>
      </c>
      <c r="D790" s="24"/>
      <c r="E790" s="24">
        <v>0</v>
      </c>
      <c r="F790" s="74">
        <f ca="1">SUMIF(I$3:$BB789,"入库",I790:$BB790)</f>
        <v>0</v>
      </c>
      <c r="G790" s="24">
        <f ca="1">SUMIF(J$3:$BB789,"出库",J790:$BB790)</f>
        <v>0</v>
      </c>
      <c r="H790" s="27">
        <f ca="1" t="shared" ref="H790:H853" si="16">E790+F790-G790</f>
        <v>0</v>
      </c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</row>
    <row r="791" s="58" customFormat="1" ht="22.5" hidden="1" customHeight="1" spans="1:54">
      <c r="A791" s="72">
        <v>262</v>
      </c>
      <c r="B791" s="18" t="s">
        <v>278</v>
      </c>
      <c r="C791" s="25" t="s">
        <v>13</v>
      </c>
      <c r="D791" s="24"/>
      <c r="E791" s="24">
        <v>0</v>
      </c>
      <c r="F791" s="74">
        <f ca="1">SUMIF(I$3:$BB790,"入库",I791:$BB791)</f>
        <v>0</v>
      </c>
      <c r="G791" s="24">
        <f ca="1">SUMIF(J$3:$BB790,"出库",J791:$BB791)</f>
        <v>0</v>
      </c>
      <c r="H791" s="27">
        <f ca="1" t="shared" si="16"/>
        <v>0</v>
      </c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</row>
    <row r="792" s="58" customFormat="1" ht="22.5" hidden="1" customHeight="1" spans="1:54">
      <c r="A792" s="18"/>
      <c r="B792" s="18"/>
      <c r="C792" s="24" t="s">
        <v>14</v>
      </c>
      <c r="D792" s="24"/>
      <c r="E792" s="24">
        <v>0</v>
      </c>
      <c r="F792" s="74">
        <f ca="1">SUMIF(I$3:$BB791,"入库",I792:$BB792)</f>
        <v>280</v>
      </c>
      <c r="G792" s="24">
        <f ca="1">SUMIF(J$3:$BB791,"出库",J792:$BB792)</f>
        <v>0</v>
      </c>
      <c r="H792" s="27">
        <f ca="1" t="shared" si="16"/>
        <v>280</v>
      </c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>
        <v>280</v>
      </c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</row>
    <row r="793" s="58" customFormat="1" ht="22.5" hidden="1" customHeight="1" spans="1:54">
      <c r="A793" s="19"/>
      <c r="B793" s="19"/>
      <c r="C793" s="73" t="s">
        <v>12</v>
      </c>
      <c r="D793" s="24"/>
      <c r="E793" s="24">
        <v>0</v>
      </c>
      <c r="F793" s="74">
        <f ca="1">SUMIF(I$3:$BB792,"入库",I793:$BB793)</f>
        <v>120</v>
      </c>
      <c r="G793" s="24">
        <f ca="1">SUMIF(J$3:$BB792,"出库",J793:$BB793)</f>
        <v>0</v>
      </c>
      <c r="H793" s="27">
        <f ca="1" t="shared" si="16"/>
        <v>120</v>
      </c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>
        <v>120</v>
      </c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</row>
    <row r="794" s="58" customFormat="1" ht="22.5" hidden="1" customHeight="1" spans="1:54">
      <c r="A794" s="72">
        <v>263</v>
      </c>
      <c r="B794" s="18" t="s">
        <v>279</v>
      </c>
      <c r="C794" s="25" t="s">
        <v>13</v>
      </c>
      <c r="D794" s="24"/>
      <c r="E794" s="24">
        <v>0</v>
      </c>
      <c r="F794" s="74">
        <f ca="1">SUMIF(I$3:$BB793,"入库",I794:$BB794)</f>
        <v>180</v>
      </c>
      <c r="G794" s="24">
        <f ca="1">SUMIF(J$3:$BB793,"出库",J794:$BB794)</f>
        <v>0</v>
      </c>
      <c r="H794" s="27">
        <f ca="1" t="shared" si="16"/>
        <v>180</v>
      </c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>
        <v>180</v>
      </c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</row>
    <row r="795" s="58" customFormat="1" ht="22.5" hidden="1" customHeight="1" spans="1:54">
      <c r="A795" s="18"/>
      <c r="B795" s="18"/>
      <c r="C795" s="24" t="s">
        <v>14</v>
      </c>
      <c r="D795" s="24"/>
      <c r="E795" s="24">
        <v>0</v>
      </c>
      <c r="F795" s="74">
        <f ca="1">SUMIF(I$3:$BB794,"入库",I795:$BB795)</f>
        <v>210</v>
      </c>
      <c r="G795" s="24">
        <f ca="1">SUMIF(J$3:$BB794,"出库",J795:$BB795)</f>
        <v>0</v>
      </c>
      <c r="H795" s="27">
        <f ca="1" t="shared" si="16"/>
        <v>210</v>
      </c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>
        <v>210</v>
      </c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</row>
    <row r="796" s="58" customFormat="1" ht="22.5" hidden="1" customHeight="1" spans="1:54">
      <c r="A796" s="19"/>
      <c r="B796" s="19"/>
      <c r="C796" s="73" t="s">
        <v>12</v>
      </c>
      <c r="D796" s="24"/>
      <c r="E796" s="24">
        <v>0</v>
      </c>
      <c r="F796" s="74">
        <f ca="1">SUMIF(I$3:$BB795,"入库",I796:$BB796)</f>
        <v>0</v>
      </c>
      <c r="G796" s="24">
        <f ca="1">SUMIF(J$3:$BB795,"出库",J796:$BB796)</f>
        <v>0</v>
      </c>
      <c r="H796" s="27">
        <f ca="1" t="shared" si="16"/>
        <v>0</v>
      </c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</row>
    <row r="797" s="58" customFormat="1" ht="22.5" hidden="1" customHeight="1" spans="1:54">
      <c r="A797" s="72">
        <v>264</v>
      </c>
      <c r="B797" s="18" t="s">
        <v>280</v>
      </c>
      <c r="C797" s="25" t="s">
        <v>13</v>
      </c>
      <c r="D797" s="24"/>
      <c r="E797" s="24">
        <v>0</v>
      </c>
      <c r="F797" s="74">
        <f ca="1">SUMIF(I$3:$BB796,"入库",I797:$BB797)</f>
        <v>220</v>
      </c>
      <c r="G797" s="24">
        <f ca="1">SUMIF(J$3:$BB796,"出库",J797:$BB797)</f>
        <v>0</v>
      </c>
      <c r="H797" s="27">
        <f ca="1" t="shared" si="16"/>
        <v>220</v>
      </c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>
        <v>220</v>
      </c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</row>
    <row r="798" s="58" customFormat="1" ht="22.5" hidden="1" customHeight="1" spans="1:54">
      <c r="A798" s="18"/>
      <c r="B798" s="18"/>
      <c r="C798" s="24" t="s">
        <v>14</v>
      </c>
      <c r="D798" s="24"/>
      <c r="E798" s="24">
        <v>0</v>
      </c>
      <c r="F798" s="74">
        <f ca="1">SUMIF(I$3:$BB797,"入库",I798:$BB798)</f>
        <v>220</v>
      </c>
      <c r="G798" s="24">
        <f ca="1">SUMIF(J$3:$BB797,"出库",J798:$BB798)</f>
        <v>0</v>
      </c>
      <c r="H798" s="27">
        <f ca="1" t="shared" si="16"/>
        <v>220</v>
      </c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>
        <v>220</v>
      </c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</row>
    <row r="799" s="58" customFormat="1" ht="39" hidden="1" customHeight="1" spans="1:54">
      <c r="A799" s="19"/>
      <c r="B799" s="19"/>
      <c r="C799" s="73" t="s">
        <v>12</v>
      </c>
      <c r="D799" s="24"/>
      <c r="E799" s="24">
        <v>0</v>
      </c>
      <c r="F799" s="74">
        <f ca="1">SUMIF(I$3:$BB798,"入库",I799:$BB799)</f>
        <v>1380</v>
      </c>
      <c r="G799" s="24">
        <f ca="1">SUMIF(J$3:$BB798,"出库",J799:$BB799)</f>
        <v>12</v>
      </c>
      <c r="H799" s="27">
        <f ca="1" t="shared" si="16"/>
        <v>1368</v>
      </c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>
        <v>1380</v>
      </c>
      <c r="V799" s="24"/>
      <c r="W799" s="24"/>
      <c r="X799" s="24"/>
      <c r="Y799" s="24"/>
      <c r="Z799" s="24"/>
      <c r="AA799" s="24"/>
      <c r="AB799" s="24">
        <v>12</v>
      </c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</row>
    <row r="800" s="58" customFormat="1" ht="22.5" hidden="1" customHeight="1" spans="1:54">
      <c r="A800" s="72">
        <v>265</v>
      </c>
      <c r="B800" s="18" t="s">
        <v>281</v>
      </c>
      <c r="C800" s="25" t="s">
        <v>13</v>
      </c>
      <c r="D800" s="24"/>
      <c r="E800" s="24">
        <v>0</v>
      </c>
      <c r="F800" s="74">
        <f ca="1">SUMIF(I$3:$BB799,"入库",I800:$BB800)</f>
        <v>70</v>
      </c>
      <c r="G800" s="24">
        <f ca="1">SUMIF(J$3:$BB799,"出库",J800:$BB800)</f>
        <v>0</v>
      </c>
      <c r="H800" s="27">
        <f ca="1" t="shared" si="16"/>
        <v>70</v>
      </c>
      <c r="I800" s="24"/>
      <c r="J800" s="24"/>
      <c r="K800" s="24"/>
      <c r="L800" s="24"/>
      <c r="M800" s="24">
        <v>70</v>
      </c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</row>
    <row r="801" s="58" customFormat="1" ht="22.5" hidden="1" customHeight="1" spans="1:54">
      <c r="A801" s="18"/>
      <c r="B801" s="18"/>
      <c r="C801" s="24" t="s">
        <v>14</v>
      </c>
      <c r="D801" s="24"/>
      <c r="E801" s="24">
        <v>0</v>
      </c>
      <c r="F801" s="74">
        <f ca="1">SUMIF(I$3:$BB800,"入库",I801:$BB801)</f>
        <v>100</v>
      </c>
      <c r="G801" s="24">
        <f ca="1">SUMIF(J$3:$BB800,"出库",J801:$BB801)</f>
        <v>100</v>
      </c>
      <c r="H801" s="27">
        <f ca="1" t="shared" si="16"/>
        <v>0</v>
      </c>
      <c r="I801" s="24"/>
      <c r="J801" s="24"/>
      <c r="K801" s="24"/>
      <c r="L801" s="24"/>
      <c r="M801" s="24">
        <v>100</v>
      </c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>
        <v>100</v>
      </c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</row>
    <row r="802" s="58" customFormat="1" ht="22.5" hidden="1" customHeight="1" spans="1:54">
      <c r="A802" s="19"/>
      <c r="B802" s="19"/>
      <c r="C802" s="73" t="s">
        <v>12</v>
      </c>
      <c r="D802" s="24"/>
      <c r="E802" s="24">
        <v>0</v>
      </c>
      <c r="F802" s="74">
        <f ca="1">SUMIF(I$3:$BB801,"入库",I802:$BB802)</f>
        <v>400</v>
      </c>
      <c r="G802" s="24">
        <f ca="1">SUMIF(J$3:$BB801,"出库",J802:$BB802)</f>
        <v>0</v>
      </c>
      <c r="H802" s="27">
        <f ca="1" t="shared" si="16"/>
        <v>400</v>
      </c>
      <c r="I802" s="24"/>
      <c r="J802" s="24"/>
      <c r="K802" s="24"/>
      <c r="L802" s="24"/>
      <c r="M802" s="24">
        <v>400</v>
      </c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</row>
    <row r="803" s="58" customFormat="1" ht="22.5" hidden="1" customHeight="1" spans="1:54">
      <c r="A803" s="72">
        <v>266</v>
      </c>
      <c r="B803" s="18" t="s">
        <v>282</v>
      </c>
      <c r="C803" s="25" t="s">
        <v>13</v>
      </c>
      <c r="D803" s="24"/>
      <c r="E803" s="24">
        <v>0</v>
      </c>
      <c r="F803" s="74">
        <f ca="1">SUMIF(I$3:$BB802,"入库",I803:$BB803)</f>
        <v>30</v>
      </c>
      <c r="G803" s="24">
        <f ca="1">SUMIF(J$3:$BB802,"出库",J803:$BB803)</f>
        <v>0</v>
      </c>
      <c r="H803" s="27">
        <f ca="1" t="shared" si="16"/>
        <v>30</v>
      </c>
      <c r="I803" s="24"/>
      <c r="J803" s="24"/>
      <c r="K803" s="24"/>
      <c r="L803" s="24"/>
      <c r="M803" s="24">
        <v>30</v>
      </c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</row>
    <row r="804" s="58" customFormat="1" ht="22.5" hidden="1" customHeight="1" spans="1:54">
      <c r="A804" s="18"/>
      <c r="B804" s="18"/>
      <c r="C804" s="24" t="s">
        <v>14</v>
      </c>
      <c r="D804" s="24"/>
      <c r="E804" s="24">
        <v>0</v>
      </c>
      <c r="F804" s="74">
        <f ca="1">SUMIF(I$3:$BB803,"入库",I804:$BB804)</f>
        <v>0</v>
      </c>
      <c r="G804" s="24">
        <f ca="1">SUMIF(J$3:$BB803,"出库",J804:$BB804)</f>
        <v>0</v>
      </c>
      <c r="H804" s="27">
        <f ca="1" t="shared" si="16"/>
        <v>0</v>
      </c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</row>
    <row r="805" s="58" customFormat="1" ht="22.5" hidden="1" customHeight="1" spans="1:54">
      <c r="A805" s="19"/>
      <c r="B805" s="19"/>
      <c r="C805" s="73" t="s">
        <v>12</v>
      </c>
      <c r="D805" s="24"/>
      <c r="E805" s="24">
        <v>0</v>
      </c>
      <c r="F805" s="74">
        <f ca="1">SUMIF(I$3:$BB804,"入库",I805:$BB805)</f>
        <v>100</v>
      </c>
      <c r="G805" s="24">
        <f ca="1">SUMIF(J$3:$BB804,"出库",J805:$BB805)</f>
        <v>6</v>
      </c>
      <c r="H805" s="27">
        <f ca="1" t="shared" si="16"/>
        <v>94</v>
      </c>
      <c r="I805" s="24"/>
      <c r="J805" s="24"/>
      <c r="K805" s="24"/>
      <c r="L805" s="24"/>
      <c r="M805" s="24">
        <v>100</v>
      </c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>
        <v>6</v>
      </c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</row>
    <row r="806" s="58" customFormat="1" ht="22.5" hidden="1" customHeight="1" spans="1:54">
      <c r="A806" s="72">
        <v>267</v>
      </c>
      <c r="B806" s="18" t="s">
        <v>283</v>
      </c>
      <c r="C806" s="25" t="s">
        <v>13</v>
      </c>
      <c r="D806" s="24"/>
      <c r="E806" s="24">
        <v>0</v>
      </c>
      <c r="F806" s="74">
        <f ca="1">SUMIF(I$3:$BB805,"入库",I806:$BB806)</f>
        <v>50</v>
      </c>
      <c r="G806" s="24">
        <f ca="1">SUMIF(J$3:$BB805,"出库",J806:$BB806)</f>
        <v>0</v>
      </c>
      <c r="H806" s="27">
        <f ca="1" t="shared" si="16"/>
        <v>50</v>
      </c>
      <c r="I806" s="24"/>
      <c r="J806" s="24"/>
      <c r="K806" s="24">
        <v>50</v>
      </c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</row>
    <row r="807" s="58" customFormat="1" ht="22.5" hidden="1" customHeight="1" spans="1:54">
      <c r="A807" s="18"/>
      <c r="B807" s="18"/>
      <c r="C807" s="24" t="s">
        <v>14</v>
      </c>
      <c r="D807" s="24"/>
      <c r="E807" s="24">
        <v>0</v>
      </c>
      <c r="F807" s="74">
        <f ca="1">SUMIF(I$3:$BB806,"入库",I807:$BB807)</f>
        <v>0</v>
      </c>
      <c r="G807" s="24">
        <f ca="1">SUMIF(J$3:$BB806,"出库",J807:$BB807)</f>
        <v>0</v>
      </c>
      <c r="H807" s="27">
        <f ca="1" t="shared" si="16"/>
        <v>0</v>
      </c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</row>
    <row r="808" s="58" customFormat="1" ht="22.5" hidden="1" customHeight="1" spans="1:54">
      <c r="A808" s="19"/>
      <c r="B808" s="19"/>
      <c r="C808" s="73" t="s">
        <v>12</v>
      </c>
      <c r="D808" s="24"/>
      <c r="E808" s="24">
        <v>0</v>
      </c>
      <c r="F808" s="74">
        <f ca="1">SUMIF(I$3:$BB807,"入库",I808:$BB808)</f>
        <v>450</v>
      </c>
      <c r="G808" s="24">
        <f ca="1">SUMIF(J$3:$BB807,"出库",J808:$BB808)</f>
        <v>1</v>
      </c>
      <c r="H808" s="27">
        <f ca="1" t="shared" si="16"/>
        <v>449</v>
      </c>
      <c r="I808" s="24"/>
      <c r="J808" s="24"/>
      <c r="K808" s="24">
        <v>450</v>
      </c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>
        <v>1</v>
      </c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</row>
    <row r="809" s="58" customFormat="1" ht="22.5" hidden="1" customHeight="1" spans="1:54">
      <c r="A809" s="72">
        <v>268</v>
      </c>
      <c r="B809" s="18" t="s">
        <v>284</v>
      </c>
      <c r="C809" s="25" t="s">
        <v>13</v>
      </c>
      <c r="D809" s="24"/>
      <c r="E809" s="24">
        <v>0</v>
      </c>
      <c r="F809" s="74">
        <f ca="1">SUMIF(I$3:$BB808,"入库",I809:$BB809)</f>
        <v>90</v>
      </c>
      <c r="G809" s="24">
        <f ca="1">SUMIF(J$3:$BB808,"出库",J809:$BB809)</f>
        <v>0</v>
      </c>
      <c r="H809" s="27">
        <f ca="1" t="shared" si="16"/>
        <v>90</v>
      </c>
      <c r="I809" s="24"/>
      <c r="J809" s="24"/>
      <c r="K809" s="24">
        <v>90</v>
      </c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</row>
    <row r="810" s="58" customFormat="1" ht="22.5" hidden="1" customHeight="1" spans="1:54">
      <c r="A810" s="18"/>
      <c r="B810" s="18"/>
      <c r="C810" s="24" t="s">
        <v>14</v>
      </c>
      <c r="D810" s="24"/>
      <c r="E810" s="24">
        <v>0</v>
      </c>
      <c r="F810" s="74">
        <f ca="1">SUMIF(I$3:$BB809,"入库",I810:$BB810)</f>
        <v>30</v>
      </c>
      <c r="G810" s="24">
        <f ca="1">SUMIF(J$3:$BB809,"出库",J810:$BB810)</f>
        <v>0</v>
      </c>
      <c r="H810" s="27">
        <f ca="1" t="shared" si="16"/>
        <v>30</v>
      </c>
      <c r="I810" s="24"/>
      <c r="J810" s="24"/>
      <c r="K810" s="24">
        <v>30</v>
      </c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</row>
    <row r="811" s="58" customFormat="1" ht="22.5" hidden="1" customHeight="1" spans="1:54">
      <c r="A811" s="19"/>
      <c r="B811" s="19"/>
      <c r="C811" s="73" t="s">
        <v>12</v>
      </c>
      <c r="D811" s="24"/>
      <c r="E811" s="24">
        <v>0</v>
      </c>
      <c r="F811" s="74">
        <f ca="1">SUMIF(I$3:$BB810,"入库",I811:$BB811)</f>
        <v>110</v>
      </c>
      <c r="G811" s="24">
        <f ca="1">SUMIF(J$3:$BB810,"出库",J811:$BB811)</f>
        <v>0</v>
      </c>
      <c r="H811" s="27">
        <f ca="1" t="shared" si="16"/>
        <v>110</v>
      </c>
      <c r="I811" s="24"/>
      <c r="J811" s="24"/>
      <c r="K811" s="24">
        <v>10</v>
      </c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>
        <v>100</v>
      </c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</row>
    <row r="812" s="58" customFormat="1" ht="22.5" hidden="1" customHeight="1" spans="1:54">
      <c r="A812" s="72">
        <v>269</v>
      </c>
      <c r="B812" s="18" t="s">
        <v>285</v>
      </c>
      <c r="C812" s="25" t="s">
        <v>13</v>
      </c>
      <c r="D812" s="24"/>
      <c r="E812" s="24">
        <v>0</v>
      </c>
      <c r="F812" s="74">
        <f ca="1">SUMIF(I$3:$BB811,"入库",I812:$BB812)</f>
        <v>0</v>
      </c>
      <c r="G812" s="24">
        <f ca="1">SUMIF(J$3:$BB811,"出库",J812:$BB812)</f>
        <v>0</v>
      </c>
      <c r="H812" s="27">
        <f ca="1" t="shared" si="16"/>
        <v>0</v>
      </c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</row>
    <row r="813" s="58" customFormat="1" ht="22.5" hidden="1" customHeight="1" spans="1:54">
      <c r="A813" s="18"/>
      <c r="B813" s="18"/>
      <c r="C813" s="24" t="s">
        <v>14</v>
      </c>
      <c r="D813" s="24"/>
      <c r="E813" s="24">
        <v>0</v>
      </c>
      <c r="F813" s="74">
        <f ca="1">SUMIF(I$3:$BB812,"入库",I813:$BB813)</f>
        <v>0</v>
      </c>
      <c r="G813" s="24">
        <f ca="1">SUMIF(J$3:$BB812,"出库",J813:$BB813)</f>
        <v>0</v>
      </c>
      <c r="H813" s="27">
        <f ca="1" t="shared" si="16"/>
        <v>0</v>
      </c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</row>
    <row r="814" s="58" customFormat="1" ht="22.5" hidden="1" customHeight="1" spans="1:54">
      <c r="A814" s="19"/>
      <c r="B814" s="19"/>
      <c r="C814" s="73" t="s">
        <v>12</v>
      </c>
      <c r="D814" s="24"/>
      <c r="E814" s="24">
        <v>0</v>
      </c>
      <c r="F814" s="74">
        <f ca="1">SUMIF(I$3:$BB813,"入库",I814:$BB814)</f>
        <v>50</v>
      </c>
      <c r="G814" s="24">
        <f ca="1">SUMIF(J$3:$BB813,"出库",J814:$BB814)</f>
        <v>30</v>
      </c>
      <c r="H814" s="27">
        <f ca="1" t="shared" si="16"/>
        <v>20</v>
      </c>
      <c r="I814" s="24"/>
      <c r="J814" s="24"/>
      <c r="K814" s="24">
        <v>50</v>
      </c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>
        <v>30</v>
      </c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</row>
    <row r="815" s="58" customFormat="1" ht="22.5" hidden="1" customHeight="1" spans="1:54">
      <c r="A815" s="72">
        <v>270</v>
      </c>
      <c r="B815" s="18" t="s">
        <v>286</v>
      </c>
      <c r="C815" s="25" t="s">
        <v>13</v>
      </c>
      <c r="D815" s="24"/>
      <c r="E815" s="24">
        <v>0</v>
      </c>
      <c r="F815" s="74">
        <f ca="1">SUMIF(I$3:$BB814,"入库",I815:$BB815)</f>
        <v>0</v>
      </c>
      <c r="G815" s="24">
        <f ca="1">SUMIF(J$3:$BB814,"出库",J815:$BB815)</f>
        <v>0</v>
      </c>
      <c r="H815" s="27">
        <f ca="1" t="shared" si="16"/>
        <v>0</v>
      </c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</row>
    <row r="816" s="58" customFormat="1" ht="22.5" hidden="1" customHeight="1" spans="1:54">
      <c r="A816" s="18"/>
      <c r="B816" s="18"/>
      <c r="C816" s="24" t="s">
        <v>14</v>
      </c>
      <c r="D816" s="24"/>
      <c r="E816" s="24">
        <v>0</v>
      </c>
      <c r="F816" s="74">
        <f ca="1">SUMIF(I$3:$BB815,"入库",I816:$BB816)</f>
        <v>0</v>
      </c>
      <c r="G816" s="24">
        <f ca="1">SUMIF(J$3:$BB815,"出库",J816:$BB816)</f>
        <v>0</v>
      </c>
      <c r="H816" s="27">
        <f ca="1" t="shared" si="16"/>
        <v>0</v>
      </c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</row>
    <row r="817" s="58" customFormat="1" ht="22.5" hidden="1" customHeight="1" spans="1:54">
      <c r="A817" s="19"/>
      <c r="B817" s="19"/>
      <c r="C817" s="73" t="s">
        <v>12</v>
      </c>
      <c r="D817" s="24"/>
      <c r="E817" s="24">
        <v>0</v>
      </c>
      <c r="F817" s="74">
        <f ca="1">SUMIF(I$3:$BB816,"入库",I817:$BB817)</f>
        <v>570</v>
      </c>
      <c r="G817" s="24">
        <f ca="1">SUMIF(J$3:$BB816,"出库",J817:$BB817)</f>
        <v>0</v>
      </c>
      <c r="H817" s="27">
        <f ca="1" t="shared" si="16"/>
        <v>570</v>
      </c>
      <c r="I817" s="24">
        <v>570</v>
      </c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</row>
    <row r="818" s="58" customFormat="1" ht="22.5" hidden="1" customHeight="1" spans="1:54">
      <c r="A818" s="72">
        <v>271</v>
      </c>
      <c r="B818" s="18" t="s">
        <v>287</v>
      </c>
      <c r="C818" s="25" t="s">
        <v>13</v>
      </c>
      <c r="D818" s="24"/>
      <c r="E818" s="24">
        <v>0</v>
      </c>
      <c r="F818" s="74">
        <f ca="1">SUMIF(I$3:$BB817,"入库",I818:$BB818)</f>
        <v>0</v>
      </c>
      <c r="G818" s="24">
        <f ca="1">SUMIF(J$3:$BB817,"出库",J818:$BB818)</f>
        <v>0</v>
      </c>
      <c r="H818" s="27">
        <f ca="1" t="shared" si="16"/>
        <v>0</v>
      </c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</row>
    <row r="819" s="58" customFormat="1" ht="22.5" hidden="1" customHeight="1" spans="1:54">
      <c r="A819" s="18"/>
      <c r="B819" s="18"/>
      <c r="C819" s="24" t="s">
        <v>14</v>
      </c>
      <c r="D819" s="24"/>
      <c r="E819" s="24">
        <v>0</v>
      </c>
      <c r="F819" s="74">
        <f ca="1">SUMIF(I$3:$BB818,"入库",I819:$BB819)</f>
        <v>0</v>
      </c>
      <c r="G819" s="24">
        <f ca="1">SUMIF(J$3:$BB818,"出库",J819:$BB819)</f>
        <v>0</v>
      </c>
      <c r="H819" s="27">
        <f ca="1" t="shared" si="16"/>
        <v>0</v>
      </c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</row>
    <row r="820" s="58" customFormat="1" ht="22.5" hidden="1" customHeight="1" spans="1:54">
      <c r="A820" s="19"/>
      <c r="B820" s="19"/>
      <c r="C820" s="73" t="s">
        <v>12</v>
      </c>
      <c r="D820" s="24"/>
      <c r="E820" s="24">
        <v>0</v>
      </c>
      <c r="F820" s="74">
        <f ca="1">SUMIF(I$3:$BB819,"入库",I820:$BB820)</f>
        <v>1300</v>
      </c>
      <c r="G820" s="24">
        <f ca="1">SUMIF(J$3:$BB819,"出库",J820:$BB820)</f>
        <v>0</v>
      </c>
      <c r="H820" s="27">
        <f ca="1" t="shared" si="16"/>
        <v>1300</v>
      </c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>
        <v>1300</v>
      </c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</row>
    <row r="821" s="58" customFormat="1" ht="22.5" hidden="1" customHeight="1" spans="1:54">
      <c r="A821" s="72">
        <v>272</v>
      </c>
      <c r="B821" s="18" t="s">
        <v>288</v>
      </c>
      <c r="C821" s="25" t="s">
        <v>13</v>
      </c>
      <c r="D821" s="24"/>
      <c r="E821" s="24">
        <v>0</v>
      </c>
      <c r="F821" s="74">
        <f ca="1">SUMIF(I$3:$BB820,"入库",I821:$BB821)</f>
        <v>0</v>
      </c>
      <c r="G821" s="24">
        <f ca="1">SUMIF(J$3:$BB820,"出库",J821:$BB821)</f>
        <v>0</v>
      </c>
      <c r="H821" s="27">
        <f ca="1" t="shared" si="16"/>
        <v>0</v>
      </c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</row>
    <row r="822" s="58" customFormat="1" ht="22.5" hidden="1" customHeight="1" spans="1:54">
      <c r="A822" s="18"/>
      <c r="B822" s="18"/>
      <c r="C822" s="24" t="s">
        <v>14</v>
      </c>
      <c r="D822" s="24"/>
      <c r="E822" s="24">
        <v>0</v>
      </c>
      <c r="F822" s="74">
        <f ca="1">SUMIF(I$3:$BB821,"入库",I822:$BB822)</f>
        <v>150</v>
      </c>
      <c r="G822" s="24">
        <f ca="1">SUMIF(J$3:$BB821,"出库",J822:$BB822)</f>
        <v>0</v>
      </c>
      <c r="H822" s="27">
        <f ca="1" t="shared" si="16"/>
        <v>150</v>
      </c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>
        <v>150</v>
      </c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</row>
    <row r="823" s="58" customFormat="1" ht="39" hidden="1" customHeight="1" spans="1:54">
      <c r="A823" s="19"/>
      <c r="B823" s="19"/>
      <c r="C823" s="73" t="s">
        <v>12</v>
      </c>
      <c r="D823" s="24"/>
      <c r="E823" s="24">
        <v>0</v>
      </c>
      <c r="F823" s="74">
        <f ca="1">SUMIF(I$3:$BB822,"入库",I823:$BB823)</f>
        <v>1650</v>
      </c>
      <c r="G823" s="24">
        <f ca="1">SUMIF(J$3:$BB822,"出库",J823:$BB823)</f>
        <v>0</v>
      </c>
      <c r="H823" s="27">
        <f ca="1" t="shared" si="16"/>
        <v>1650</v>
      </c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>
        <v>1650</v>
      </c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</row>
    <row r="824" s="58" customFormat="1" hidden="1" customHeight="1" spans="1:54">
      <c r="A824" s="72">
        <v>273</v>
      </c>
      <c r="B824" s="18" t="s">
        <v>289</v>
      </c>
      <c r="C824" s="25" t="s">
        <v>13</v>
      </c>
      <c r="D824" s="24"/>
      <c r="E824" s="24">
        <v>0</v>
      </c>
      <c r="F824" s="74">
        <f ca="1">SUMIF(I$3:$BB823,"入库",I824:$BB824)</f>
        <v>25</v>
      </c>
      <c r="G824" s="24">
        <f ca="1">SUMIF(J$3:$BB823,"出库",J824:$BB824)</f>
        <v>0</v>
      </c>
      <c r="H824" s="27">
        <f ca="1" t="shared" si="16"/>
        <v>25</v>
      </c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>
        <v>25</v>
      </c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</row>
    <row r="825" s="58" customFormat="1" hidden="1" customHeight="1" spans="1:54">
      <c r="A825" s="18"/>
      <c r="B825" s="18"/>
      <c r="C825" s="24" t="s">
        <v>14</v>
      </c>
      <c r="D825" s="24"/>
      <c r="E825" s="24">
        <v>0</v>
      </c>
      <c r="F825" s="74">
        <f ca="1">SUMIF(I$3:$BB824,"入库",I825:$BB825)</f>
        <v>0</v>
      </c>
      <c r="G825" s="24">
        <f ca="1">SUMIF(J$3:$BB824,"出库",J825:$BB825)</f>
        <v>0</v>
      </c>
      <c r="H825" s="27">
        <f ca="1" t="shared" si="16"/>
        <v>0</v>
      </c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</row>
    <row r="826" s="58" customFormat="1" hidden="1" customHeight="1" spans="1:54">
      <c r="A826" s="19"/>
      <c r="B826" s="19"/>
      <c r="C826" s="73" t="s">
        <v>12</v>
      </c>
      <c r="D826" s="24"/>
      <c r="E826" s="24">
        <v>0</v>
      </c>
      <c r="F826" s="74">
        <f ca="1">SUMIF(I$3:$BB825,"入库",I826:$BB826)</f>
        <v>150</v>
      </c>
      <c r="G826" s="24">
        <f ca="1">SUMIF(J$3:$BB825,"出库",J826:$BB826)</f>
        <v>0</v>
      </c>
      <c r="H826" s="27">
        <f ca="1" t="shared" si="16"/>
        <v>150</v>
      </c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>
        <v>150</v>
      </c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</row>
    <row r="827" s="58" customFormat="1" hidden="1" customHeight="1" spans="1:54">
      <c r="A827" s="72">
        <v>274</v>
      </c>
      <c r="B827" s="18" t="s">
        <v>290</v>
      </c>
      <c r="C827" s="25" t="s">
        <v>13</v>
      </c>
      <c r="D827" s="24"/>
      <c r="E827" s="24">
        <v>0</v>
      </c>
      <c r="F827" s="74">
        <f ca="1">SUMIF(I$3:$BB826,"入库",I827:$BB827)</f>
        <v>110</v>
      </c>
      <c r="G827" s="24">
        <f ca="1">SUMIF(J$3:$BB826,"出库",J827:$BB827)</f>
        <v>0</v>
      </c>
      <c r="H827" s="27">
        <f ca="1" t="shared" si="16"/>
        <v>110</v>
      </c>
      <c r="I827" s="24"/>
      <c r="J827" s="24"/>
      <c r="K827" s="24"/>
      <c r="L827" s="24"/>
      <c r="M827" s="24">
        <v>110</v>
      </c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</row>
    <row r="828" s="58" customFormat="1" hidden="1" customHeight="1" spans="1:54">
      <c r="A828" s="18"/>
      <c r="B828" s="18"/>
      <c r="C828" s="24" t="s">
        <v>14</v>
      </c>
      <c r="D828" s="24"/>
      <c r="E828" s="24">
        <v>0</v>
      </c>
      <c r="F828" s="74">
        <f ca="1">SUMIF(I$3:$BB827,"入库",I828:$BB828)</f>
        <v>0</v>
      </c>
      <c r="G828" s="24">
        <f ca="1">SUMIF(J$3:$BB827,"出库",J828:$BB828)</f>
        <v>0</v>
      </c>
      <c r="H828" s="27">
        <f ca="1" t="shared" si="16"/>
        <v>0</v>
      </c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</row>
    <row r="829" s="58" customFormat="1" hidden="1" customHeight="1" spans="1:54">
      <c r="A829" s="19"/>
      <c r="B829" s="19"/>
      <c r="C829" s="73" t="s">
        <v>12</v>
      </c>
      <c r="D829" s="24"/>
      <c r="E829" s="24">
        <v>0</v>
      </c>
      <c r="F829" s="74">
        <f ca="1">SUMIF(I$3:$BB828,"入库",I829:$BB829)</f>
        <v>400</v>
      </c>
      <c r="G829" s="24">
        <f ca="1">SUMIF(J$3:$BB828,"出库",J829:$BB829)</f>
        <v>0</v>
      </c>
      <c r="H829" s="27">
        <f ca="1" t="shared" si="16"/>
        <v>400</v>
      </c>
      <c r="I829" s="24"/>
      <c r="J829" s="24"/>
      <c r="K829" s="24"/>
      <c r="L829" s="24"/>
      <c r="M829" s="24">
        <v>400</v>
      </c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</row>
    <row r="830" s="58" customFormat="1" hidden="1" customHeight="1" spans="1:54">
      <c r="A830" s="72">
        <v>275</v>
      </c>
      <c r="B830" s="18" t="s">
        <v>291</v>
      </c>
      <c r="C830" s="25" t="s">
        <v>13</v>
      </c>
      <c r="D830" s="24"/>
      <c r="E830" s="24">
        <v>0</v>
      </c>
      <c r="F830" s="74">
        <f ca="1">SUMIF(I$3:$BB829,"入库",I830:$BB830)</f>
        <v>150</v>
      </c>
      <c r="G830" s="24">
        <f ca="1">SUMIF(J$3:$BB829,"出库",J830:$BB830)</f>
        <v>0</v>
      </c>
      <c r="H830" s="27">
        <f ca="1" t="shared" si="16"/>
        <v>150</v>
      </c>
      <c r="I830" s="24"/>
      <c r="J830" s="24"/>
      <c r="K830" s="24"/>
      <c r="L830" s="24"/>
      <c r="M830" s="24">
        <v>150</v>
      </c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</row>
    <row r="831" s="58" customFormat="1" hidden="1" customHeight="1" spans="1:54">
      <c r="A831" s="18"/>
      <c r="B831" s="18"/>
      <c r="C831" s="24" t="s">
        <v>14</v>
      </c>
      <c r="D831" s="24"/>
      <c r="E831" s="24">
        <v>0</v>
      </c>
      <c r="F831" s="74">
        <f ca="1">SUMIF(I$3:$BB830,"入库",I831:$BB831)</f>
        <v>50</v>
      </c>
      <c r="G831" s="24">
        <f ca="1">SUMIF(J$3:$BB830,"出库",J831:$BB831)</f>
        <v>0</v>
      </c>
      <c r="H831" s="27">
        <f ca="1" t="shared" si="16"/>
        <v>50</v>
      </c>
      <c r="I831" s="24"/>
      <c r="J831" s="24"/>
      <c r="K831" s="24"/>
      <c r="L831" s="24"/>
      <c r="M831" s="24">
        <v>50</v>
      </c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</row>
    <row r="832" s="58" customFormat="1" hidden="1" customHeight="1" spans="1:54">
      <c r="A832" s="19"/>
      <c r="B832" s="19"/>
      <c r="C832" s="73" t="s">
        <v>12</v>
      </c>
      <c r="D832" s="24"/>
      <c r="E832" s="24">
        <v>0</v>
      </c>
      <c r="F832" s="74">
        <f ca="1">SUMIF(I$3:$BB831,"入库",I832:$BB832)</f>
        <v>170</v>
      </c>
      <c r="G832" s="24">
        <f ca="1">SUMIF(J$3:$BB831,"出库",J832:$BB832)</f>
        <v>0</v>
      </c>
      <c r="H832" s="27">
        <f ca="1" t="shared" si="16"/>
        <v>170</v>
      </c>
      <c r="I832" s="24"/>
      <c r="J832" s="24"/>
      <c r="K832" s="24"/>
      <c r="L832" s="24"/>
      <c r="M832" s="24">
        <v>170</v>
      </c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</row>
    <row r="833" s="58" customFormat="1" hidden="1" customHeight="1" spans="1:54">
      <c r="A833" s="72">
        <v>276</v>
      </c>
      <c r="B833" s="18" t="s">
        <v>292</v>
      </c>
      <c r="C833" s="25" t="s">
        <v>13</v>
      </c>
      <c r="D833" s="24"/>
      <c r="E833" s="24">
        <v>0</v>
      </c>
      <c r="F833" s="74">
        <f ca="1">SUMIF(I$3:$BB832,"入库",I833:$BB833)</f>
        <v>30</v>
      </c>
      <c r="G833" s="24">
        <f ca="1">SUMIF(J$3:$BB832,"出库",J833:$BB833)</f>
        <v>0</v>
      </c>
      <c r="H833" s="27">
        <f ca="1" t="shared" si="16"/>
        <v>30</v>
      </c>
      <c r="I833" s="24"/>
      <c r="J833" s="24"/>
      <c r="K833" s="24">
        <v>30</v>
      </c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</row>
    <row r="834" s="58" customFormat="1" hidden="1" customHeight="1" spans="1:54">
      <c r="A834" s="18"/>
      <c r="B834" s="18"/>
      <c r="C834" s="24" t="s">
        <v>14</v>
      </c>
      <c r="D834" s="24"/>
      <c r="E834" s="24">
        <v>0</v>
      </c>
      <c r="F834" s="74">
        <f ca="1">SUMIF(I$3:$BB833,"入库",I834:$BB834)</f>
        <v>0</v>
      </c>
      <c r="G834" s="24">
        <f ca="1">SUMIF(J$3:$BB833,"出库",J834:$BB834)</f>
        <v>0</v>
      </c>
      <c r="H834" s="27">
        <f ca="1" t="shared" si="16"/>
        <v>0</v>
      </c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</row>
    <row r="835" s="58" customFormat="1" hidden="1" customHeight="1" spans="1:54">
      <c r="A835" s="19"/>
      <c r="B835" s="19"/>
      <c r="C835" s="73" t="s">
        <v>12</v>
      </c>
      <c r="D835" s="24"/>
      <c r="E835" s="24">
        <v>0</v>
      </c>
      <c r="F835" s="74">
        <f ca="1">SUMIF(I$3:$BB834,"入库",I835:$BB835)</f>
        <v>30</v>
      </c>
      <c r="G835" s="24">
        <f ca="1">SUMIF(J$3:$BB834,"出库",J835:$BB835)</f>
        <v>0</v>
      </c>
      <c r="H835" s="27">
        <f ca="1" t="shared" si="16"/>
        <v>30</v>
      </c>
      <c r="I835" s="24"/>
      <c r="J835" s="24"/>
      <c r="K835" s="24">
        <v>30</v>
      </c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</row>
    <row r="836" s="58" customFormat="1" hidden="1" customHeight="1" spans="1:54">
      <c r="A836" s="72">
        <v>277</v>
      </c>
      <c r="B836" s="18" t="s">
        <v>293</v>
      </c>
      <c r="C836" s="25" t="s">
        <v>13</v>
      </c>
      <c r="D836" s="24"/>
      <c r="E836" s="24">
        <v>0</v>
      </c>
      <c r="F836" s="74">
        <f ca="1">SUMIF(I$3:$BB835,"入库",I836:$BB836)</f>
        <v>0</v>
      </c>
      <c r="G836" s="24">
        <f ca="1">SUMIF(J$3:$BB835,"出库",J836:$BB836)</f>
        <v>0</v>
      </c>
      <c r="H836" s="27">
        <f ca="1" t="shared" si="16"/>
        <v>0</v>
      </c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</row>
    <row r="837" s="58" customFormat="1" hidden="1" customHeight="1" spans="1:54">
      <c r="A837" s="18"/>
      <c r="B837" s="18"/>
      <c r="C837" s="24" t="s">
        <v>14</v>
      </c>
      <c r="D837" s="24"/>
      <c r="E837" s="24">
        <v>0</v>
      </c>
      <c r="F837" s="74">
        <f ca="1">SUMIF(I$3:$BB836,"入库",I837:$BB837)</f>
        <v>0</v>
      </c>
      <c r="G837" s="24">
        <f ca="1">SUMIF(J$3:$BB836,"出库",J837:$BB837)</f>
        <v>0</v>
      </c>
      <c r="H837" s="27">
        <f ca="1" t="shared" si="16"/>
        <v>0</v>
      </c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</row>
    <row r="838" s="58" customFormat="1" hidden="1" customHeight="1" spans="1:54">
      <c r="A838" s="19"/>
      <c r="B838" s="19"/>
      <c r="C838" s="73" t="s">
        <v>12</v>
      </c>
      <c r="D838" s="24"/>
      <c r="E838" s="24">
        <v>0</v>
      </c>
      <c r="F838" s="74">
        <f ca="1">SUMIF(I$3:$BB837,"入库",I838:$BB838)</f>
        <v>50</v>
      </c>
      <c r="G838" s="24">
        <f ca="1">SUMIF(J$3:$BB837,"出库",J838:$BB838)</f>
        <v>0</v>
      </c>
      <c r="H838" s="27">
        <f ca="1" t="shared" si="16"/>
        <v>50</v>
      </c>
      <c r="I838" s="24"/>
      <c r="J838" s="24"/>
      <c r="K838" s="24">
        <v>50</v>
      </c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</row>
    <row r="839" s="58" customFormat="1" hidden="1" customHeight="1" spans="1:54">
      <c r="A839" s="72">
        <v>278</v>
      </c>
      <c r="B839" s="18" t="s">
        <v>294</v>
      </c>
      <c r="C839" s="25" t="s">
        <v>13</v>
      </c>
      <c r="D839" s="24"/>
      <c r="E839" s="24">
        <v>0</v>
      </c>
      <c r="F839" s="74">
        <f ca="1">SUMIF(I$3:$BB838,"入库",I839:$BB839)</f>
        <v>160</v>
      </c>
      <c r="G839" s="24">
        <f ca="1">SUMIF(J$3:$BB838,"出库",J839:$BB839)</f>
        <v>0</v>
      </c>
      <c r="H839" s="27">
        <f ca="1" t="shared" si="16"/>
        <v>160</v>
      </c>
      <c r="I839" s="24"/>
      <c r="J839" s="24"/>
      <c r="K839" s="24">
        <v>160</v>
      </c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</row>
    <row r="840" s="58" customFormat="1" hidden="1" customHeight="1" spans="1:54">
      <c r="A840" s="18"/>
      <c r="B840" s="18"/>
      <c r="C840" s="24" t="s">
        <v>14</v>
      </c>
      <c r="D840" s="24"/>
      <c r="E840" s="24">
        <v>0</v>
      </c>
      <c r="F840" s="74">
        <f ca="1">SUMIF(I$3:$BB839,"入库",I840:$BB840)</f>
        <v>0</v>
      </c>
      <c r="G840" s="24">
        <f ca="1">SUMIF(J$3:$BB839,"出库",J840:$BB840)</f>
        <v>0</v>
      </c>
      <c r="H840" s="27">
        <f ca="1" t="shared" si="16"/>
        <v>0</v>
      </c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</row>
    <row r="841" s="58" customFormat="1" hidden="1" customHeight="1" spans="1:54">
      <c r="A841" s="19"/>
      <c r="B841" s="19"/>
      <c r="C841" s="73" t="s">
        <v>12</v>
      </c>
      <c r="D841" s="24"/>
      <c r="E841" s="24">
        <v>0</v>
      </c>
      <c r="F841" s="74">
        <f ca="1">SUMIF(I$3:$BB840,"入库",I841:$BB841)</f>
        <v>0</v>
      </c>
      <c r="G841" s="24">
        <f ca="1">SUMIF(J$3:$BB840,"出库",J841:$BB841)</f>
        <v>0</v>
      </c>
      <c r="H841" s="27">
        <f ca="1" t="shared" si="16"/>
        <v>0</v>
      </c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</row>
    <row r="842" s="58" customFormat="1" hidden="1" customHeight="1" spans="1:54">
      <c r="A842" s="72">
        <v>279</v>
      </c>
      <c r="B842" s="18" t="s">
        <v>295</v>
      </c>
      <c r="C842" s="25" t="s">
        <v>13</v>
      </c>
      <c r="D842" s="24"/>
      <c r="E842" s="24">
        <v>0</v>
      </c>
      <c r="F842" s="74">
        <f ca="1">SUMIF(I$3:$BB841,"入库",I842:$BB842)</f>
        <v>0</v>
      </c>
      <c r="G842" s="24">
        <f ca="1">SUMIF(J$3:$BB841,"出库",J842:$BB842)</f>
        <v>0</v>
      </c>
      <c r="H842" s="27">
        <f ca="1" t="shared" si="16"/>
        <v>0</v>
      </c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</row>
    <row r="843" s="58" customFormat="1" hidden="1" customHeight="1" spans="1:54">
      <c r="A843" s="18"/>
      <c r="B843" s="18"/>
      <c r="C843" s="24" t="s">
        <v>14</v>
      </c>
      <c r="D843" s="24"/>
      <c r="E843" s="24">
        <v>0</v>
      </c>
      <c r="F843" s="74">
        <f ca="1">SUMIF(I$3:$BB842,"入库",I843:$BB843)</f>
        <v>0</v>
      </c>
      <c r="G843" s="24">
        <f ca="1">SUMIF(J$3:$BB842,"出库",J843:$BB843)</f>
        <v>0</v>
      </c>
      <c r="H843" s="27">
        <f ca="1" t="shared" si="16"/>
        <v>0</v>
      </c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</row>
    <row r="844" s="58" customFormat="1" hidden="1" customHeight="1" spans="1:54">
      <c r="A844" s="19"/>
      <c r="B844" s="19"/>
      <c r="C844" s="73" t="s">
        <v>12</v>
      </c>
      <c r="D844" s="24"/>
      <c r="E844" s="24">
        <v>0</v>
      </c>
      <c r="F844" s="74">
        <f ca="1">SUMIF(I$3:$BB843,"入库",I844:$BB844)</f>
        <v>0</v>
      </c>
      <c r="G844" s="24">
        <f ca="1">SUMIF(J$3:$BB843,"出库",J844:$BB844)</f>
        <v>0</v>
      </c>
      <c r="H844" s="27">
        <v>120</v>
      </c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</row>
    <row r="845" s="58" customFormat="1" hidden="1" customHeight="1" spans="1:54">
      <c r="A845" s="72">
        <v>280</v>
      </c>
      <c r="B845" s="18" t="s">
        <v>296</v>
      </c>
      <c r="C845" s="25" t="s">
        <v>13</v>
      </c>
      <c r="D845" s="24"/>
      <c r="E845" s="24">
        <v>0</v>
      </c>
      <c r="F845" s="74">
        <f ca="1">SUMIF(I$3:$BB844,"入库",I845:$BB845)</f>
        <v>180</v>
      </c>
      <c r="G845" s="24">
        <f ca="1">SUMIF(J$3:$BB844,"出库",J845:$BB845)</f>
        <v>0</v>
      </c>
      <c r="H845" s="27">
        <f ca="1" t="shared" si="16"/>
        <v>180</v>
      </c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>
        <v>180</v>
      </c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</row>
    <row r="846" s="58" customFormat="1" hidden="1" customHeight="1" spans="1:54">
      <c r="A846" s="18"/>
      <c r="B846" s="18"/>
      <c r="C846" s="24" t="s">
        <v>14</v>
      </c>
      <c r="D846" s="24"/>
      <c r="E846" s="24">
        <v>0</v>
      </c>
      <c r="F846" s="74">
        <f ca="1">SUMIF(I$3:$BB845,"入库",I846:$BB846)</f>
        <v>0</v>
      </c>
      <c r="G846" s="24">
        <f ca="1">SUMIF(J$3:$BB845,"出库",J846:$BB846)</f>
        <v>0</v>
      </c>
      <c r="H846" s="27">
        <f ca="1" t="shared" si="16"/>
        <v>0</v>
      </c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</row>
    <row r="847" s="58" customFormat="1" hidden="1" customHeight="1" spans="1:54">
      <c r="A847" s="19"/>
      <c r="B847" s="19"/>
      <c r="C847" s="73" t="s">
        <v>12</v>
      </c>
      <c r="D847" s="24"/>
      <c r="E847" s="24">
        <v>0</v>
      </c>
      <c r="F847" s="74">
        <f ca="1">SUMIF(I$3:$BB846,"入库",I847:$BB847)</f>
        <v>400</v>
      </c>
      <c r="G847" s="24">
        <f ca="1">SUMIF(J$3:$BB846,"出库",J847:$BB847)</f>
        <v>0</v>
      </c>
      <c r="H847" s="27">
        <f ca="1" t="shared" si="16"/>
        <v>400</v>
      </c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>
        <v>400</v>
      </c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</row>
    <row r="848" s="58" customFormat="1" hidden="1" customHeight="1" spans="1:54">
      <c r="A848" s="72">
        <v>281</v>
      </c>
      <c r="B848" s="18" t="s">
        <v>297</v>
      </c>
      <c r="C848" s="25" t="s">
        <v>13</v>
      </c>
      <c r="D848" s="24"/>
      <c r="E848" s="24">
        <v>0</v>
      </c>
      <c r="F848" s="74">
        <f ca="1">SUMIF(I$3:$BB847,"入库",I848:$BB848)</f>
        <v>100</v>
      </c>
      <c r="G848" s="24">
        <f ca="1">SUMIF(J$3:$BB847,"出库",J848:$BB848)</f>
        <v>0</v>
      </c>
      <c r="H848" s="27">
        <f ca="1" t="shared" si="16"/>
        <v>100</v>
      </c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>
        <v>100</v>
      </c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</row>
    <row r="849" s="58" customFormat="1" hidden="1" customHeight="1" spans="1:54">
      <c r="A849" s="18"/>
      <c r="B849" s="18"/>
      <c r="C849" s="24" t="s">
        <v>14</v>
      </c>
      <c r="D849" s="24"/>
      <c r="E849" s="24">
        <v>0</v>
      </c>
      <c r="F849" s="74">
        <f ca="1">SUMIF(I$3:$BB848,"入库",I849:$BB849)</f>
        <v>0</v>
      </c>
      <c r="G849" s="24">
        <f ca="1">SUMIF(J$3:$BB848,"出库",J849:$BB849)</f>
        <v>0</v>
      </c>
      <c r="H849" s="27">
        <f ca="1" t="shared" si="16"/>
        <v>0</v>
      </c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</row>
    <row r="850" s="58" customFormat="1" hidden="1" customHeight="1" spans="1:54">
      <c r="A850" s="19"/>
      <c r="B850" s="19"/>
      <c r="C850" s="73" t="s">
        <v>12</v>
      </c>
      <c r="D850" s="24"/>
      <c r="E850" s="24">
        <v>0</v>
      </c>
      <c r="F850" s="74">
        <f ca="1">SUMIF(I$3:$BB849,"入库",I850:$BB850)</f>
        <v>400</v>
      </c>
      <c r="G850" s="24">
        <f ca="1">SUMIF(J$3:$BB849,"出库",J850:$BB850)</f>
        <v>40</v>
      </c>
      <c r="H850" s="27">
        <f ca="1" t="shared" si="16"/>
        <v>360</v>
      </c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>
        <v>400</v>
      </c>
      <c r="X850" s="24"/>
      <c r="Y850" s="24"/>
      <c r="Z850" s="24"/>
      <c r="AA850" s="24"/>
      <c r="AB850" s="24">
        <v>40</v>
      </c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</row>
    <row r="851" s="58" customFormat="1" hidden="1" customHeight="1" spans="1:54">
      <c r="A851" s="72">
        <v>282</v>
      </c>
      <c r="B851" s="18" t="s">
        <v>298</v>
      </c>
      <c r="C851" s="25" t="s">
        <v>13</v>
      </c>
      <c r="D851" s="24"/>
      <c r="E851" s="24">
        <v>0</v>
      </c>
      <c r="F851" s="74">
        <f ca="1">SUMIF(I$3:$BB850,"入库",I851:$BB851)</f>
        <v>0</v>
      </c>
      <c r="G851" s="24">
        <f ca="1">SUMIF(J$3:$BB850,"出库",J851:$BB851)</f>
        <v>0</v>
      </c>
      <c r="H851" s="27">
        <f ca="1" t="shared" si="16"/>
        <v>0</v>
      </c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</row>
    <row r="852" s="58" customFormat="1" hidden="1" customHeight="1" spans="1:54">
      <c r="A852" s="18"/>
      <c r="B852" s="18"/>
      <c r="C852" s="24" t="s">
        <v>14</v>
      </c>
      <c r="D852" s="24"/>
      <c r="E852" s="24">
        <v>0</v>
      </c>
      <c r="F852" s="74">
        <f ca="1">SUMIF(I$3:$BB851,"入库",I852:$BB852)</f>
        <v>0</v>
      </c>
      <c r="G852" s="24">
        <f ca="1">SUMIF(J$3:$BB851,"出库",J852:$BB852)</f>
        <v>0</v>
      </c>
      <c r="H852" s="27">
        <f ca="1" t="shared" si="16"/>
        <v>0</v>
      </c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</row>
    <row r="853" s="58" customFormat="1" hidden="1" customHeight="1" spans="1:54">
      <c r="A853" s="19"/>
      <c r="B853" s="19"/>
      <c r="C853" s="73" t="s">
        <v>12</v>
      </c>
      <c r="D853" s="24"/>
      <c r="E853" s="24">
        <v>0</v>
      </c>
      <c r="F853" s="74">
        <f ca="1">SUMIF(I$3:$BB852,"入库",I853:$BB853)</f>
        <v>80</v>
      </c>
      <c r="G853" s="24">
        <f ca="1">SUMIF(J$3:$BB852,"出库",J853:$BB853)</f>
        <v>0</v>
      </c>
      <c r="H853" s="27">
        <f ca="1" t="shared" si="16"/>
        <v>80</v>
      </c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>
        <v>80</v>
      </c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</row>
    <row r="854" s="58" customFormat="1" hidden="1" customHeight="1" spans="1:54">
      <c r="A854" s="72">
        <v>283</v>
      </c>
      <c r="B854" s="18" t="s">
        <v>299</v>
      </c>
      <c r="C854" s="25" t="s">
        <v>13</v>
      </c>
      <c r="D854" s="24"/>
      <c r="E854" s="24">
        <v>0</v>
      </c>
      <c r="F854" s="74">
        <f ca="1">SUMIF(I$3:$BB853,"入库",I854:$BB854)</f>
        <v>0</v>
      </c>
      <c r="G854" s="24">
        <f ca="1">SUMIF(J$3:$BB853,"出库",J854:$BB854)</f>
        <v>0</v>
      </c>
      <c r="H854" s="27">
        <f ca="1" t="shared" ref="H854:H902" si="17">E854+F854-G854</f>
        <v>0</v>
      </c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</row>
    <row r="855" s="58" customFormat="1" hidden="1" customHeight="1" spans="1:54">
      <c r="A855" s="18"/>
      <c r="B855" s="18"/>
      <c r="C855" s="24" t="s">
        <v>14</v>
      </c>
      <c r="D855" s="24"/>
      <c r="E855" s="24">
        <v>0</v>
      </c>
      <c r="F855" s="74">
        <f ca="1">SUMIF(I$3:$BB854,"入库",I855:$BB855)</f>
        <v>0</v>
      </c>
      <c r="G855" s="24">
        <f ca="1">SUMIF(J$3:$BB854,"出库",J855:$BB855)</f>
        <v>0</v>
      </c>
      <c r="H855" s="27">
        <f ca="1" t="shared" si="17"/>
        <v>0</v>
      </c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</row>
    <row r="856" s="58" customFormat="1" hidden="1" customHeight="1" spans="1:54">
      <c r="A856" s="19"/>
      <c r="B856" s="19"/>
      <c r="C856" s="73" t="s">
        <v>12</v>
      </c>
      <c r="D856" s="24"/>
      <c r="E856" s="24">
        <v>0</v>
      </c>
      <c r="F856" s="74">
        <f ca="1">SUMIF(I$3:$BB855,"入库",I856:$BB856)</f>
        <v>30</v>
      </c>
      <c r="G856" s="24">
        <f ca="1">SUMIF(J$3:$BB855,"出库",J856:$BB856)</f>
        <v>0</v>
      </c>
      <c r="H856" s="27">
        <f ca="1" t="shared" si="17"/>
        <v>30</v>
      </c>
      <c r="I856" s="24"/>
      <c r="J856" s="24"/>
      <c r="K856" s="24"/>
      <c r="L856" s="24"/>
      <c r="M856" s="24">
        <v>30</v>
      </c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</row>
    <row r="857" s="58" customFormat="1" hidden="1" customHeight="1" spans="1:54">
      <c r="A857" s="72">
        <v>284</v>
      </c>
      <c r="B857" s="18" t="s">
        <v>300</v>
      </c>
      <c r="C857" s="25" t="s">
        <v>13</v>
      </c>
      <c r="D857" s="24"/>
      <c r="E857" s="24">
        <v>0</v>
      </c>
      <c r="F857" s="74">
        <f ca="1">SUMIF(I$3:$BB856,"入库",I857:$BB857)</f>
        <v>0</v>
      </c>
      <c r="G857" s="24">
        <f ca="1">SUMIF(J$3:$BB856,"出库",J857:$BB857)</f>
        <v>0</v>
      </c>
      <c r="H857" s="27">
        <f ca="1" t="shared" si="17"/>
        <v>0</v>
      </c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</row>
    <row r="858" s="58" customFormat="1" hidden="1" customHeight="1" spans="1:54">
      <c r="A858" s="18"/>
      <c r="B858" s="18"/>
      <c r="C858" s="24" t="s">
        <v>14</v>
      </c>
      <c r="D858" s="24"/>
      <c r="E858" s="24">
        <v>0</v>
      </c>
      <c r="F858" s="74">
        <f ca="1">SUMIF(I$3:$BB857,"入库",I858:$BB858)</f>
        <v>0</v>
      </c>
      <c r="G858" s="24">
        <f ca="1">SUMIF(J$3:$BB857,"出库",J858:$BB858)</f>
        <v>0</v>
      </c>
      <c r="H858" s="27">
        <f ca="1" t="shared" si="17"/>
        <v>0</v>
      </c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</row>
    <row r="859" s="58" customFormat="1" hidden="1" customHeight="1" spans="1:54">
      <c r="A859" s="19"/>
      <c r="B859" s="19"/>
      <c r="C859" s="73" t="s">
        <v>12</v>
      </c>
      <c r="D859" s="24"/>
      <c r="E859" s="24">
        <v>0</v>
      </c>
      <c r="F859" s="74">
        <f ca="1">SUMIF(I$3:$BB858,"入库",I859:$BB859)</f>
        <v>550</v>
      </c>
      <c r="G859" s="24">
        <f ca="1">SUMIF(J$3:$BB858,"出库",J859:$BB859)</f>
        <v>0</v>
      </c>
      <c r="H859" s="27">
        <f ca="1" t="shared" si="17"/>
        <v>550</v>
      </c>
      <c r="I859" s="24"/>
      <c r="J859" s="24"/>
      <c r="K859" s="24"/>
      <c r="L859" s="24"/>
      <c r="M859" s="24">
        <v>550</v>
      </c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</row>
    <row r="860" s="58" customFormat="1" hidden="1" customHeight="1" spans="1:54">
      <c r="A860" s="72">
        <v>285</v>
      </c>
      <c r="B860" s="18" t="s">
        <v>301</v>
      </c>
      <c r="C860" s="25" t="s">
        <v>13</v>
      </c>
      <c r="D860" s="24"/>
      <c r="E860" s="24">
        <v>0</v>
      </c>
      <c r="F860" s="74">
        <f ca="1">SUMIF(I$3:$BB859,"入库",I860:$BB860)</f>
        <v>0</v>
      </c>
      <c r="G860" s="24">
        <f ca="1">SUMIF(J$3:$BB859,"出库",J860:$BB860)</f>
        <v>0</v>
      </c>
      <c r="H860" s="27">
        <f ca="1" t="shared" si="17"/>
        <v>0</v>
      </c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</row>
    <row r="861" s="58" customFormat="1" hidden="1" customHeight="1" spans="1:54">
      <c r="A861" s="18"/>
      <c r="B861" s="18"/>
      <c r="C861" s="24" t="s">
        <v>14</v>
      </c>
      <c r="D861" s="24"/>
      <c r="E861" s="24">
        <v>0</v>
      </c>
      <c r="F861" s="74">
        <f ca="1">SUMIF(I$3:$BB860,"入库",I861:$BB861)</f>
        <v>0</v>
      </c>
      <c r="G861" s="24">
        <f ca="1">SUMIF(J$3:$BB860,"出库",J861:$BB861)</f>
        <v>0</v>
      </c>
      <c r="H861" s="27">
        <f ca="1" t="shared" si="17"/>
        <v>0</v>
      </c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</row>
    <row r="862" s="58" customFormat="1" hidden="1" customHeight="1" spans="1:54">
      <c r="A862" s="19"/>
      <c r="B862" s="19"/>
      <c r="C862" s="73" t="s">
        <v>12</v>
      </c>
      <c r="D862" s="24"/>
      <c r="E862" s="24">
        <v>0</v>
      </c>
      <c r="F862" s="74">
        <f ca="1">SUMIF(I$3:$BB861,"入库",I862:$BB862)</f>
        <v>80</v>
      </c>
      <c r="G862" s="24">
        <f ca="1">SUMIF(J$3:$BB861,"出库",J862:$BB862)</f>
        <v>0</v>
      </c>
      <c r="H862" s="27">
        <f ca="1" t="shared" si="17"/>
        <v>80</v>
      </c>
      <c r="I862" s="24"/>
      <c r="J862" s="24"/>
      <c r="K862" s="24">
        <v>80</v>
      </c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</row>
    <row r="863" s="58" customFormat="1" hidden="1" customHeight="1" spans="1:54">
      <c r="A863" s="72">
        <v>286</v>
      </c>
      <c r="B863" s="18" t="s">
        <v>302</v>
      </c>
      <c r="C863" s="25" t="s">
        <v>13</v>
      </c>
      <c r="D863" s="24"/>
      <c r="E863" s="24">
        <v>0</v>
      </c>
      <c r="F863" s="74">
        <f ca="1">SUMIF(I$3:$BB862,"入库",I863:$BB863)</f>
        <v>40</v>
      </c>
      <c r="G863" s="24">
        <f ca="1">SUMIF(J$3:$BB862,"出库",J863:$BB863)</f>
        <v>0</v>
      </c>
      <c r="H863" s="27">
        <f ca="1" t="shared" si="17"/>
        <v>40</v>
      </c>
      <c r="I863" s="24"/>
      <c r="J863" s="24"/>
      <c r="K863" s="24">
        <v>40</v>
      </c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</row>
    <row r="864" s="58" customFormat="1" hidden="1" customHeight="1" spans="1:54">
      <c r="A864" s="18"/>
      <c r="B864" s="18"/>
      <c r="C864" s="24" t="s">
        <v>14</v>
      </c>
      <c r="D864" s="24"/>
      <c r="E864" s="24">
        <v>0</v>
      </c>
      <c r="F864" s="74">
        <f ca="1">SUMIF(I$3:$BB863,"入库",I864:$BB864)</f>
        <v>0</v>
      </c>
      <c r="G864" s="24">
        <f ca="1">SUMIF(J$3:$BB863,"出库",J864:$BB864)</f>
        <v>0</v>
      </c>
      <c r="H864" s="27">
        <f ca="1" t="shared" si="17"/>
        <v>0</v>
      </c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</row>
    <row r="865" s="58" customFormat="1" hidden="1" customHeight="1" spans="1:54">
      <c r="A865" s="19"/>
      <c r="B865" s="19"/>
      <c r="C865" s="73" t="s">
        <v>12</v>
      </c>
      <c r="D865" s="24"/>
      <c r="E865" s="24">
        <v>0</v>
      </c>
      <c r="F865" s="74">
        <f ca="1">SUMIF(I$3:$BB864,"入库",I865:$BB865)</f>
        <v>0</v>
      </c>
      <c r="G865" s="24">
        <f ca="1">SUMIF(J$3:$BB864,"出库",J865:$BB865)</f>
        <v>0</v>
      </c>
      <c r="H865" s="27">
        <f ca="1" t="shared" si="17"/>
        <v>0</v>
      </c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</row>
    <row r="866" s="58" customFormat="1" hidden="1" customHeight="1" spans="1:54">
      <c r="A866" s="72">
        <v>287</v>
      </c>
      <c r="B866" s="18" t="s">
        <v>303</v>
      </c>
      <c r="C866" s="25" t="s">
        <v>13</v>
      </c>
      <c r="D866" s="24"/>
      <c r="E866" s="24">
        <v>0</v>
      </c>
      <c r="F866" s="74">
        <f ca="1">SUMIF(I$3:$BB865,"入库",I866:$BB866)</f>
        <v>0</v>
      </c>
      <c r="G866" s="24">
        <f ca="1">SUMIF(J$3:$BB865,"出库",J866:$BB866)</f>
        <v>0</v>
      </c>
      <c r="H866" s="27">
        <f ca="1" t="shared" si="17"/>
        <v>0</v>
      </c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</row>
    <row r="867" s="58" customFormat="1" hidden="1" customHeight="1" spans="1:54">
      <c r="A867" s="18"/>
      <c r="B867" s="18"/>
      <c r="C867" s="24" t="s">
        <v>14</v>
      </c>
      <c r="D867" s="24"/>
      <c r="E867" s="24">
        <v>0</v>
      </c>
      <c r="F867" s="74">
        <f ca="1">SUMIF(I$3:$BB866,"入库",I867:$BB867)</f>
        <v>0</v>
      </c>
      <c r="G867" s="24">
        <f ca="1">SUMIF(J$3:$BB866,"出库",J867:$BB867)</f>
        <v>0</v>
      </c>
      <c r="H867" s="27">
        <f ca="1" t="shared" si="17"/>
        <v>0</v>
      </c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</row>
    <row r="868" s="58" customFormat="1" hidden="1" customHeight="1" spans="1:54">
      <c r="A868" s="19"/>
      <c r="B868" s="19"/>
      <c r="C868" s="73" t="s">
        <v>12</v>
      </c>
      <c r="D868" s="24"/>
      <c r="E868" s="24">
        <v>0</v>
      </c>
      <c r="F868" s="74">
        <f ca="1">SUMIF(I$3:$BB867,"入库",I868:$BB868)</f>
        <v>150</v>
      </c>
      <c r="G868" s="24">
        <f ca="1">SUMIF(J$3:$BB867,"出库",J868:$BB868)</f>
        <v>0</v>
      </c>
      <c r="H868" s="27">
        <f ca="1" t="shared" si="17"/>
        <v>150</v>
      </c>
      <c r="I868" s="24"/>
      <c r="J868" s="24"/>
      <c r="K868" s="24">
        <v>150</v>
      </c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</row>
    <row r="869" s="58" customFormat="1" hidden="1" customHeight="1" spans="1:54">
      <c r="A869" s="72">
        <v>288</v>
      </c>
      <c r="B869" s="18" t="s">
        <v>304</v>
      </c>
      <c r="C869" s="25" t="s">
        <v>13</v>
      </c>
      <c r="D869" s="24"/>
      <c r="E869" s="24">
        <v>0</v>
      </c>
      <c r="F869" s="74">
        <f ca="1">SUMIF(I$3:$BB868,"入库",I869:$BB869)</f>
        <v>200</v>
      </c>
      <c r="G869" s="24">
        <f ca="1">SUMIF(J$3:$BB868,"出库",J869:$BB869)</f>
        <v>0</v>
      </c>
      <c r="H869" s="27">
        <f ca="1" t="shared" si="17"/>
        <v>200</v>
      </c>
      <c r="I869" s="24">
        <v>200</v>
      </c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</row>
    <row r="870" s="58" customFormat="1" hidden="1" customHeight="1" spans="1:54">
      <c r="A870" s="18"/>
      <c r="B870" s="18"/>
      <c r="C870" s="24" t="s">
        <v>14</v>
      </c>
      <c r="D870" s="24"/>
      <c r="E870" s="24">
        <v>0</v>
      </c>
      <c r="F870" s="74">
        <f ca="1">SUMIF(I$3:$BB869,"入库",I870:$BB870)</f>
        <v>0</v>
      </c>
      <c r="G870" s="24">
        <f ca="1">SUMIF(J$3:$BB869,"出库",J870:$BB870)</f>
        <v>0</v>
      </c>
      <c r="H870" s="27">
        <f ca="1" t="shared" si="17"/>
        <v>0</v>
      </c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</row>
    <row r="871" s="58" customFormat="1" hidden="1" customHeight="1" spans="1:54">
      <c r="A871" s="19"/>
      <c r="B871" s="19"/>
      <c r="C871" s="73" t="s">
        <v>12</v>
      </c>
      <c r="D871" s="24"/>
      <c r="E871" s="24">
        <v>0</v>
      </c>
      <c r="F871" s="74">
        <f ca="1">SUMIF(I$3:$BB870,"入库",I871:$BB871)</f>
        <v>570</v>
      </c>
      <c r="G871" s="24">
        <f ca="1">SUMIF(J$3:$BB870,"出库",J871:$BB871)</f>
        <v>0</v>
      </c>
      <c r="H871" s="27">
        <f ca="1" t="shared" si="17"/>
        <v>570</v>
      </c>
      <c r="I871" s="24">
        <v>570</v>
      </c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</row>
    <row r="872" s="58" customFormat="1" hidden="1" customHeight="1" spans="1:54">
      <c r="A872" s="72">
        <v>289</v>
      </c>
      <c r="B872" s="18" t="s">
        <v>305</v>
      </c>
      <c r="C872" s="25" t="s">
        <v>13</v>
      </c>
      <c r="D872" s="24"/>
      <c r="E872" s="24">
        <v>0</v>
      </c>
      <c r="F872" s="74">
        <f ca="1">SUMIF(I$3:$BB871,"入库",I872:$BB872)</f>
        <v>30</v>
      </c>
      <c r="G872" s="24">
        <f ca="1">SUMIF(J$3:$BB871,"出库",J872:$BB872)</f>
        <v>0</v>
      </c>
      <c r="H872" s="27">
        <f ca="1" t="shared" si="17"/>
        <v>30</v>
      </c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>
        <v>30</v>
      </c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</row>
    <row r="873" s="58" customFormat="1" hidden="1" customHeight="1" spans="1:54">
      <c r="A873" s="18"/>
      <c r="B873" s="18"/>
      <c r="C873" s="24" t="s">
        <v>14</v>
      </c>
      <c r="D873" s="24"/>
      <c r="E873" s="24">
        <v>0</v>
      </c>
      <c r="F873" s="74">
        <f ca="1">SUMIF(I$3:$BB872,"入库",I873:$BB873)</f>
        <v>120</v>
      </c>
      <c r="G873" s="24">
        <f ca="1">SUMIF(J$3:$BB872,"出库",J873:$BB873)</f>
        <v>0</v>
      </c>
      <c r="H873" s="27">
        <f ca="1" t="shared" si="17"/>
        <v>120</v>
      </c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>
        <v>120</v>
      </c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</row>
    <row r="874" s="58" customFormat="1" hidden="1" customHeight="1" spans="1:54">
      <c r="A874" s="19"/>
      <c r="B874" s="19"/>
      <c r="C874" s="73" t="s">
        <v>12</v>
      </c>
      <c r="D874" s="24"/>
      <c r="E874" s="24">
        <v>0</v>
      </c>
      <c r="F874" s="74">
        <f ca="1">SUMIF(I$3:$BB873,"入库",I874:$BB874)</f>
        <v>120</v>
      </c>
      <c r="G874" s="24">
        <f ca="1">SUMIF(J$3:$BB873,"出库",J874:$BB874)</f>
        <v>0</v>
      </c>
      <c r="H874" s="27">
        <f ca="1" t="shared" si="17"/>
        <v>120</v>
      </c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>
        <v>120</v>
      </c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</row>
    <row r="875" s="58" customFormat="1" hidden="1" customHeight="1" spans="1:54">
      <c r="A875" s="72">
        <v>290</v>
      </c>
      <c r="B875" s="18" t="s">
        <v>306</v>
      </c>
      <c r="C875" s="25" t="s">
        <v>13</v>
      </c>
      <c r="D875" s="24"/>
      <c r="E875" s="24">
        <v>0</v>
      </c>
      <c r="F875" s="74">
        <f ca="1">SUMIF(I$3:$BB874,"入库",I875:$BB875)</f>
        <v>0</v>
      </c>
      <c r="G875" s="24">
        <f ca="1">SUMIF(J$3:$BB874,"出库",J875:$BB875)</f>
        <v>0</v>
      </c>
      <c r="H875" s="27">
        <f ca="1" t="shared" si="17"/>
        <v>0</v>
      </c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</row>
    <row r="876" s="58" customFormat="1" hidden="1" customHeight="1" spans="1:54">
      <c r="A876" s="18"/>
      <c r="B876" s="18"/>
      <c r="C876" s="24" t="s">
        <v>14</v>
      </c>
      <c r="D876" s="24"/>
      <c r="E876" s="24">
        <v>0</v>
      </c>
      <c r="F876" s="74">
        <f ca="1">SUMIF(I$3:$BB875,"入库",I876:$BB876)</f>
        <v>70</v>
      </c>
      <c r="G876" s="24">
        <f ca="1">SUMIF(J$3:$BB875,"出库",J876:$BB876)</f>
        <v>0</v>
      </c>
      <c r="H876" s="27">
        <f ca="1" t="shared" si="17"/>
        <v>70</v>
      </c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>
        <v>70</v>
      </c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</row>
    <row r="877" s="58" customFormat="1" hidden="1" customHeight="1" spans="1:54">
      <c r="A877" s="19"/>
      <c r="B877" s="19"/>
      <c r="C877" s="73" t="s">
        <v>12</v>
      </c>
      <c r="D877" s="24"/>
      <c r="E877" s="24">
        <v>0</v>
      </c>
      <c r="F877" s="74">
        <f ca="1">SUMIF(I$3:$BB876,"入库",I877:$BB877)</f>
        <v>0</v>
      </c>
      <c r="G877" s="24">
        <f ca="1">SUMIF(J$3:$BB876,"出库",J877:$BB877)</f>
        <v>0</v>
      </c>
      <c r="H877" s="27">
        <f ca="1" t="shared" si="17"/>
        <v>0</v>
      </c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</row>
    <row r="878" s="58" customFormat="1" hidden="1" customHeight="1" spans="1:54">
      <c r="A878" s="72">
        <v>291</v>
      </c>
      <c r="B878" s="18" t="s">
        <v>307</v>
      </c>
      <c r="C878" s="25" t="s">
        <v>13</v>
      </c>
      <c r="D878" s="24"/>
      <c r="E878" s="24">
        <v>0</v>
      </c>
      <c r="F878" s="74">
        <f ca="1">SUMIF(I$3:$BB877,"入库",I878:$BB878)</f>
        <v>0</v>
      </c>
      <c r="G878" s="24">
        <f ca="1">SUMIF(J$3:$BB877,"出库",J878:$BB878)</f>
        <v>0</v>
      </c>
      <c r="H878" s="27">
        <f ca="1" t="shared" si="17"/>
        <v>0</v>
      </c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</row>
    <row r="879" s="58" customFormat="1" hidden="1" customHeight="1" spans="1:54">
      <c r="A879" s="18"/>
      <c r="B879" s="18"/>
      <c r="C879" s="24" t="s">
        <v>14</v>
      </c>
      <c r="D879" s="24"/>
      <c r="E879" s="24">
        <v>0</v>
      </c>
      <c r="F879" s="74">
        <f ca="1">SUMIF(I$3:$BB878,"入库",I879:$BB879)</f>
        <v>150</v>
      </c>
      <c r="G879" s="24">
        <f ca="1">SUMIF(J$3:$BB878,"出库",J879:$BB879)</f>
        <v>0</v>
      </c>
      <c r="H879" s="27">
        <f ca="1" t="shared" si="17"/>
        <v>150</v>
      </c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>
        <v>150</v>
      </c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</row>
    <row r="880" s="58" customFormat="1" hidden="1" customHeight="1" spans="1:54">
      <c r="A880" s="19"/>
      <c r="B880" s="19"/>
      <c r="C880" s="73" t="s">
        <v>12</v>
      </c>
      <c r="D880" s="24"/>
      <c r="E880" s="24">
        <v>0</v>
      </c>
      <c r="F880" s="74">
        <f ca="1">SUMIF(I$3:$BB879,"入库",I880:$BB880)</f>
        <v>40</v>
      </c>
      <c r="G880" s="24">
        <f ca="1">SUMIF(J$3:$BB879,"出库",J880:$BB880)</f>
        <v>0</v>
      </c>
      <c r="H880" s="27">
        <f ca="1" t="shared" si="17"/>
        <v>40</v>
      </c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>
        <v>40</v>
      </c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</row>
    <row r="881" s="58" customFormat="1" hidden="1" customHeight="1" spans="1:54">
      <c r="A881" s="72">
        <v>292</v>
      </c>
      <c r="B881" s="18" t="s">
        <v>308</v>
      </c>
      <c r="C881" s="25" t="s">
        <v>13</v>
      </c>
      <c r="D881" s="24"/>
      <c r="E881" s="24">
        <v>0</v>
      </c>
      <c r="F881" s="74">
        <f ca="1">SUMIF(I$3:$BB880,"入库",I881:$BB881)</f>
        <v>0</v>
      </c>
      <c r="G881" s="24">
        <f ca="1">SUMIF(J$3:$BB880,"出库",J881:$BB881)</f>
        <v>0</v>
      </c>
      <c r="H881" s="27">
        <f ca="1" t="shared" si="17"/>
        <v>0</v>
      </c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</row>
    <row r="882" s="58" customFormat="1" hidden="1" customHeight="1" spans="1:54">
      <c r="A882" s="18"/>
      <c r="B882" s="18"/>
      <c r="C882" s="24" t="s">
        <v>14</v>
      </c>
      <c r="D882" s="24"/>
      <c r="E882" s="24">
        <v>0</v>
      </c>
      <c r="F882" s="74">
        <f ca="1">SUMIF(I$3:$BB881,"入库",I882:$BB882)</f>
        <v>0</v>
      </c>
      <c r="G882" s="24">
        <f ca="1">SUMIF(J$3:$BB881,"出库",J882:$BB882)</f>
        <v>0</v>
      </c>
      <c r="H882" s="27">
        <f ca="1" t="shared" si="17"/>
        <v>0</v>
      </c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</row>
    <row r="883" s="58" customFormat="1" hidden="1" customHeight="1" spans="1:54">
      <c r="A883" s="19"/>
      <c r="B883" s="19"/>
      <c r="C883" s="73" t="s">
        <v>12</v>
      </c>
      <c r="D883" s="24"/>
      <c r="E883" s="24">
        <v>0</v>
      </c>
      <c r="F883" s="74">
        <f ca="1">SUMIF(I$3:$BB882,"入库",I883:$BB883)</f>
        <v>0</v>
      </c>
      <c r="G883" s="24">
        <f ca="1">SUMIF(J$3:$BB882,"出库",J883:$BB883)</f>
        <v>0</v>
      </c>
      <c r="H883" s="27">
        <f ca="1" t="shared" si="17"/>
        <v>0</v>
      </c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</row>
    <row r="884" s="58" customFormat="1" hidden="1" customHeight="1" spans="1:54">
      <c r="A884" s="72">
        <v>293</v>
      </c>
      <c r="B884" s="18" t="s">
        <v>309</v>
      </c>
      <c r="C884" s="25" t="s">
        <v>13</v>
      </c>
      <c r="D884" s="24"/>
      <c r="E884" s="24">
        <v>0</v>
      </c>
      <c r="F884" s="74">
        <f ca="1">SUMIF(I$3:$BB883,"入库",I884:$BB884)</f>
        <v>0</v>
      </c>
      <c r="G884" s="24">
        <f ca="1">SUMIF(J$3:$BB883,"出库",J884:$BB884)</f>
        <v>0</v>
      </c>
      <c r="H884" s="27">
        <f ca="1" t="shared" si="17"/>
        <v>0</v>
      </c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</row>
    <row r="885" s="58" customFormat="1" hidden="1" customHeight="1" spans="1:54">
      <c r="A885" s="18"/>
      <c r="B885" s="18"/>
      <c r="C885" s="24" t="s">
        <v>14</v>
      </c>
      <c r="D885" s="24"/>
      <c r="E885" s="24">
        <v>0</v>
      </c>
      <c r="F885" s="74">
        <f ca="1">SUMIF(I$3:$BB884,"入库",I885:$BB885)</f>
        <v>0</v>
      </c>
      <c r="G885" s="24">
        <f ca="1">SUMIF(J$3:$BB884,"出库",J885:$BB885)</f>
        <v>0</v>
      </c>
      <c r="H885" s="27">
        <f ca="1" t="shared" si="17"/>
        <v>0</v>
      </c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</row>
    <row r="886" s="58" customFormat="1" hidden="1" customHeight="1" spans="1:54">
      <c r="A886" s="19"/>
      <c r="B886" s="19"/>
      <c r="C886" s="73" t="s">
        <v>12</v>
      </c>
      <c r="D886" s="24"/>
      <c r="E886" s="24">
        <v>0</v>
      </c>
      <c r="F886" s="74">
        <f ca="1">SUMIF(I$3:$BB885,"入库",I886:$BB886)</f>
        <v>0</v>
      </c>
      <c r="G886" s="24">
        <f ca="1">SUMIF(J$3:$BB885,"出库",J886:$BB886)</f>
        <v>0</v>
      </c>
      <c r="H886" s="27">
        <f ca="1" t="shared" si="17"/>
        <v>0</v>
      </c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</row>
    <row r="887" s="58" customFormat="1" hidden="1" customHeight="1" spans="1:54">
      <c r="A887" s="72">
        <v>294</v>
      </c>
      <c r="B887" s="18" t="s">
        <v>310</v>
      </c>
      <c r="C887" s="25" t="s">
        <v>13</v>
      </c>
      <c r="D887" s="24"/>
      <c r="E887" s="24">
        <v>0</v>
      </c>
      <c r="F887" s="74">
        <f ca="1">SUMIF(I$3:$BB886,"入库",I887:$BB887)</f>
        <v>0</v>
      </c>
      <c r="G887" s="24">
        <f ca="1">SUMIF(J$3:$BB886,"出库",J887:$BB887)</f>
        <v>0</v>
      </c>
      <c r="H887" s="27">
        <f ca="1" t="shared" si="17"/>
        <v>0</v>
      </c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</row>
    <row r="888" s="58" customFormat="1" hidden="1" customHeight="1" spans="1:54">
      <c r="A888" s="18"/>
      <c r="B888" s="18"/>
      <c r="C888" s="24" t="s">
        <v>14</v>
      </c>
      <c r="D888" s="24"/>
      <c r="E888" s="24">
        <v>0</v>
      </c>
      <c r="F888" s="74">
        <f ca="1">SUMIF(I$3:$BB887,"入库",I888:$BB888)</f>
        <v>0</v>
      </c>
      <c r="G888" s="24">
        <f ca="1">SUMIF(J$3:$BB887,"出库",J888:$BB888)</f>
        <v>0</v>
      </c>
      <c r="H888" s="27">
        <f ca="1" t="shared" si="17"/>
        <v>0</v>
      </c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</row>
    <row r="889" s="58" customFormat="1" hidden="1" customHeight="1" spans="1:54">
      <c r="A889" s="19"/>
      <c r="B889" s="19"/>
      <c r="C889" s="73" t="s">
        <v>12</v>
      </c>
      <c r="D889" s="24"/>
      <c r="E889" s="24">
        <v>0</v>
      </c>
      <c r="F889" s="74">
        <f ca="1">SUMIF(I$3:$BB888,"入库",I889:$BB889)</f>
        <v>0</v>
      </c>
      <c r="G889" s="24">
        <f ca="1">SUMIF(J$3:$BB888,"出库",J889:$BB889)</f>
        <v>0</v>
      </c>
      <c r="H889" s="27">
        <f ca="1" t="shared" si="17"/>
        <v>0</v>
      </c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</row>
    <row r="890" s="58" customFormat="1" hidden="1" customHeight="1" spans="1:54">
      <c r="A890" s="72">
        <v>295</v>
      </c>
      <c r="B890" s="18" t="s">
        <v>311</v>
      </c>
      <c r="C890" s="25" t="s">
        <v>13</v>
      </c>
      <c r="D890" s="24"/>
      <c r="E890" s="24">
        <v>0</v>
      </c>
      <c r="F890" s="74">
        <f ca="1">SUMIF(I$3:$BB889,"入库",I890:$BB890)</f>
        <v>10</v>
      </c>
      <c r="G890" s="24">
        <f ca="1">SUMIF(J$3:$BB889,"出库",J890:$BB890)</f>
        <v>0</v>
      </c>
      <c r="H890" s="27">
        <f ca="1" t="shared" si="17"/>
        <v>10</v>
      </c>
      <c r="I890" s="24"/>
      <c r="J890" s="24"/>
      <c r="K890" s="24">
        <v>10</v>
      </c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</row>
    <row r="891" s="58" customFormat="1" hidden="1" customHeight="1" spans="1:54">
      <c r="A891" s="18"/>
      <c r="B891" s="18"/>
      <c r="C891" s="24" t="s">
        <v>14</v>
      </c>
      <c r="D891" s="24"/>
      <c r="E891" s="24">
        <v>0</v>
      </c>
      <c r="F891" s="74">
        <f ca="1">SUMIF(I$3:$BB890,"入库",I891:$BB891)</f>
        <v>0</v>
      </c>
      <c r="G891" s="24">
        <f ca="1">SUMIF(J$3:$BB890,"出库",J891:$BB891)</f>
        <v>0</v>
      </c>
      <c r="H891" s="27">
        <f ca="1" t="shared" si="17"/>
        <v>0</v>
      </c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</row>
    <row r="892" s="58" customFormat="1" hidden="1" customHeight="1" spans="1:54">
      <c r="A892" s="19"/>
      <c r="B892" s="19"/>
      <c r="C892" s="73" t="s">
        <v>12</v>
      </c>
      <c r="D892" s="24"/>
      <c r="E892" s="24">
        <v>0</v>
      </c>
      <c r="F892" s="74">
        <f ca="1">SUMIF(I$3:$BB891,"入库",I892:$BB892)</f>
        <v>0</v>
      </c>
      <c r="G892" s="24">
        <f ca="1">SUMIF(J$3:$BB891,"出库",J892:$BB892)</f>
        <v>0</v>
      </c>
      <c r="H892" s="27">
        <f ca="1" t="shared" si="17"/>
        <v>0</v>
      </c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</row>
    <row r="893" s="58" customFormat="1" hidden="1" customHeight="1" spans="1:54">
      <c r="A893" s="72">
        <v>296</v>
      </c>
      <c r="B893" s="18" t="s">
        <v>312</v>
      </c>
      <c r="C893" s="25" t="s">
        <v>13</v>
      </c>
      <c r="D893" s="24"/>
      <c r="E893" s="24">
        <v>0</v>
      </c>
      <c r="F893" s="74">
        <f ca="1">SUMIF(I$3:$BB892,"入库",I893:$BB893)</f>
        <v>0</v>
      </c>
      <c r="G893" s="24">
        <f ca="1">SUMIF(J$3:$BB892,"出库",J893:$BB893)</f>
        <v>0</v>
      </c>
      <c r="H893" s="27">
        <f ca="1" t="shared" si="17"/>
        <v>0</v>
      </c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</row>
    <row r="894" s="58" customFormat="1" hidden="1" customHeight="1" spans="1:54">
      <c r="A894" s="18"/>
      <c r="B894" s="18"/>
      <c r="C894" s="24" t="s">
        <v>14</v>
      </c>
      <c r="D894" s="24"/>
      <c r="E894" s="24">
        <v>0</v>
      </c>
      <c r="F894" s="74">
        <f ca="1">SUMIF(I$3:$BB893,"入库",I894:$BB894)</f>
        <v>0</v>
      </c>
      <c r="G894" s="24">
        <f ca="1">SUMIF(J$3:$BB893,"出库",J894:$BB894)</f>
        <v>0</v>
      </c>
      <c r="H894" s="27">
        <f ca="1" t="shared" si="17"/>
        <v>0</v>
      </c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</row>
    <row r="895" s="58" customFormat="1" hidden="1" customHeight="1" spans="1:54">
      <c r="A895" s="19"/>
      <c r="B895" s="19"/>
      <c r="C895" s="73" t="s">
        <v>12</v>
      </c>
      <c r="D895" s="24"/>
      <c r="E895" s="24">
        <v>0</v>
      </c>
      <c r="F895" s="74">
        <f ca="1">SUMIF(I$3:$BB894,"入库",I895:$BB895)</f>
        <v>100</v>
      </c>
      <c r="G895" s="24">
        <f ca="1">SUMIF(J$3:$BB894,"出库",J895:$BB895)</f>
        <v>0</v>
      </c>
      <c r="H895" s="27">
        <f ca="1" t="shared" si="17"/>
        <v>100</v>
      </c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>
        <v>100</v>
      </c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</row>
    <row r="896" s="58" customFormat="1" hidden="1" customHeight="1" spans="1:54">
      <c r="A896" s="72">
        <v>297</v>
      </c>
      <c r="B896" s="18" t="s">
        <v>313</v>
      </c>
      <c r="C896" s="25" t="s">
        <v>13</v>
      </c>
      <c r="D896" s="24"/>
      <c r="E896" s="24">
        <v>0</v>
      </c>
      <c r="F896" s="74">
        <f ca="1">SUMIF(I$3:$BB895,"入库",I896:$BB896)</f>
        <v>0</v>
      </c>
      <c r="G896" s="24">
        <f ca="1">SUMIF(J$3:$BB895,"出库",J896:$BB896)</f>
        <v>0</v>
      </c>
      <c r="H896" s="27">
        <f ca="1" t="shared" si="17"/>
        <v>0</v>
      </c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</row>
    <row r="897" s="58" customFormat="1" hidden="1" customHeight="1" spans="1:54">
      <c r="A897" s="18"/>
      <c r="B897" s="18"/>
      <c r="C897" s="24" t="s">
        <v>14</v>
      </c>
      <c r="D897" s="24"/>
      <c r="E897" s="24">
        <v>0</v>
      </c>
      <c r="F897" s="74">
        <f ca="1">SUMIF(I$3:$BB896,"入库",I897:$BB897)</f>
        <v>0</v>
      </c>
      <c r="G897" s="24">
        <f ca="1">SUMIF(J$3:$BB896,"出库",J897:$BB897)</f>
        <v>0</v>
      </c>
      <c r="H897" s="27">
        <f ca="1" t="shared" si="17"/>
        <v>0</v>
      </c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</row>
    <row r="898" s="58" customFormat="1" hidden="1" customHeight="1" spans="1:54">
      <c r="A898" s="19"/>
      <c r="B898" s="19"/>
      <c r="C898" s="73" t="s">
        <v>12</v>
      </c>
      <c r="D898" s="24"/>
      <c r="E898" s="24">
        <v>0</v>
      </c>
      <c r="F898" s="74">
        <f ca="1">SUMIF(I$3:$BB897,"入库",I898:$BB898)</f>
        <v>400</v>
      </c>
      <c r="G898" s="24">
        <f ca="1">SUMIF(J$3:$BB897,"出库",J898:$BB898)</f>
        <v>0</v>
      </c>
      <c r="H898" s="27">
        <f ca="1" t="shared" si="17"/>
        <v>400</v>
      </c>
      <c r="I898" s="24">
        <v>400</v>
      </c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</row>
    <row r="899" s="58" customFormat="1" hidden="1" customHeight="1" spans="1:54">
      <c r="A899" s="60">
        <v>298</v>
      </c>
      <c r="B899" s="18" t="s">
        <v>314</v>
      </c>
      <c r="C899" s="25" t="s">
        <v>13</v>
      </c>
      <c r="D899" s="24"/>
      <c r="E899" s="24">
        <v>0</v>
      </c>
      <c r="F899" s="74">
        <f ca="1">SUMIF(I$3:$BB898,"入库",I899:$BB899)</f>
        <v>0</v>
      </c>
      <c r="G899" s="24">
        <f ca="1">SUMIF(J$3:$BB898,"出库",J899:$BB899)</f>
        <v>0</v>
      </c>
      <c r="H899" s="27">
        <f ca="1" t="shared" si="17"/>
        <v>0</v>
      </c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</row>
    <row r="900" s="58" customFormat="1" hidden="1" customHeight="1" spans="1:54">
      <c r="A900" s="78"/>
      <c r="B900" s="18"/>
      <c r="C900" s="76" t="s">
        <v>14</v>
      </c>
      <c r="D900" s="24"/>
      <c r="E900" s="24">
        <v>0</v>
      </c>
      <c r="F900" s="74">
        <f ca="1">SUMIF(I$3:$BB899,"入库",I900:$BB900)</f>
        <v>100</v>
      </c>
      <c r="G900" s="24">
        <f ca="1">SUMIF(J$3:$BB899,"出库",J900:$BB900)</f>
        <v>0</v>
      </c>
      <c r="H900" s="27">
        <f ca="1" t="shared" si="17"/>
        <v>100</v>
      </c>
      <c r="I900" s="24">
        <v>100</v>
      </c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</row>
    <row r="901" s="58" customFormat="1" hidden="1" customHeight="1" spans="1:54">
      <c r="A901" s="63"/>
      <c r="B901" s="19"/>
      <c r="C901" s="73" t="s">
        <v>315</v>
      </c>
      <c r="D901" s="79"/>
      <c r="E901" s="24">
        <v>0</v>
      </c>
      <c r="F901" s="74">
        <f ca="1">SUMIF(I$3:$BB900,"入库",I901:$BB901)</f>
        <v>0</v>
      </c>
      <c r="G901" s="24">
        <f ca="1">SUMIF(J$3:$BB900,"出库",J901:$BB901)</f>
        <v>0</v>
      </c>
      <c r="H901" s="27">
        <f ca="1" t="shared" si="17"/>
        <v>0</v>
      </c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</row>
    <row r="902" s="60" customFormat="1" hidden="1" customHeight="1" spans="1:54">
      <c r="A902" s="60">
        <v>299</v>
      </c>
      <c r="B902" s="24" t="s">
        <v>316</v>
      </c>
      <c r="C902" s="25" t="s">
        <v>13</v>
      </c>
      <c r="D902" s="58"/>
      <c r="E902" s="24">
        <v>0</v>
      </c>
      <c r="F902" s="74">
        <f ca="1">SUMIF(I$3:$BB901,"入库",I902:$BB902)</f>
        <v>0</v>
      </c>
      <c r="G902" s="24">
        <f ca="1">SUMIF(J$3:$BB901,"出库",J902:$BB902)</f>
        <v>0</v>
      </c>
      <c r="H902" s="27">
        <f ca="1" t="shared" si="17"/>
        <v>0</v>
      </c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</row>
    <row r="903" s="61" customFormat="1" hidden="1" customHeight="1" spans="1:54">
      <c r="A903" s="78"/>
      <c r="B903" s="24"/>
      <c r="C903" s="76" t="s">
        <v>14</v>
      </c>
      <c r="D903" s="24"/>
      <c r="E903" s="24">
        <v>0</v>
      </c>
      <c r="F903" s="74">
        <f ca="1">SUMIF(I$3:$BB902,"入库",I903:$BB903)</f>
        <v>50</v>
      </c>
      <c r="G903" s="24">
        <f ca="1">SUMIF(J$3:$BB902,"出库",J903:$BB903)</f>
        <v>0</v>
      </c>
      <c r="H903" s="27">
        <f ca="1" t="shared" ref="H903:H953" si="18">E903+F903-G903</f>
        <v>50</v>
      </c>
      <c r="I903" s="24">
        <v>50</v>
      </c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80"/>
      <c r="AU903" s="80"/>
      <c r="AV903" s="80"/>
      <c r="AW903" s="80"/>
      <c r="AX903" s="80"/>
      <c r="AY903" s="80"/>
      <c r="AZ903" s="80"/>
      <c r="BA903" s="80"/>
      <c r="BB903" s="80"/>
    </row>
    <row r="904" s="61" customFormat="1" hidden="1" customHeight="1" spans="1:54">
      <c r="A904" s="63"/>
      <c r="B904" s="24"/>
      <c r="C904" s="73" t="s">
        <v>12</v>
      </c>
      <c r="D904" s="24"/>
      <c r="E904" s="24">
        <v>0</v>
      </c>
      <c r="F904" s="74">
        <f ca="1">SUMIF(I$3:$BB903,"入库",I904:$BB904)</f>
        <v>0</v>
      </c>
      <c r="G904" s="24">
        <f ca="1">SUMIF(J$3:$BB903,"出库",J904:$BB904)</f>
        <v>0</v>
      </c>
      <c r="H904" s="27">
        <f ca="1" t="shared" si="18"/>
        <v>0</v>
      </c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80"/>
      <c r="AU904" s="80"/>
      <c r="AV904" s="80"/>
      <c r="AW904" s="80"/>
      <c r="AX904" s="80"/>
      <c r="AY904" s="80"/>
      <c r="AZ904" s="80"/>
      <c r="BA904" s="80"/>
      <c r="BB904" s="80"/>
    </row>
    <row r="905" s="61" customFormat="1" hidden="1" customHeight="1" spans="1:54">
      <c r="A905" s="72">
        <v>300</v>
      </c>
      <c r="B905" s="24" t="s">
        <v>317</v>
      </c>
      <c r="C905" s="25" t="s">
        <v>13</v>
      </c>
      <c r="D905" s="24"/>
      <c r="E905" s="24">
        <v>0</v>
      </c>
      <c r="F905" s="74">
        <f ca="1">SUMIF(I$3:$BB904,"入库",I905:$BB905)</f>
        <v>0</v>
      </c>
      <c r="G905" s="24">
        <f ca="1">SUMIF(J$3:$BB904,"出库",J905:$BB905)</f>
        <v>0</v>
      </c>
      <c r="H905" s="27">
        <f ca="1" t="shared" si="18"/>
        <v>0</v>
      </c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80"/>
      <c r="AU905" s="80"/>
      <c r="AV905" s="80"/>
      <c r="AW905" s="80"/>
      <c r="AX905" s="80"/>
      <c r="AY905" s="80"/>
      <c r="AZ905" s="80"/>
      <c r="BA905" s="80"/>
      <c r="BB905" s="80"/>
    </row>
    <row r="906" s="61" customFormat="1" hidden="1" customHeight="1" spans="1:54">
      <c r="A906" s="18"/>
      <c r="B906" s="24"/>
      <c r="C906" s="76" t="s">
        <v>14</v>
      </c>
      <c r="D906" s="24">
        <v>1</v>
      </c>
      <c r="E906" s="24">
        <v>0</v>
      </c>
      <c r="F906" s="74">
        <f ca="1">SUMIF(I$3:$BB905,"入库",I906:$BB906)</f>
        <v>0</v>
      </c>
      <c r="G906" s="24">
        <f ca="1">SUMIF(J$3:$BB905,"出库",J906:$BB906)</f>
        <v>0</v>
      </c>
      <c r="H906" s="27">
        <f ca="1" t="shared" si="18"/>
        <v>0</v>
      </c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80"/>
      <c r="AU906" s="80"/>
      <c r="AV906" s="80"/>
      <c r="AW906" s="80"/>
      <c r="AX906" s="80"/>
      <c r="AY906" s="80"/>
      <c r="AZ906" s="80"/>
      <c r="BA906" s="80"/>
      <c r="BB906" s="80"/>
    </row>
    <row r="907" s="61" customFormat="1" hidden="1" customHeight="1" spans="1:54">
      <c r="A907" s="19"/>
      <c r="B907" s="24"/>
      <c r="C907" s="73" t="s">
        <v>12</v>
      </c>
      <c r="D907" s="24"/>
      <c r="E907" s="24">
        <v>0</v>
      </c>
      <c r="F907" s="74">
        <f ca="1">SUMIF(I$3:$BB906,"入库",I907:$BB907)</f>
        <v>30</v>
      </c>
      <c r="G907" s="24">
        <f ca="1">SUMIF(J$3:$BB906,"出库",J907:$BB907)</f>
        <v>0</v>
      </c>
      <c r="H907" s="27">
        <v>30</v>
      </c>
      <c r="I907" s="24"/>
      <c r="J907" s="24"/>
      <c r="K907" s="24">
        <v>30</v>
      </c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80"/>
      <c r="AU907" s="80"/>
      <c r="AV907" s="80"/>
      <c r="AW907" s="80"/>
      <c r="AX907" s="80"/>
      <c r="AY907" s="80"/>
      <c r="AZ907" s="80"/>
      <c r="BA907" s="80"/>
      <c r="BB907" s="80"/>
    </row>
    <row r="908" s="61" customFormat="1" hidden="1" customHeight="1" spans="1:54">
      <c r="A908" s="72">
        <v>301</v>
      </c>
      <c r="B908" s="24" t="s">
        <v>318</v>
      </c>
      <c r="C908" s="25" t="s">
        <v>13</v>
      </c>
      <c r="D908" s="24"/>
      <c r="E908" s="24">
        <v>0</v>
      </c>
      <c r="F908" s="74">
        <f ca="1">SUMIF(I$3:$BB907,"入库",I908:$BB908)</f>
        <v>120</v>
      </c>
      <c r="G908" s="24">
        <f ca="1">SUMIF(J$3:$BB907,"出库",J908:$BB908)</f>
        <v>0</v>
      </c>
      <c r="H908" s="27">
        <f ca="1" t="shared" si="18"/>
        <v>120</v>
      </c>
      <c r="I908" s="24"/>
      <c r="J908" s="24"/>
      <c r="K908" s="24">
        <v>120</v>
      </c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80"/>
      <c r="AU908" s="80"/>
      <c r="AV908" s="80"/>
      <c r="AW908" s="80"/>
      <c r="AX908" s="80"/>
      <c r="AY908" s="80"/>
      <c r="AZ908" s="80"/>
      <c r="BA908" s="80"/>
      <c r="BB908" s="80"/>
    </row>
    <row r="909" s="61" customFormat="1" hidden="1" customHeight="1" spans="1:54">
      <c r="A909" s="18"/>
      <c r="B909" s="24"/>
      <c r="C909" s="76" t="s">
        <v>14</v>
      </c>
      <c r="D909" s="24"/>
      <c r="E909" s="24">
        <v>0</v>
      </c>
      <c r="F909" s="74">
        <f ca="1">SUMIF(I$3:$BB908,"入库",I909:$BB909)</f>
        <v>30</v>
      </c>
      <c r="G909" s="24">
        <f ca="1">SUMIF(J$3:$BB902,"出库",J909:$BB909)</f>
        <v>3</v>
      </c>
      <c r="H909" s="27">
        <f ca="1" t="shared" si="18"/>
        <v>27</v>
      </c>
      <c r="I909" s="24"/>
      <c r="J909" s="24"/>
      <c r="K909" s="24">
        <v>30</v>
      </c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>
        <v>2</v>
      </c>
      <c r="AE909" s="24"/>
      <c r="AF909" s="24"/>
      <c r="AG909" s="24"/>
      <c r="AH909" s="24">
        <v>1</v>
      </c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80"/>
      <c r="AU909" s="80"/>
      <c r="AV909" s="80"/>
      <c r="AW909" s="80"/>
      <c r="AX909" s="80"/>
      <c r="AY909" s="80"/>
      <c r="AZ909" s="80"/>
      <c r="BA909" s="80"/>
      <c r="BB909" s="80"/>
    </row>
    <row r="910" s="61" customFormat="1" hidden="1" customHeight="1" spans="1:54">
      <c r="A910" s="19"/>
      <c r="B910" s="24"/>
      <c r="C910" s="73" t="s">
        <v>12</v>
      </c>
      <c r="D910" s="24"/>
      <c r="E910" s="24">
        <v>0</v>
      </c>
      <c r="F910" s="74">
        <f ca="1">SUMIF(I$3:$BB909,"入库",I910:$BB910)</f>
        <v>120</v>
      </c>
      <c r="G910" s="24">
        <f ca="1">SUMIF(J$3:$BB909,"出库",J910:$BB910)</f>
        <v>0</v>
      </c>
      <c r="H910" s="27">
        <f ca="1" t="shared" si="18"/>
        <v>120</v>
      </c>
      <c r="I910" s="24"/>
      <c r="J910" s="24"/>
      <c r="K910" s="24">
        <v>120</v>
      </c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80"/>
      <c r="AU910" s="80"/>
      <c r="AV910" s="80"/>
      <c r="AW910" s="80"/>
      <c r="AX910" s="80"/>
      <c r="AY910" s="80"/>
      <c r="AZ910" s="80"/>
      <c r="BA910" s="80"/>
      <c r="BB910" s="80"/>
    </row>
    <row r="911" s="61" customFormat="1" hidden="1" customHeight="1" spans="1:54">
      <c r="A911" s="24">
        <v>302</v>
      </c>
      <c r="B911" s="24" t="s">
        <v>319</v>
      </c>
      <c r="C911" s="25" t="s">
        <v>13</v>
      </c>
      <c r="D911" s="24"/>
      <c r="E911" s="24">
        <v>0</v>
      </c>
      <c r="F911" s="74">
        <f ca="1">SUMIF(I$3:$BB910,"入库",I911:$BB911)</f>
        <v>50</v>
      </c>
      <c r="G911" s="24">
        <f ca="1">SUMIF(J$3:$BB910,"出库",J911:$BB911)</f>
        <v>0</v>
      </c>
      <c r="H911" s="27">
        <f ca="1" t="shared" si="18"/>
        <v>50</v>
      </c>
      <c r="I911" s="24"/>
      <c r="J911" s="24"/>
      <c r="K911" s="24">
        <v>50</v>
      </c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80"/>
      <c r="AU911" s="80"/>
      <c r="AV911" s="80"/>
      <c r="AW911" s="80"/>
      <c r="AX911" s="80"/>
      <c r="AY911" s="80"/>
      <c r="AZ911" s="80"/>
      <c r="BA911" s="80"/>
      <c r="BB911" s="80"/>
    </row>
    <row r="912" s="61" customFormat="1" hidden="1" customHeight="1" spans="1:54">
      <c r="A912" s="24"/>
      <c r="B912" s="24"/>
      <c r="C912" s="76" t="s">
        <v>14</v>
      </c>
      <c r="D912" s="24"/>
      <c r="E912" s="24">
        <v>0</v>
      </c>
      <c r="F912" s="74">
        <f ca="1">SUMIF(I$3:$BB911,"入库",I912:$BB912)</f>
        <v>0</v>
      </c>
      <c r="G912" s="24">
        <f ca="1">SUMIF(J$3:$BB911,"出库",J912:$BB912)</f>
        <v>0</v>
      </c>
      <c r="H912" s="27">
        <f ca="1" t="shared" si="18"/>
        <v>0</v>
      </c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80"/>
      <c r="AU912" s="80"/>
      <c r="AV912" s="80"/>
      <c r="AW912" s="80"/>
      <c r="AX912" s="80"/>
      <c r="AY912" s="80"/>
      <c r="AZ912" s="80"/>
      <c r="BA912" s="80"/>
      <c r="BB912" s="80"/>
    </row>
    <row r="913" s="61" customFormat="1" hidden="1" customHeight="1" spans="1:54">
      <c r="A913" s="24"/>
      <c r="B913" s="24"/>
      <c r="C913" s="73" t="s">
        <v>12</v>
      </c>
      <c r="D913" s="24"/>
      <c r="E913" s="24">
        <v>0</v>
      </c>
      <c r="F913" s="74">
        <f ca="1">SUMIF(I$3:$BB912,"入库",I913:$BB913)</f>
        <v>50</v>
      </c>
      <c r="G913" s="24">
        <f ca="1">SUMIF(J$3:$BB912,"出库",J913:$BB913)</f>
        <v>0</v>
      </c>
      <c r="H913" s="27">
        <f ca="1" t="shared" si="18"/>
        <v>50</v>
      </c>
      <c r="I913" s="24"/>
      <c r="J913" s="24"/>
      <c r="K913" s="24">
        <v>50</v>
      </c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80"/>
      <c r="AU913" s="80"/>
      <c r="AV913" s="80"/>
      <c r="AW913" s="80"/>
      <c r="AX913" s="80"/>
      <c r="AY913" s="80"/>
      <c r="AZ913" s="80"/>
      <c r="BA913" s="80"/>
      <c r="BB913" s="80"/>
    </row>
    <row r="914" s="61" customFormat="1" hidden="1" customHeight="1" spans="1:54">
      <c r="A914" s="72">
        <v>303</v>
      </c>
      <c r="B914" s="24" t="s">
        <v>320</v>
      </c>
      <c r="C914" s="25" t="s">
        <v>13</v>
      </c>
      <c r="D914" s="24"/>
      <c r="E914" s="24">
        <v>0</v>
      </c>
      <c r="F914" s="74">
        <f ca="1">SUMIF(I$3:$BB913,"入库",I914:$BB914)</f>
        <v>50</v>
      </c>
      <c r="G914" s="24">
        <f ca="1">SUMIF(J$3:$BB913,"出库",J914:$BB914)</f>
        <v>0</v>
      </c>
      <c r="H914" s="27">
        <f ca="1" t="shared" si="18"/>
        <v>50</v>
      </c>
      <c r="I914" s="24"/>
      <c r="J914" s="24"/>
      <c r="K914" s="24">
        <v>50</v>
      </c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80"/>
      <c r="AU914" s="80"/>
      <c r="AV914" s="80"/>
      <c r="AW914" s="80"/>
      <c r="AX914" s="80"/>
      <c r="AY914" s="80"/>
      <c r="AZ914" s="80"/>
      <c r="BA914" s="80"/>
      <c r="BB914" s="80"/>
    </row>
    <row r="915" s="61" customFormat="1" hidden="1" customHeight="1" spans="1:54">
      <c r="A915" s="18"/>
      <c r="B915" s="24"/>
      <c r="C915" s="76" t="s">
        <v>14</v>
      </c>
      <c r="D915" s="24"/>
      <c r="E915" s="24">
        <v>0</v>
      </c>
      <c r="F915" s="74">
        <f ca="1">SUMIF(I$3:$BB914,"入库",I915:$BB915)</f>
        <v>0</v>
      </c>
      <c r="G915" s="24">
        <f ca="1">SUMIF(J$3:$BB914,"出库",J915:$BB915)</f>
        <v>0</v>
      </c>
      <c r="H915" s="27">
        <f ca="1" t="shared" si="18"/>
        <v>0</v>
      </c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80"/>
      <c r="AU915" s="80"/>
      <c r="AV915" s="80"/>
      <c r="AW915" s="80"/>
      <c r="AX915" s="80"/>
      <c r="AY915" s="80"/>
      <c r="AZ915" s="80"/>
      <c r="BA915" s="80"/>
      <c r="BB915" s="80"/>
    </row>
    <row r="916" s="61" customFormat="1" hidden="1" customHeight="1" spans="1:54">
      <c r="A916" s="19"/>
      <c r="B916" s="24"/>
      <c r="C916" s="73" t="s">
        <v>12</v>
      </c>
      <c r="D916" s="24"/>
      <c r="E916" s="24">
        <v>0</v>
      </c>
      <c r="F916" s="74">
        <f ca="1">SUMIF(I$3:$BB915,"入库",I916:$BB916)</f>
        <v>40</v>
      </c>
      <c r="G916" s="24">
        <f ca="1">SUMIF(J$3:$BB915,"出库",J916:$BB916)</f>
        <v>0</v>
      </c>
      <c r="H916" s="27">
        <f ca="1" t="shared" si="18"/>
        <v>40</v>
      </c>
      <c r="I916" s="24"/>
      <c r="J916" s="24"/>
      <c r="K916" s="24">
        <v>40</v>
      </c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80"/>
      <c r="AU916" s="80"/>
      <c r="AV916" s="80"/>
      <c r="AW916" s="80"/>
      <c r="AX916" s="80"/>
      <c r="AY916" s="80"/>
      <c r="AZ916" s="80"/>
      <c r="BA916" s="80"/>
      <c r="BB916" s="80"/>
    </row>
    <row r="917" s="61" customFormat="1" hidden="1" customHeight="1" spans="1:54">
      <c r="A917" s="72">
        <v>304</v>
      </c>
      <c r="B917" s="24" t="s">
        <v>321</v>
      </c>
      <c r="C917" s="25" t="s">
        <v>13</v>
      </c>
      <c r="D917" s="24"/>
      <c r="E917" s="24">
        <v>0</v>
      </c>
      <c r="F917" s="74">
        <f ca="1">SUMIF(I$3:$BB916,"入库",I917:$BB917)</f>
        <v>100</v>
      </c>
      <c r="G917" s="24">
        <f ca="1">SUMIF(J$3:$BB916,"出库",J917:$BB917)</f>
        <v>0</v>
      </c>
      <c r="H917" s="27">
        <f ca="1" t="shared" si="18"/>
        <v>100</v>
      </c>
      <c r="I917" s="24"/>
      <c r="J917" s="24"/>
      <c r="K917" s="24">
        <v>100</v>
      </c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80"/>
      <c r="AU917" s="80"/>
      <c r="AV917" s="80"/>
      <c r="AW917" s="80"/>
      <c r="AX917" s="80"/>
      <c r="AY917" s="80"/>
      <c r="AZ917" s="80"/>
      <c r="BA917" s="80"/>
      <c r="BB917" s="80"/>
    </row>
    <row r="918" s="61" customFormat="1" hidden="1" customHeight="1" spans="1:54">
      <c r="A918" s="18"/>
      <c r="B918" s="24"/>
      <c r="C918" s="76" t="s">
        <v>14</v>
      </c>
      <c r="D918" s="24"/>
      <c r="E918" s="24">
        <v>0</v>
      </c>
      <c r="F918" s="74">
        <f ca="1">SUMIF(I$3:$BB917,"入库",I918:$BB918)</f>
        <v>0</v>
      </c>
      <c r="G918" s="24">
        <f ca="1">SUMIF(J$3:$BB917,"出库",J918:$BB918)</f>
        <v>0</v>
      </c>
      <c r="H918" s="27">
        <f ca="1" t="shared" si="18"/>
        <v>0</v>
      </c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80"/>
      <c r="AU918" s="80"/>
      <c r="AV918" s="80"/>
      <c r="AW918" s="80"/>
      <c r="AX918" s="80"/>
      <c r="AY918" s="80"/>
      <c r="AZ918" s="80"/>
      <c r="BA918" s="80"/>
      <c r="BB918" s="80"/>
    </row>
    <row r="919" s="61" customFormat="1" hidden="1" customHeight="1" spans="1:54">
      <c r="A919" s="19"/>
      <c r="B919" s="24"/>
      <c r="C919" s="73" t="s">
        <v>12</v>
      </c>
      <c r="D919" s="24"/>
      <c r="E919" s="24">
        <v>0</v>
      </c>
      <c r="F919" s="74">
        <f ca="1">SUMIF(I$3:$BB918,"入库",I919:$BB919)</f>
        <v>150</v>
      </c>
      <c r="G919" s="24">
        <f ca="1">SUMIF(J$3:$BB918,"出库",J919:$BB919)</f>
        <v>0</v>
      </c>
      <c r="H919" s="27">
        <f ca="1" t="shared" si="18"/>
        <v>150</v>
      </c>
      <c r="I919" s="24"/>
      <c r="J919" s="24"/>
      <c r="K919" s="24">
        <v>150</v>
      </c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80"/>
      <c r="AU919" s="80"/>
      <c r="AV919" s="80"/>
      <c r="AW919" s="80"/>
      <c r="AX919" s="80"/>
      <c r="AY919" s="80"/>
      <c r="AZ919" s="80"/>
      <c r="BA919" s="80"/>
      <c r="BB919" s="80"/>
    </row>
    <row r="920" s="61" customFormat="1" hidden="1" customHeight="1" spans="1:54">
      <c r="A920" s="72">
        <v>305</v>
      </c>
      <c r="B920" s="24" t="s">
        <v>322</v>
      </c>
      <c r="C920" s="25" t="s">
        <v>13</v>
      </c>
      <c r="D920" s="24"/>
      <c r="E920" s="24">
        <v>0</v>
      </c>
      <c r="F920" s="74">
        <f ca="1">SUMIF(I$3:$BB919,"入库",I920:$BB920)</f>
        <v>0</v>
      </c>
      <c r="G920" s="24">
        <f ca="1">SUMIF(J$3:$BB919,"出库",J920:$BB920)</f>
        <v>0</v>
      </c>
      <c r="H920" s="27">
        <f ca="1" t="shared" si="18"/>
        <v>0</v>
      </c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80"/>
      <c r="AU920" s="80"/>
      <c r="AV920" s="80"/>
      <c r="AW920" s="80"/>
      <c r="AX920" s="80"/>
      <c r="AY920" s="80"/>
      <c r="AZ920" s="80"/>
      <c r="BA920" s="80"/>
      <c r="BB920" s="80"/>
    </row>
    <row r="921" s="61" customFormat="1" hidden="1" customHeight="1" spans="1:54">
      <c r="A921" s="18"/>
      <c r="B921" s="24"/>
      <c r="C921" s="76" t="s">
        <v>14</v>
      </c>
      <c r="D921" s="24"/>
      <c r="E921" s="24">
        <v>0</v>
      </c>
      <c r="F921" s="74">
        <f ca="1">SUMIF(I$3:$BB920,"入库",I921:$BB921)</f>
        <v>0</v>
      </c>
      <c r="G921" s="24">
        <f ca="1">SUMIF(J$3:$BB920,"出库",J921:$BB921)</f>
        <v>0</v>
      </c>
      <c r="H921" s="27">
        <f ca="1" t="shared" si="18"/>
        <v>0</v>
      </c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80"/>
      <c r="AU921" s="80"/>
      <c r="AV921" s="80"/>
      <c r="AW921" s="80"/>
      <c r="AX921" s="80"/>
      <c r="AY921" s="80"/>
      <c r="AZ921" s="80"/>
      <c r="BA921" s="80"/>
      <c r="BB921" s="80"/>
    </row>
    <row r="922" s="61" customFormat="1" hidden="1" customHeight="1" spans="1:54">
      <c r="A922" s="19"/>
      <c r="B922" s="24"/>
      <c r="C922" s="73" t="s">
        <v>12</v>
      </c>
      <c r="D922" s="24"/>
      <c r="E922" s="24">
        <v>0</v>
      </c>
      <c r="F922" s="74">
        <f ca="1">SUMIF(I$3:$BB921,"入库",I922:$BB922)</f>
        <v>50</v>
      </c>
      <c r="G922" s="24">
        <f ca="1">SUMIF(J$3:$BB921,"出库",J922:$BB922)</f>
        <v>0</v>
      </c>
      <c r="H922" s="27">
        <f ca="1" t="shared" si="18"/>
        <v>50</v>
      </c>
      <c r="I922" s="24"/>
      <c r="J922" s="24"/>
      <c r="K922" s="24">
        <v>50</v>
      </c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80"/>
      <c r="AU922" s="80"/>
      <c r="AV922" s="80"/>
      <c r="AW922" s="80"/>
      <c r="AX922" s="80"/>
      <c r="AY922" s="80"/>
      <c r="AZ922" s="80"/>
      <c r="BA922" s="80"/>
      <c r="BB922" s="80"/>
    </row>
    <row r="923" s="61" customFormat="1" hidden="1" customHeight="1" spans="1:54">
      <c r="A923" s="72">
        <v>306</v>
      </c>
      <c r="B923" s="24" t="s">
        <v>323</v>
      </c>
      <c r="C923" s="25" t="s">
        <v>13</v>
      </c>
      <c r="D923" s="24"/>
      <c r="E923" s="24">
        <v>0</v>
      </c>
      <c r="F923" s="74">
        <f ca="1">SUMIF(I$3:$BB922,"入库",I923:$BB923)</f>
        <v>100</v>
      </c>
      <c r="G923" s="24">
        <f ca="1">SUMIF(J$3:$BB922,"出库",J923:$BB923)</f>
        <v>0</v>
      </c>
      <c r="H923" s="27">
        <f ca="1" t="shared" si="18"/>
        <v>100</v>
      </c>
      <c r="I923" s="24"/>
      <c r="J923" s="24"/>
      <c r="K923" s="24">
        <v>100</v>
      </c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80"/>
      <c r="AU923" s="80"/>
      <c r="AV923" s="80"/>
      <c r="AW923" s="80"/>
      <c r="AX923" s="80"/>
      <c r="AY923" s="80"/>
      <c r="AZ923" s="80"/>
      <c r="BA923" s="80"/>
      <c r="BB923" s="80"/>
    </row>
    <row r="924" s="61" customFormat="1" hidden="1" customHeight="1" spans="1:54">
      <c r="A924" s="18"/>
      <c r="B924" s="24"/>
      <c r="C924" s="76" t="s">
        <v>14</v>
      </c>
      <c r="D924" s="24"/>
      <c r="E924" s="24">
        <v>0</v>
      </c>
      <c r="F924" s="74">
        <f ca="1">SUMIF(I$3:$BB923,"入库",I924:$BB924)</f>
        <v>0</v>
      </c>
      <c r="G924" s="24">
        <f ca="1">SUMIF(J$3:$BB923,"出库",J924:$BB924)</f>
        <v>0</v>
      </c>
      <c r="H924" s="27">
        <f ca="1" t="shared" si="18"/>
        <v>0</v>
      </c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80"/>
      <c r="AU924" s="80"/>
      <c r="AV924" s="80"/>
      <c r="AW924" s="80"/>
      <c r="AX924" s="80"/>
      <c r="AY924" s="80"/>
      <c r="AZ924" s="80"/>
      <c r="BA924" s="80"/>
      <c r="BB924" s="80"/>
    </row>
    <row r="925" s="61" customFormat="1" hidden="1" customHeight="1" spans="1:54">
      <c r="A925" s="19"/>
      <c r="B925" s="24"/>
      <c r="C925" s="73" t="s">
        <v>12</v>
      </c>
      <c r="D925" s="24"/>
      <c r="E925" s="24">
        <v>0</v>
      </c>
      <c r="F925" s="74">
        <f ca="1">SUMIF(I$3:$BB924,"入库",I925:$BB925)</f>
        <v>70</v>
      </c>
      <c r="G925" s="24">
        <f ca="1">SUMIF(J$3:$BB924,"出库",J925:$BB925)</f>
        <v>0</v>
      </c>
      <c r="H925" s="27">
        <f ca="1" t="shared" si="18"/>
        <v>70</v>
      </c>
      <c r="I925" s="24"/>
      <c r="J925" s="24"/>
      <c r="K925" s="24">
        <v>70</v>
      </c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80"/>
      <c r="AU925" s="80"/>
      <c r="AV925" s="80"/>
      <c r="AW925" s="80"/>
      <c r="AX925" s="80"/>
      <c r="AY925" s="80"/>
      <c r="AZ925" s="80"/>
      <c r="BA925" s="80"/>
      <c r="BB925" s="80"/>
    </row>
    <row r="926" s="61" customFormat="1" hidden="1" customHeight="1" spans="1:54">
      <c r="A926" s="72">
        <v>307</v>
      </c>
      <c r="B926" s="24" t="s">
        <v>324</v>
      </c>
      <c r="C926" s="25" t="s">
        <v>13</v>
      </c>
      <c r="D926" s="24"/>
      <c r="E926" s="24">
        <v>0</v>
      </c>
      <c r="F926" s="74">
        <f ca="1">SUMIF(I$3:$BB925,"入库",I926:$BB926)</f>
        <v>0</v>
      </c>
      <c r="G926" s="24">
        <f ca="1">SUMIF(J$3:$BB925,"出库",J926:$BB926)</f>
        <v>0</v>
      </c>
      <c r="H926" s="27">
        <f ca="1" t="shared" si="18"/>
        <v>0</v>
      </c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80"/>
      <c r="AU926" s="80"/>
      <c r="AV926" s="80"/>
      <c r="AW926" s="80"/>
      <c r="AX926" s="80"/>
      <c r="AY926" s="80"/>
      <c r="AZ926" s="80"/>
      <c r="BA926" s="80"/>
      <c r="BB926" s="80"/>
    </row>
    <row r="927" s="61" customFormat="1" hidden="1" customHeight="1" spans="1:54">
      <c r="A927" s="18"/>
      <c r="B927" s="24"/>
      <c r="C927" s="76" t="s">
        <v>14</v>
      </c>
      <c r="D927" s="24"/>
      <c r="E927" s="24">
        <v>0</v>
      </c>
      <c r="F927" s="74">
        <f ca="1">SUMIF(I$3:$BB926,"入库",I927:$BB927)</f>
        <v>0</v>
      </c>
      <c r="G927" s="24">
        <f ca="1">SUMIF(J$3:$BB926,"出库",J927:$BB927)</f>
        <v>0</v>
      </c>
      <c r="H927" s="27">
        <f ca="1" t="shared" si="18"/>
        <v>0</v>
      </c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80"/>
      <c r="AU927" s="80"/>
      <c r="AV927" s="80"/>
      <c r="AW927" s="80"/>
      <c r="AX927" s="80"/>
      <c r="AY927" s="80"/>
      <c r="AZ927" s="80"/>
      <c r="BA927" s="80"/>
      <c r="BB927" s="80"/>
    </row>
    <row r="928" s="61" customFormat="1" hidden="1" customHeight="1" spans="1:54">
      <c r="A928" s="19"/>
      <c r="B928" s="24"/>
      <c r="C928" s="73" t="s">
        <v>12</v>
      </c>
      <c r="D928" s="24"/>
      <c r="E928" s="24">
        <v>0</v>
      </c>
      <c r="F928" s="74">
        <f ca="1">SUMIF(I$3:$BB927,"入库",I928:$BB928)</f>
        <v>100</v>
      </c>
      <c r="G928" s="24">
        <f ca="1">SUMIF(J$3:$BB927,"出库",J928:$BB928)</f>
        <v>20</v>
      </c>
      <c r="H928" s="27">
        <f ca="1" t="shared" si="18"/>
        <v>80</v>
      </c>
      <c r="I928" s="24"/>
      <c r="J928" s="24"/>
      <c r="K928" s="24">
        <v>100</v>
      </c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>
        <v>20</v>
      </c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80"/>
      <c r="AU928" s="80"/>
      <c r="AV928" s="80"/>
      <c r="AW928" s="80"/>
      <c r="AX928" s="80"/>
      <c r="AY928" s="80"/>
      <c r="AZ928" s="80"/>
      <c r="BA928" s="80"/>
      <c r="BB928" s="80"/>
    </row>
    <row r="929" s="61" customFormat="1" hidden="1" customHeight="1" spans="1:54">
      <c r="A929" s="72">
        <v>308</v>
      </c>
      <c r="B929" s="24" t="s">
        <v>325</v>
      </c>
      <c r="C929" s="25" t="s">
        <v>13</v>
      </c>
      <c r="D929" s="24"/>
      <c r="E929" s="24">
        <v>0</v>
      </c>
      <c r="F929" s="74">
        <f ca="1">SUMIF(I$3:$BB928,"入库",I929:$BB929)</f>
        <v>0</v>
      </c>
      <c r="G929" s="24">
        <f ca="1">SUMIF(J$3:$BB928,"出库",J929:$BB929)</f>
        <v>0</v>
      </c>
      <c r="H929" s="27">
        <f ca="1" t="shared" si="18"/>
        <v>0</v>
      </c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80"/>
      <c r="AU929" s="80"/>
      <c r="AV929" s="80"/>
      <c r="AW929" s="80"/>
      <c r="AX929" s="80"/>
      <c r="AY929" s="80"/>
      <c r="AZ929" s="80"/>
      <c r="BA929" s="80"/>
      <c r="BB929" s="80"/>
    </row>
    <row r="930" s="61" customFormat="1" hidden="1" customHeight="1" spans="1:54">
      <c r="A930" s="18"/>
      <c r="B930" s="24"/>
      <c r="C930" s="76" t="s">
        <v>14</v>
      </c>
      <c r="D930" s="24"/>
      <c r="E930" s="24">
        <v>0</v>
      </c>
      <c r="F930" s="74">
        <f ca="1">SUMIF(I$3:$BB929,"入库",I930:$BB930)</f>
        <v>0</v>
      </c>
      <c r="G930" s="24">
        <f ca="1">SUMIF(J$3:$BB929,"出库",J930:$BB930)</f>
        <v>0</v>
      </c>
      <c r="H930" s="27">
        <f ca="1" t="shared" si="18"/>
        <v>0</v>
      </c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80"/>
      <c r="AU930" s="80"/>
      <c r="AV930" s="80"/>
      <c r="AW930" s="80"/>
      <c r="AX930" s="80"/>
      <c r="AY930" s="80"/>
      <c r="AZ930" s="80"/>
      <c r="BA930" s="80"/>
      <c r="BB930" s="80"/>
    </row>
    <row r="931" s="61" customFormat="1" hidden="1" customHeight="1" spans="1:54">
      <c r="A931" s="19"/>
      <c r="B931" s="24"/>
      <c r="C931" s="73" t="s">
        <v>12</v>
      </c>
      <c r="D931" s="24"/>
      <c r="E931" s="24">
        <v>0</v>
      </c>
      <c r="F931" s="74">
        <f ca="1">SUMIF(I$3:$BB930,"入库",I931:$BB931)</f>
        <v>80</v>
      </c>
      <c r="G931" s="24">
        <f ca="1">SUMIF(J$3:$BB930,"出库",J931:$BB931)</f>
        <v>0</v>
      </c>
      <c r="H931" s="27">
        <f ca="1" t="shared" si="18"/>
        <v>80</v>
      </c>
      <c r="I931" s="24"/>
      <c r="J931" s="24"/>
      <c r="K931" s="24">
        <v>80</v>
      </c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80"/>
      <c r="AU931" s="80"/>
      <c r="AV931" s="80"/>
      <c r="AW931" s="80"/>
      <c r="AX931" s="80"/>
      <c r="AY931" s="80"/>
      <c r="AZ931" s="80"/>
      <c r="BA931" s="80"/>
      <c r="BB931" s="80"/>
    </row>
    <row r="932" s="61" customFormat="1" hidden="1" customHeight="1" spans="1:54">
      <c r="A932" s="72">
        <v>309</v>
      </c>
      <c r="B932" s="24" t="s">
        <v>326</v>
      </c>
      <c r="C932" s="25" t="s">
        <v>13</v>
      </c>
      <c r="D932" s="24"/>
      <c r="E932" s="24">
        <v>0</v>
      </c>
      <c r="F932" s="74">
        <f ca="1">SUMIF(I$3:$BB931,"入库",I932:$BB932)</f>
        <v>90</v>
      </c>
      <c r="G932" s="24">
        <f ca="1">SUMIF(J$3:$BB931,"出库",J932:$BB932)</f>
        <v>0</v>
      </c>
      <c r="H932" s="27">
        <f ca="1" t="shared" si="18"/>
        <v>90</v>
      </c>
      <c r="I932" s="24"/>
      <c r="J932" s="24"/>
      <c r="K932" s="24">
        <v>90</v>
      </c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80"/>
      <c r="AU932" s="80"/>
      <c r="AV932" s="80"/>
      <c r="AW932" s="80"/>
      <c r="AX932" s="80"/>
      <c r="AY932" s="80"/>
      <c r="AZ932" s="80"/>
      <c r="BA932" s="80"/>
      <c r="BB932" s="80"/>
    </row>
    <row r="933" s="61" customFormat="1" hidden="1" customHeight="1" spans="1:54">
      <c r="A933" s="18"/>
      <c r="B933" s="24"/>
      <c r="C933" s="76" t="s">
        <v>14</v>
      </c>
      <c r="D933" s="24"/>
      <c r="E933" s="24">
        <v>0</v>
      </c>
      <c r="F933" s="74">
        <f ca="1">SUMIF(I$3:$BB932,"入库",I933:$BB933)</f>
        <v>0</v>
      </c>
      <c r="G933" s="24">
        <f ca="1">SUMIF(J$3:$BB932,"出库",J933:$BB933)</f>
        <v>0</v>
      </c>
      <c r="H933" s="27">
        <f ca="1" t="shared" si="18"/>
        <v>0</v>
      </c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80"/>
      <c r="AU933" s="80"/>
      <c r="AV933" s="80"/>
      <c r="AW933" s="80"/>
      <c r="AX933" s="80"/>
      <c r="AY933" s="80"/>
      <c r="AZ933" s="80"/>
      <c r="BA933" s="80"/>
      <c r="BB933" s="80"/>
    </row>
    <row r="934" s="61" customFormat="1" hidden="1" customHeight="1" spans="1:54">
      <c r="A934" s="19"/>
      <c r="B934" s="24"/>
      <c r="C934" s="73" t="s">
        <v>12</v>
      </c>
      <c r="D934" s="24"/>
      <c r="E934" s="24">
        <v>0</v>
      </c>
      <c r="F934" s="74">
        <f ca="1">SUMIF(I$3:$BB933,"入库",I934:$BB934)</f>
        <v>0</v>
      </c>
      <c r="G934" s="24">
        <f ca="1">SUMIF(J$3:$BB933,"出库",J934:$BB934)</f>
        <v>0</v>
      </c>
      <c r="H934" s="27">
        <f ca="1" t="shared" si="18"/>
        <v>0</v>
      </c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80"/>
      <c r="AU934" s="80"/>
      <c r="AV934" s="80"/>
      <c r="AW934" s="80"/>
      <c r="AX934" s="80"/>
      <c r="AY934" s="80"/>
      <c r="AZ934" s="80"/>
      <c r="BA934" s="80"/>
      <c r="BB934" s="80"/>
    </row>
    <row r="935" s="61" customFormat="1" hidden="1" customHeight="1" spans="1:54">
      <c r="A935" s="72">
        <v>310</v>
      </c>
      <c r="B935" s="24" t="s">
        <v>327</v>
      </c>
      <c r="C935" s="25" t="s">
        <v>13</v>
      </c>
      <c r="D935" s="24"/>
      <c r="E935" s="24">
        <v>0</v>
      </c>
      <c r="F935" s="74">
        <f ca="1">SUMIF(I$3:$BB934,"入库",I935:$BB935)</f>
        <v>0</v>
      </c>
      <c r="G935" s="24">
        <f ca="1">SUMIF(J$3:$BB934,"出库",J935:$BB935)</f>
        <v>0</v>
      </c>
      <c r="H935" s="27">
        <f ca="1" t="shared" si="18"/>
        <v>0</v>
      </c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80"/>
      <c r="AU935" s="80"/>
      <c r="AV935" s="80"/>
      <c r="AW935" s="80"/>
      <c r="AX935" s="80"/>
      <c r="AY935" s="80"/>
      <c r="AZ935" s="80"/>
      <c r="BA935" s="80"/>
      <c r="BB935" s="80"/>
    </row>
    <row r="936" s="61" customFormat="1" hidden="1" customHeight="1" spans="1:54">
      <c r="A936" s="18"/>
      <c r="B936" s="24"/>
      <c r="C936" s="76" t="s">
        <v>14</v>
      </c>
      <c r="D936" s="24"/>
      <c r="E936" s="24">
        <v>0</v>
      </c>
      <c r="F936" s="74">
        <f ca="1">SUMIF(I$3:$BB935,"入库",I936:$BB936)</f>
        <v>0</v>
      </c>
      <c r="G936" s="24">
        <f ca="1">SUMIF(J$3:$BB935,"出库",J936:$BB936)</f>
        <v>0</v>
      </c>
      <c r="H936" s="27">
        <f ca="1" t="shared" si="18"/>
        <v>0</v>
      </c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80"/>
      <c r="AU936" s="80"/>
      <c r="AV936" s="80"/>
      <c r="AW936" s="80"/>
      <c r="AX936" s="80"/>
      <c r="AY936" s="80"/>
      <c r="AZ936" s="80"/>
      <c r="BA936" s="80"/>
      <c r="BB936" s="80"/>
    </row>
    <row r="937" s="61" customFormat="1" hidden="1" customHeight="1" spans="1:54">
      <c r="A937" s="19"/>
      <c r="B937" s="24"/>
      <c r="C937" s="73" t="s">
        <v>12</v>
      </c>
      <c r="D937" s="24"/>
      <c r="E937" s="24">
        <v>0</v>
      </c>
      <c r="F937" s="74">
        <f ca="1">SUMIF(I$3:$BB936,"入库",I937:$BB937)</f>
        <v>100</v>
      </c>
      <c r="G937" s="24">
        <f ca="1">SUMIF(J$3:$BB936,"出库",J937:$BB937)</f>
        <v>0</v>
      </c>
      <c r="H937" s="27">
        <f ca="1" t="shared" si="18"/>
        <v>100</v>
      </c>
      <c r="I937" s="24"/>
      <c r="J937" s="24"/>
      <c r="K937" s="24">
        <v>100</v>
      </c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80"/>
      <c r="AU937" s="80"/>
      <c r="AV937" s="80"/>
      <c r="AW937" s="80"/>
      <c r="AX937" s="80"/>
      <c r="AY937" s="80"/>
      <c r="AZ937" s="80"/>
      <c r="BA937" s="80"/>
      <c r="BB937" s="80"/>
    </row>
    <row r="938" s="61" customFormat="1" hidden="1" customHeight="1" spans="1:54">
      <c r="A938" s="72">
        <v>311</v>
      </c>
      <c r="B938" s="24" t="s">
        <v>328</v>
      </c>
      <c r="C938" s="25" t="s">
        <v>13</v>
      </c>
      <c r="D938" s="24"/>
      <c r="E938" s="24">
        <v>0</v>
      </c>
      <c r="F938" s="74">
        <f ca="1">SUMIF(I$3:$BB937,"入库",I938:$BB938)</f>
        <v>20</v>
      </c>
      <c r="G938" s="24">
        <f ca="1">SUMIF(J$3:$BB937,"出库",J938:$BB938)</f>
        <v>0</v>
      </c>
      <c r="H938" s="27">
        <f ca="1" t="shared" si="18"/>
        <v>20</v>
      </c>
      <c r="I938" s="24"/>
      <c r="J938" s="24"/>
      <c r="K938" s="24">
        <v>20</v>
      </c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80"/>
      <c r="AU938" s="80"/>
      <c r="AV938" s="80"/>
      <c r="AW938" s="80"/>
      <c r="AX938" s="80"/>
      <c r="AY938" s="80"/>
      <c r="AZ938" s="80"/>
      <c r="BA938" s="80"/>
      <c r="BB938" s="80"/>
    </row>
    <row r="939" s="61" customFormat="1" hidden="1" customHeight="1" spans="1:54">
      <c r="A939" s="18"/>
      <c r="B939" s="24"/>
      <c r="C939" s="76" t="s">
        <v>14</v>
      </c>
      <c r="D939" s="24"/>
      <c r="E939" s="24">
        <v>0</v>
      </c>
      <c r="F939" s="74">
        <f ca="1">SUMIF(I$3:$BB938,"入库",I939:$BB939)</f>
        <v>0</v>
      </c>
      <c r="G939" s="24">
        <f ca="1">SUMIF(J$3:$BB938,"出库",J939:$BB939)</f>
        <v>0</v>
      </c>
      <c r="H939" s="27">
        <f ca="1" t="shared" si="18"/>
        <v>0</v>
      </c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80"/>
      <c r="AU939" s="80"/>
      <c r="AV939" s="80"/>
      <c r="AW939" s="80"/>
      <c r="AX939" s="80"/>
      <c r="AY939" s="80"/>
      <c r="AZ939" s="80"/>
      <c r="BA939" s="80"/>
      <c r="BB939" s="80"/>
    </row>
    <row r="940" s="61" customFormat="1" hidden="1" customHeight="1" spans="1:54">
      <c r="A940" s="19"/>
      <c r="B940" s="24"/>
      <c r="C940" s="73" t="s">
        <v>12</v>
      </c>
      <c r="D940" s="24"/>
      <c r="E940" s="24">
        <v>0</v>
      </c>
      <c r="F940" s="74">
        <f ca="1">SUMIF(I$3:$BB939,"入库",I940:$BB940)</f>
        <v>100</v>
      </c>
      <c r="G940" s="24">
        <f ca="1">SUMIF(J$3:$BB939,"出库",J940:$BB940)</f>
        <v>0</v>
      </c>
      <c r="H940" s="27">
        <f ca="1" t="shared" si="18"/>
        <v>100</v>
      </c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>
        <v>100</v>
      </c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80"/>
      <c r="AU940" s="80"/>
      <c r="AV940" s="80"/>
      <c r="AW940" s="80"/>
      <c r="AX940" s="80"/>
      <c r="AY940" s="80"/>
      <c r="AZ940" s="80"/>
      <c r="BA940" s="80"/>
      <c r="BB940" s="80"/>
    </row>
    <row r="941" s="61" customFormat="1" hidden="1" customHeight="1" spans="1:54">
      <c r="A941" s="72">
        <v>312</v>
      </c>
      <c r="B941" s="24" t="s">
        <v>329</v>
      </c>
      <c r="C941" s="25" t="s">
        <v>13</v>
      </c>
      <c r="D941" s="24"/>
      <c r="E941" s="24">
        <v>0</v>
      </c>
      <c r="F941" s="74">
        <f ca="1">SUMIF(I$3:$BB940,"入库",I941:$BB941)</f>
        <v>20</v>
      </c>
      <c r="G941" s="24">
        <f ca="1">SUMIF(J$3:$BB940,"出库",J941:$BB941)</f>
        <v>0</v>
      </c>
      <c r="H941" s="27">
        <f ca="1" t="shared" si="18"/>
        <v>20</v>
      </c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>
        <v>20</v>
      </c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80"/>
      <c r="AU941" s="80"/>
      <c r="AV941" s="80"/>
      <c r="AW941" s="80"/>
      <c r="AX941" s="80"/>
      <c r="AY941" s="80"/>
      <c r="AZ941" s="80"/>
      <c r="BA941" s="80"/>
      <c r="BB941" s="80"/>
    </row>
    <row r="942" s="61" customFormat="1" hidden="1" customHeight="1" spans="1:54">
      <c r="A942" s="18"/>
      <c r="B942" s="24"/>
      <c r="C942" s="76" t="s">
        <v>14</v>
      </c>
      <c r="D942" s="24"/>
      <c r="E942" s="24">
        <v>0</v>
      </c>
      <c r="F942" s="74">
        <f ca="1">SUMIF(I$3:$BB941,"入库",I942:$BB942)</f>
        <v>0</v>
      </c>
      <c r="G942" s="24">
        <f ca="1">SUMIF(J$3:$BB941,"出库",J942:$BB942)</f>
        <v>0</v>
      </c>
      <c r="H942" s="27">
        <f ca="1" t="shared" si="18"/>
        <v>0</v>
      </c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80"/>
      <c r="AU942" s="80"/>
      <c r="AV942" s="80"/>
      <c r="AW942" s="80"/>
      <c r="AX942" s="80"/>
      <c r="AY942" s="80"/>
      <c r="AZ942" s="80"/>
      <c r="BA942" s="80"/>
      <c r="BB942" s="80"/>
    </row>
    <row r="943" s="61" customFormat="1" hidden="1" customHeight="1" spans="1:54">
      <c r="A943" s="19"/>
      <c r="B943" s="24"/>
      <c r="C943" s="73" t="s">
        <v>12</v>
      </c>
      <c r="D943" s="24"/>
      <c r="E943" s="24">
        <v>0</v>
      </c>
      <c r="F943" s="74">
        <f ca="1">SUMIF(I$3:$BB942,"入库",I943:$BB943)</f>
        <v>50</v>
      </c>
      <c r="G943" s="24">
        <f ca="1">SUMIF(J$3:$BB942,"出库",J943:$BB943)</f>
        <v>0</v>
      </c>
      <c r="H943" s="27">
        <f ca="1" t="shared" si="18"/>
        <v>50</v>
      </c>
      <c r="I943" s="24"/>
      <c r="J943" s="24"/>
      <c r="K943" s="24">
        <v>50</v>
      </c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80"/>
      <c r="AU943" s="80"/>
      <c r="AV943" s="80"/>
      <c r="AW943" s="80"/>
      <c r="AX943" s="80"/>
      <c r="AY943" s="80"/>
      <c r="AZ943" s="80"/>
      <c r="BA943" s="80"/>
      <c r="BB943" s="80"/>
    </row>
    <row r="944" s="61" customFormat="1" hidden="1" customHeight="1" spans="1:54">
      <c r="A944" s="58">
        <v>313</v>
      </c>
      <c r="B944" s="81" t="s">
        <v>330</v>
      </c>
      <c r="C944" s="25" t="s">
        <v>13</v>
      </c>
      <c r="D944" s="24"/>
      <c r="E944" s="24">
        <v>0</v>
      </c>
      <c r="F944" s="74">
        <f ca="1">SUMIF(I$3:$BB943,"入库",I944:$BB944)</f>
        <v>30</v>
      </c>
      <c r="G944" s="24">
        <f ca="1">SUMIF(J$3:$BB943,"出库",J944:$BB944)</f>
        <v>0</v>
      </c>
      <c r="H944" s="27">
        <f ca="1" t="shared" si="18"/>
        <v>30</v>
      </c>
      <c r="I944" s="24"/>
      <c r="J944" s="24"/>
      <c r="K944" s="24">
        <v>30</v>
      </c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80"/>
      <c r="AU944" s="80"/>
      <c r="AV944" s="80"/>
      <c r="AW944" s="80"/>
      <c r="AX944" s="80"/>
      <c r="AY944" s="80"/>
      <c r="AZ944" s="80"/>
      <c r="BA944" s="80"/>
      <c r="BB944" s="80"/>
    </row>
    <row r="945" s="61" customFormat="1" hidden="1" customHeight="1" spans="1:54">
      <c r="A945" s="58"/>
      <c r="B945" s="81"/>
      <c r="C945" s="82" t="s">
        <v>14</v>
      </c>
      <c r="D945" s="83"/>
      <c r="E945" s="83">
        <v>0</v>
      </c>
      <c r="F945" s="74">
        <f ca="1">SUMIF(I$3:$BB944,"入库",I945:$BB945)</f>
        <v>0</v>
      </c>
      <c r="G945" s="24">
        <f ca="1">SUMIF(J$3:$BB944,"出库",J945:$BB945)</f>
        <v>0</v>
      </c>
      <c r="H945" s="27">
        <f ca="1" t="shared" si="18"/>
        <v>0</v>
      </c>
      <c r="I945" s="84"/>
      <c r="J945" s="84"/>
      <c r="K945" s="8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80"/>
      <c r="AU945" s="80"/>
      <c r="AV945" s="80"/>
      <c r="AW945" s="80"/>
      <c r="AX945" s="80"/>
      <c r="AY945" s="80"/>
      <c r="AZ945" s="80"/>
      <c r="BA945" s="80"/>
      <c r="BB945" s="80"/>
    </row>
    <row r="946" s="61" customFormat="1" hidden="1" customHeight="1" spans="1:54">
      <c r="A946" s="58"/>
      <c r="B946" s="85"/>
      <c r="C946" s="86" t="s">
        <v>12</v>
      </c>
      <c r="D946" s="83"/>
      <c r="E946" s="87">
        <v>0</v>
      </c>
      <c r="F946" s="74">
        <f ca="1">SUMIF(I$3:$BB945,"入库",I946:$BB946)</f>
        <v>101</v>
      </c>
      <c r="G946" s="24">
        <f ca="1">SUMIF(J$3:$BB945,"出库",J946:$BB946)</f>
        <v>0</v>
      </c>
      <c r="H946" s="27">
        <f ca="1" t="shared" si="18"/>
        <v>101</v>
      </c>
      <c r="I946" s="88"/>
      <c r="J946" s="88"/>
      <c r="K946" s="88">
        <v>50</v>
      </c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>
        <v>50</v>
      </c>
      <c r="X946" s="24"/>
      <c r="Y946" s="24"/>
      <c r="Z946" s="24"/>
      <c r="AA946" s="24"/>
      <c r="AB946" s="24"/>
      <c r="AC946" s="24">
        <v>1</v>
      </c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80"/>
      <c r="AU946" s="80"/>
      <c r="AV946" s="80"/>
      <c r="AW946" s="80"/>
      <c r="AX946" s="80"/>
      <c r="AY946" s="80"/>
      <c r="AZ946" s="80"/>
      <c r="BA946" s="80"/>
      <c r="BB946" s="80"/>
    </row>
    <row r="947" s="61" customFormat="1" hidden="1" customHeight="1" spans="1:54">
      <c r="A947" s="72">
        <v>314</v>
      </c>
      <c r="B947" s="24" t="s">
        <v>331</v>
      </c>
      <c r="C947" s="89" t="s">
        <v>13</v>
      </c>
      <c r="D947" s="90"/>
      <c r="E947" s="90">
        <v>0</v>
      </c>
      <c r="F947" s="74">
        <f ca="1">SUMIF(I$3:$BB946,"入库",I947:$BB947)</f>
        <v>30</v>
      </c>
      <c r="G947" s="24">
        <f ca="1">SUMIF(J$3:$BB946,"出库",J947:$BB947)</f>
        <v>0</v>
      </c>
      <c r="H947" s="27">
        <f ca="1" t="shared" si="18"/>
        <v>30</v>
      </c>
      <c r="I947" s="58"/>
      <c r="J947" s="58"/>
      <c r="K947" s="58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>
        <v>30</v>
      </c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80"/>
      <c r="AU947" s="80"/>
      <c r="AV947" s="80"/>
      <c r="AW947" s="80"/>
      <c r="AX947" s="80"/>
      <c r="AY947" s="80"/>
      <c r="AZ947" s="80"/>
      <c r="BA947" s="80"/>
      <c r="BB947" s="80"/>
    </row>
    <row r="948" s="61" customFormat="1" ht="22.5" hidden="1" customHeight="1" spans="1:54">
      <c r="A948" s="18"/>
      <c r="B948" s="24"/>
      <c r="C948" s="91" t="s">
        <v>14</v>
      </c>
      <c r="D948" s="90"/>
      <c r="E948" s="90">
        <v>0</v>
      </c>
      <c r="F948" s="74">
        <f ca="1">SUMIF(I$3:$BB947,"入库",I948:$BB948)</f>
        <v>30</v>
      </c>
      <c r="G948" s="24">
        <f ca="1">SUMIF(J$3:$BB947,"出库",J948:$BB948)</f>
        <v>0</v>
      </c>
      <c r="H948" s="27">
        <f ca="1" t="shared" si="18"/>
        <v>30</v>
      </c>
      <c r="I948" s="58"/>
      <c r="J948" s="58"/>
      <c r="K948" s="58">
        <v>30</v>
      </c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92"/>
      <c r="AU948" s="92"/>
      <c r="AV948" s="92"/>
      <c r="AW948" s="92"/>
      <c r="AX948" s="92"/>
      <c r="AY948" s="92"/>
      <c r="AZ948" s="92"/>
      <c r="BA948" s="92"/>
      <c r="BB948" s="92"/>
    </row>
    <row r="949" s="61" customFormat="1" ht="22.5" hidden="1" customHeight="1" spans="1:54">
      <c r="A949" s="19"/>
      <c r="B949" s="24"/>
      <c r="C949" s="93" t="s">
        <v>12</v>
      </c>
      <c r="D949" s="90"/>
      <c r="E949" s="90">
        <v>0</v>
      </c>
      <c r="F949" s="74">
        <f ca="1">SUMIF(I$3:$BB948,"入库",I949:$BB949)</f>
        <v>350</v>
      </c>
      <c r="G949" s="24">
        <f ca="1">SUMIF(J$3:$BB948,"出库",J949:$BB949)</f>
        <v>0</v>
      </c>
      <c r="H949" s="27">
        <f ca="1" t="shared" si="18"/>
        <v>350</v>
      </c>
      <c r="I949" s="58"/>
      <c r="J949" s="58"/>
      <c r="K949" s="58">
        <v>300</v>
      </c>
      <c r="L949" s="88"/>
      <c r="M949" s="88"/>
      <c r="N949" s="88"/>
      <c r="O949" s="58"/>
      <c r="P949" s="84"/>
      <c r="Q949" s="84"/>
      <c r="R949" s="84"/>
      <c r="S949" s="84"/>
      <c r="T949" s="84"/>
      <c r="U949" s="84"/>
      <c r="V949" s="84"/>
      <c r="W949" s="84">
        <v>50</v>
      </c>
      <c r="X949" s="84"/>
      <c r="Y949" s="84"/>
      <c r="Z949" s="84"/>
      <c r="AA949" s="84"/>
      <c r="AB949" s="84"/>
      <c r="AC949" s="84"/>
      <c r="AD949" s="84"/>
      <c r="AE949" s="84"/>
      <c r="AF949" s="84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92"/>
      <c r="AU949" s="92"/>
      <c r="AV949" s="92"/>
      <c r="AW949" s="92"/>
      <c r="AX949" s="92"/>
      <c r="AY949" s="92"/>
      <c r="AZ949" s="92"/>
      <c r="BA949" s="92"/>
      <c r="BB949" s="92"/>
    </row>
    <row r="950" s="61" customFormat="1" hidden="1" customHeight="1" spans="1:54">
      <c r="A950" s="60">
        <v>315</v>
      </c>
      <c r="B950" s="60" t="s">
        <v>332</v>
      </c>
      <c r="C950" s="94" t="s">
        <v>13</v>
      </c>
      <c r="D950" s="58"/>
      <c r="E950" s="58">
        <v>0</v>
      </c>
      <c r="F950" s="74">
        <f ca="1">SUMIF(I$3:$BB949,"入库",I950:$BB950)</f>
        <v>0</v>
      </c>
      <c r="G950" s="24">
        <f ca="1">SUMIF(J$3:$BB949,"出库",J950:$BB950)</f>
        <v>0</v>
      </c>
      <c r="H950" s="27">
        <f ca="1" t="shared" ref="H950:H1013" si="19">E950+F950-G950</f>
        <v>0</v>
      </c>
      <c r="I950" s="58"/>
      <c r="J950" s="58"/>
      <c r="K950" s="58"/>
      <c r="L950" s="24"/>
      <c r="M950" s="24"/>
      <c r="N950" s="63"/>
      <c r="O950" s="58"/>
      <c r="P950" s="58"/>
      <c r="Q950" s="58"/>
      <c r="R950" s="84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95"/>
      <c r="AT950" s="63"/>
      <c r="AU950" s="63"/>
    </row>
    <row r="951" s="61" customFormat="1" hidden="1" customHeight="1" spans="1:54">
      <c r="A951" s="78"/>
      <c r="B951" s="78"/>
      <c r="C951" s="58" t="s">
        <v>14</v>
      </c>
      <c r="D951" s="58"/>
      <c r="E951" s="58">
        <v>0</v>
      </c>
      <c r="F951" s="74">
        <f ca="1">SUMIF(I$3:$BB950,"入库",I951:$BB951)</f>
        <v>40</v>
      </c>
      <c r="G951" s="24">
        <f ca="1">SUMIF(J$3:$BB950,"出库",J951:$BB951)</f>
        <v>0</v>
      </c>
      <c r="H951" s="27">
        <f ca="1" t="shared" si="19"/>
        <v>40</v>
      </c>
      <c r="I951" s="58"/>
      <c r="J951" s="58"/>
      <c r="K951" s="58">
        <v>20</v>
      </c>
      <c r="L951" s="24"/>
      <c r="M951" s="24"/>
      <c r="N951" s="58"/>
      <c r="O951" s="58"/>
      <c r="P951" s="58"/>
      <c r="Q951" s="58"/>
      <c r="R951" s="58"/>
      <c r="S951" s="58"/>
      <c r="T951" s="58"/>
      <c r="U951" s="58"/>
      <c r="V951" s="58"/>
      <c r="W951" s="58">
        <v>20</v>
      </c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95"/>
      <c r="AT951" s="58"/>
      <c r="AU951" s="58"/>
    </row>
    <row r="952" s="62" customFormat="1" hidden="1" customHeight="1" spans="1:54">
      <c r="A952" s="63"/>
      <c r="B952" s="63"/>
      <c r="C952" s="96" t="s">
        <v>12</v>
      </c>
      <c r="D952" s="58"/>
      <c r="E952" s="58">
        <v>0</v>
      </c>
      <c r="F952" s="74">
        <f ca="1">SUMIF(I$3:$BB951,"入库",I952:$BB952)</f>
        <v>1120</v>
      </c>
      <c r="G952" s="24">
        <f ca="1">SUMIF(J$3:$BB951,"出库",J952:$BB952)</f>
        <v>20</v>
      </c>
      <c r="H952" s="27">
        <f ca="1" t="shared" si="19"/>
        <v>1100</v>
      </c>
      <c r="I952" s="58"/>
      <c r="J952" s="58"/>
      <c r="K952" s="58">
        <v>560</v>
      </c>
      <c r="L952" s="24"/>
      <c r="M952" s="24"/>
      <c r="N952" s="58"/>
      <c r="O952" s="58"/>
      <c r="P952" s="58"/>
      <c r="Q952" s="58"/>
      <c r="R952" s="58"/>
      <c r="S952" s="58"/>
      <c r="T952" s="58"/>
      <c r="U952" s="58"/>
      <c r="V952" s="58"/>
      <c r="W952" s="58">
        <v>560</v>
      </c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>
        <v>20</v>
      </c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95"/>
      <c r="AT952" s="58"/>
      <c r="AU952" s="58"/>
    </row>
    <row r="953" s="62" customFormat="1" hidden="1" customHeight="1" spans="1:54">
      <c r="A953" s="60">
        <v>316</v>
      </c>
      <c r="B953" s="60" t="s">
        <v>333</v>
      </c>
      <c r="C953" s="94" t="s">
        <v>13</v>
      </c>
      <c r="D953" s="58"/>
      <c r="E953" s="58">
        <v>0</v>
      </c>
      <c r="F953" s="74">
        <f ca="1">SUMIF(I$3:$BB952,"入库",I953:$BB953)</f>
        <v>0</v>
      </c>
      <c r="G953" s="24">
        <f ca="1">SUMIF(J$3:$BB952,"出库",J953:$BB953)</f>
        <v>0</v>
      </c>
      <c r="H953" s="27">
        <f ca="1" t="shared" si="19"/>
        <v>0</v>
      </c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95"/>
      <c r="AT953" s="58"/>
      <c r="AU953" s="58"/>
    </row>
    <row r="954" s="62" customFormat="1" hidden="1" customHeight="1" spans="1:54">
      <c r="A954" s="78"/>
      <c r="B954" s="78"/>
      <c r="C954" s="58" t="s">
        <v>14</v>
      </c>
      <c r="D954" s="58"/>
      <c r="E954" s="58">
        <v>0</v>
      </c>
      <c r="F954" s="74">
        <f ca="1">SUMIF(I$3:$BB953,"入库",I954:$BB954)</f>
        <v>0</v>
      </c>
      <c r="G954" s="24">
        <f ca="1">SUMIF(J$3:$BB953,"出库",J954:$BB954)</f>
        <v>0</v>
      </c>
      <c r="H954" s="27">
        <f ca="1" t="shared" si="19"/>
        <v>0</v>
      </c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95"/>
      <c r="AT954" s="58"/>
      <c r="AU954" s="58"/>
    </row>
    <row r="955" s="62" customFormat="1" hidden="1" customHeight="1" spans="1:54">
      <c r="A955" s="63"/>
      <c r="B955" s="63"/>
      <c r="C955" s="96" t="s">
        <v>12</v>
      </c>
      <c r="D955" s="58"/>
      <c r="E955" s="58">
        <v>0</v>
      </c>
      <c r="F955" s="74">
        <f ca="1">SUMIF(I$3:$BB954,"入库",I955:$BB955)</f>
        <v>1200</v>
      </c>
      <c r="G955" s="24">
        <f ca="1">SUMIF(J$3:$BB954,"出库",J955:$BB955)</f>
        <v>0</v>
      </c>
      <c r="H955" s="27">
        <f ca="1" t="shared" si="19"/>
        <v>1200</v>
      </c>
      <c r="I955" s="58"/>
      <c r="J955" s="58"/>
      <c r="K955" s="58">
        <v>600</v>
      </c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>
        <v>600</v>
      </c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95"/>
      <c r="AT955" s="58"/>
      <c r="AU955" s="58"/>
    </row>
    <row r="956" s="62" customFormat="1" hidden="1" customHeight="1" spans="1:54">
      <c r="A956" s="60">
        <v>317</v>
      </c>
      <c r="B956" s="60"/>
      <c r="C956" s="58"/>
      <c r="D956" s="58"/>
      <c r="E956" s="58"/>
      <c r="F956" s="74">
        <f ca="1">SUMIF(I$3:$BB955,"入库",I956:$BB956)</f>
        <v>0</v>
      </c>
      <c r="G956" s="24">
        <f ca="1">SUMIF(J$3:$BB955,"出库",J956:$BB956)</f>
        <v>0</v>
      </c>
      <c r="H956" s="27">
        <f ca="1" t="shared" si="19"/>
        <v>0</v>
      </c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95"/>
      <c r="AT956" s="58"/>
      <c r="AU956" s="58"/>
    </row>
    <row r="957" s="62" customFormat="1" hidden="1" customHeight="1" spans="1:54">
      <c r="A957" s="78"/>
      <c r="B957" s="78"/>
      <c r="C957" s="58"/>
      <c r="D957" s="58"/>
      <c r="E957" s="58"/>
      <c r="F957" s="74">
        <f ca="1">SUMIF(I$3:$BB956,"入库",I957:$BB957)</f>
        <v>0</v>
      </c>
      <c r="G957" s="24">
        <f ca="1">SUMIF(J$3:$BB956,"出库",J957:$BB957)</f>
        <v>0</v>
      </c>
      <c r="H957" s="27">
        <f ca="1" t="shared" si="19"/>
        <v>0</v>
      </c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95"/>
      <c r="AT957" s="58"/>
      <c r="AU957" s="58"/>
    </row>
    <row r="958" s="62" customFormat="1" hidden="1" customHeight="1" spans="1:54">
      <c r="A958" s="63"/>
      <c r="B958" s="63"/>
      <c r="C958" s="58"/>
      <c r="D958" s="58"/>
      <c r="E958" s="58"/>
      <c r="F958" s="74">
        <f ca="1">SUMIF(I$3:$BB957,"入库",I958:$BB958)</f>
        <v>0</v>
      </c>
      <c r="G958" s="24">
        <f ca="1">SUMIF(J$3:$BB957,"出库",J958:$BB958)</f>
        <v>0</v>
      </c>
      <c r="H958" s="27">
        <f ca="1" t="shared" si="19"/>
        <v>0</v>
      </c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95"/>
      <c r="AT958" s="58"/>
      <c r="AU958" s="58"/>
    </row>
    <row r="959" s="62" customFormat="1" hidden="1" customHeight="1" spans="1:54">
      <c r="A959" s="60">
        <v>318</v>
      </c>
      <c r="B959" s="60"/>
      <c r="C959" s="58"/>
      <c r="D959" s="58"/>
      <c r="E959" s="58"/>
      <c r="F959" s="74">
        <f ca="1">SUMIF(I$3:$BB958,"入库",I959:$BB959)</f>
        <v>0</v>
      </c>
      <c r="G959" s="24">
        <f ca="1">SUMIF(J$3:$BB958,"出库",J959:$BB959)</f>
        <v>0</v>
      </c>
      <c r="H959" s="27">
        <f ca="1" t="shared" si="19"/>
        <v>0</v>
      </c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95"/>
      <c r="AT959" s="58"/>
      <c r="AU959" s="58"/>
    </row>
    <row r="960" s="62" customFormat="1" hidden="1" customHeight="1" spans="1:54">
      <c r="A960" s="78"/>
      <c r="B960" s="78"/>
      <c r="C960" s="58"/>
      <c r="D960" s="58"/>
      <c r="E960" s="58"/>
      <c r="F960" s="74">
        <f ca="1">SUMIF(I$3:$BB959,"入库",I960:$BB960)</f>
        <v>0</v>
      </c>
      <c r="G960" s="24">
        <f ca="1">SUMIF(J$3:$BB959,"出库",J960:$BB960)</f>
        <v>0</v>
      </c>
      <c r="H960" s="27">
        <f ca="1" t="shared" si="19"/>
        <v>0</v>
      </c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95"/>
      <c r="AT960" s="58"/>
      <c r="AU960" s="58"/>
    </row>
    <row r="961" s="62" customFormat="1" hidden="1" customHeight="1" spans="1:47">
      <c r="A961" s="63"/>
      <c r="B961" s="63"/>
      <c r="C961" s="58"/>
      <c r="D961" s="58"/>
      <c r="E961" s="58"/>
      <c r="F961" s="74">
        <f ca="1">SUMIF(I$3:$BB960,"入库",I961:$BB961)</f>
        <v>0</v>
      </c>
      <c r="G961" s="24">
        <f ca="1">SUMIF(J$3:$BB960,"出库",J961:$BB961)</f>
        <v>0</v>
      </c>
      <c r="H961" s="27">
        <f ca="1" t="shared" si="19"/>
        <v>0</v>
      </c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95"/>
      <c r="AT961" s="58"/>
      <c r="AU961" s="58"/>
    </row>
    <row r="962" s="62" customFormat="1" hidden="1" customHeight="1" spans="1:47">
      <c r="A962" s="60">
        <v>319</v>
      </c>
      <c r="B962" s="60"/>
      <c r="C962" s="58"/>
      <c r="D962" s="58"/>
      <c r="E962" s="58"/>
      <c r="F962" s="74">
        <f ca="1">SUMIF(I$3:$BB961,"入库",I962:$BB962)</f>
        <v>0</v>
      </c>
      <c r="G962" s="24">
        <f ca="1">SUMIF(J$3:$BB961,"出库",J962:$BB962)</f>
        <v>0</v>
      </c>
      <c r="H962" s="27">
        <f ca="1" t="shared" si="19"/>
        <v>0</v>
      </c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95"/>
      <c r="AT962" s="58"/>
      <c r="AU962" s="58"/>
    </row>
    <row r="963" s="63" customFormat="1" hidden="1" customHeight="1" spans="1:47">
      <c r="A963" s="78"/>
      <c r="B963" s="78"/>
      <c r="C963" s="58"/>
      <c r="D963" s="58"/>
      <c r="E963" s="58"/>
      <c r="F963" s="74">
        <f ca="1">SUMIF(I$3:$BB962,"入库",I963:$BB963)</f>
        <v>0</v>
      </c>
      <c r="G963" s="24">
        <f ca="1">SUMIF(J$3:$BB962,"出库",J963:$BB963)</f>
        <v>0</v>
      </c>
      <c r="H963" s="27">
        <f ca="1" t="shared" si="19"/>
        <v>0</v>
      </c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95"/>
      <c r="AT963" s="58"/>
      <c r="AU963" s="58"/>
    </row>
    <row r="964" hidden="1" customHeight="1" spans="1:47">
      <c r="A964" s="63"/>
      <c r="B964" s="63"/>
      <c r="F964" s="74">
        <f ca="1">SUMIF(I$3:$BB963,"入库",I964:$BB964)</f>
        <v>0</v>
      </c>
      <c r="G964" s="24">
        <f ca="1">SUMIF(J$3:$BB963,"出库",J964:$BB964)</f>
        <v>0</v>
      </c>
      <c r="H964" s="27">
        <f ca="1" t="shared" si="19"/>
        <v>0</v>
      </c>
      <c r="AS964" s="95"/>
    </row>
    <row r="965" hidden="1" customHeight="1" spans="1:47">
      <c r="A965" s="60">
        <v>320</v>
      </c>
      <c r="B965" s="60"/>
      <c r="F965" s="74">
        <f ca="1">SUMIF(I$3:$BB964,"入库",I965:$BB965)</f>
        <v>0</v>
      </c>
      <c r="G965" s="24">
        <f ca="1">SUMIF(J$3:$BB964,"出库",J965:$BB965)</f>
        <v>0</v>
      </c>
      <c r="H965" s="27">
        <f ca="1" t="shared" si="19"/>
        <v>0</v>
      </c>
      <c r="AS965" s="95"/>
    </row>
    <row r="966" hidden="1" customHeight="1" spans="1:47">
      <c r="A966" s="78"/>
      <c r="B966" s="78"/>
      <c r="F966" s="74">
        <f ca="1">SUMIF(I$3:$BB965,"入库",I966:$BB966)</f>
        <v>0</v>
      </c>
      <c r="G966" s="24">
        <f ca="1">SUMIF(J$3:$BB965,"出库",J966:$BB966)</f>
        <v>0</v>
      </c>
      <c r="H966" s="27">
        <f ca="1" t="shared" si="19"/>
        <v>0</v>
      </c>
      <c r="AS966" s="95"/>
    </row>
    <row r="967" hidden="1" customHeight="1" spans="1:47">
      <c r="A967" s="63"/>
      <c r="B967" s="63"/>
      <c r="F967" s="74">
        <f ca="1">SUMIF(I$3:$BB966,"入库",I967:$BB967)</f>
        <v>0</v>
      </c>
      <c r="G967" s="24">
        <f ca="1">SUMIF(J$3:$BB966,"出库",J967:$BB967)</f>
        <v>0</v>
      </c>
      <c r="H967" s="27">
        <f ca="1" t="shared" si="19"/>
        <v>0</v>
      </c>
      <c r="AS967" s="95"/>
    </row>
    <row r="968" hidden="1" customHeight="1" spans="1:47">
      <c r="A968" s="60">
        <v>321</v>
      </c>
      <c r="B968" s="60"/>
      <c r="F968" s="74">
        <f ca="1">SUMIF(I$3:$BB967,"入库",I968:$BB968)</f>
        <v>0</v>
      </c>
      <c r="G968" s="24">
        <f ca="1">SUMIF(J$3:$BB967,"出库",J968:$BB968)</f>
        <v>0</v>
      </c>
      <c r="H968" s="27">
        <f ca="1" t="shared" si="19"/>
        <v>0</v>
      </c>
      <c r="AS968" s="95"/>
    </row>
    <row r="969" hidden="1" customHeight="1" spans="1:47">
      <c r="A969" s="78"/>
      <c r="B969" s="78"/>
      <c r="F969" s="74">
        <f ca="1">SUMIF(I$3:$BB968,"入库",I969:$BB969)</f>
        <v>0</v>
      </c>
      <c r="G969" s="24">
        <f ca="1">SUMIF(J$3:$BB968,"出库",J969:$BB969)</f>
        <v>0</v>
      </c>
      <c r="H969" s="27">
        <f ca="1" t="shared" si="19"/>
        <v>0</v>
      </c>
      <c r="AS969" s="95"/>
    </row>
    <row r="970" hidden="1" customHeight="1" spans="1:47">
      <c r="A970" s="63"/>
      <c r="B970" s="63"/>
      <c r="F970" s="74">
        <f ca="1">SUMIF(I$3:$BB969,"入库",I970:$BB970)</f>
        <v>0</v>
      </c>
      <c r="G970" s="24">
        <f ca="1">SUMIF(J$3:$BB969,"出库",J970:$BB970)</f>
        <v>0</v>
      </c>
      <c r="H970" s="27">
        <f ca="1" t="shared" si="19"/>
        <v>0</v>
      </c>
      <c r="AS970" s="95"/>
    </row>
    <row r="971" hidden="1" customHeight="1" spans="1:47">
      <c r="A971" s="60">
        <v>322</v>
      </c>
      <c r="B971" s="60"/>
      <c r="F971" s="74">
        <f ca="1">SUMIF(I$3:$BB970,"入库",I971:$BB971)</f>
        <v>0</v>
      </c>
      <c r="G971" s="24">
        <f ca="1">SUMIF(J$3:$BB970,"出库",J971:$BB971)</f>
        <v>0</v>
      </c>
      <c r="H971" s="27">
        <f ca="1" t="shared" si="19"/>
        <v>0</v>
      </c>
      <c r="AS971" s="95"/>
    </row>
    <row r="972" hidden="1" customHeight="1" spans="1:47">
      <c r="A972" s="78"/>
      <c r="B972" s="78"/>
      <c r="F972" s="74">
        <f ca="1">SUMIF(I$3:$BB971,"入库",I972:$BB972)</f>
        <v>0</v>
      </c>
      <c r="G972" s="24">
        <f ca="1">SUMIF(J$3:$BB971,"出库",J972:$BB972)</f>
        <v>0</v>
      </c>
      <c r="H972" s="27">
        <f ca="1" t="shared" si="19"/>
        <v>0</v>
      </c>
      <c r="AS972" s="95"/>
    </row>
    <row r="973" hidden="1" customHeight="1" spans="1:47">
      <c r="A973" s="63"/>
      <c r="B973" s="63"/>
      <c r="F973" s="74">
        <f ca="1">SUMIF(I$3:$BB972,"入库",I973:$BB973)</f>
        <v>0</v>
      </c>
      <c r="G973" s="24">
        <f ca="1">SUMIF(J$3:$BB972,"出库",J973:$BB973)</f>
        <v>0</v>
      </c>
      <c r="H973" s="27">
        <f ca="1" t="shared" si="19"/>
        <v>0</v>
      </c>
      <c r="AS973" s="95"/>
    </row>
    <row r="974" hidden="1" customHeight="1" spans="1:47">
      <c r="A974" s="60">
        <v>323</v>
      </c>
      <c r="B974" s="60"/>
      <c r="F974" s="74">
        <f ca="1">SUMIF(I$3:$BB973,"入库",I974:$BB974)</f>
        <v>0</v>
      </c>
      <c r="G974" s="24">
        <f ca="1">SUMIF(J$3:$BB973,"出库",J974:$BB974)</f>
        <v>0</v>
      </c>
      <c r="H974" s="27">
        <f ca="1" t="shared" si="19"/>
        <v>0</v>
      </c>
      <c r="AS974" s="95"/>
    </row>
    <row r="975" hidden="1" customHeight="1" spans="1:47">
      <c r="A975" s="78"/>
      <c r="B975" s="78"/>
      <c r="F975" s="74">
        <f ca="1">SUMIF(I$3:$BB974,"入库",I975:$BB975)</f>
        <v>0</v>
      </c>
      <c r="G975" s="24">
        <f ca="1">SUMIF(J$3:$BB974,"出库",J975:$BB975)</f>
        <v>0</v>
      </c>
      <c r="H975" s="27">
        <f ca="1" t="shared" si="19"/>
        <v>0</v>
      </c>
      <c r="AS975" s="95"/>
    </row>
    <row r="976" hidden="1" customHeight="1" spans="1:47">
      <c r="A976" s="63"/>
      <c r="B976" s="63"/>
      <c r="F976" s="74">
        <f ca="1">SUMIF(I$3:$BB975,"入库",I976:$BB976)</f>
        <v>0</v>
      </c>
      <c r="G976" s="24">
        <f ca="1">SUMIF(J$3:$BB975,"出库",J976:$BB976)</f>
        <v>0</v>
      </c>
      <c r="H976" s="27">
        <f ca="1" t="shared" si="19"/>
        <v>0</v>
      </c>
      <c r="AS976" s="95"/>
    </row>
    <row r="977" hidden="1" customHeight="1" spans="1:45">
      <c r="A977" s="60">
        <v>324</v>
      </c>
      <c r="B977" s="60"/>
      <c r="F977" s="74">
        <f ca="1">SUMIF(I$3:$BB976,"入库",I977:$BB977)</f>
        <v>0</v>
      </c>
      <c r="G977" s="24">
        <f ca="1">SUMIF(J$3:$BB976,"出库",J977:$BB977)</f>
        <v>0</v>
      </c>
      <c r="H977" s="27">
        <f ca="1" t="shared" si="19"/>
        <v>0</v>
      </c>
      <c r="AS977" s="95"/>
    </row>
    <row r="978" hidden="1" customHeight="1" spans="1:45">
      <c r="A978" s="78"/>
      <c r="B978" s="78"/>
      <c r="F978" s="74">
        <f ca="1">SUMIF(I$3:$BB977,"入库",I978:$BB978)</f>
        <v>0</v>
      </c>
      <c r="G978" s="24">
        <f ca="1">SUMIF(J$3:$BB977,"出库",J978:$BB978)</f>
        <v>0</v>
      </c>
      <c r="H978" s="27">
        <f ca="1" t="shared" si="19"/>
        <v>0</v>
      </c>
      <c r="AS978" s="95"/>
    </row>
    <row r="979" hidden="1" customHeight="1" spans="1:45">
      <c r="A979" s="63"/>
      <c r="B979" s="63"/>
      <c r="F979" s="74">
        <f ca="1">SUMIF(I$3:$BB978,"入库",I979:$BB979)</f>
        <v>0</v>
      </c>
      <c r="G979" s="24">
        <f ca="1">SUMIF(J$3:$BB978,"出库",J979:$BB979)</f>
        <v>0</v>
      </c>
      <c r="H979" s="27">
        <f ca="1" t="shared" si="19"/>
        <v>0</v>
      </c>
      <c r="AS979" s="95"/>
    </row>
    <row r="980" hidden="1" customHeight="1" spans="1:45">
      <c r="A980" s="60">
        <v>325</v>
      </c>
      <c r="B980" s="60"/>
      <c r="F980" s="74">
        <f ca="1">SUMIF(I$3:$BB979,"入库",I980:$BB980)</f>
        <v>0</v>
      </c>
      <c r="G980" s="24">
        <f ca="1">SUMIF(J$3:$BB979,"出库",J980:$BB980)</f>
        <v>0</v>
      </c>
      <c r="H980" s="27">
        <f ca="1" t="shared" si="19"/>
        <v>0</v>
      </c>
      <c r="AS980" s="95"/>
    </row>
    <row r="981" hidden="1" customHeight="1" spans="1:45">
      <c r="A981" s="78"/>
      <c r="B981" s="78"/>
      <c r="F981" s="74">
        <f ca="1">SUMIF(I$3:$BB980,"入库",I981:$BB981)</f>
        <v>0</v>
      </c>
      <c r="G981" s="24">
        <f ca="1">SUMIF(J$3:$BB980,"出库",J981:$BB981)</f>
        <v>0</v>
      </c>
      <c r="H981" s="27">
        <f ca="1" t="shared" si="19"/>
        <v>0</v>
      </c>
      <c r="AS981" s="95"/>
    </row>
    <row r="982" hidden="1" customHeight="1" spans="1:45">
      <c r="A982" s="63"/>
      <c r="B982" s="63"/>
      <c r="F982" s="74">
        <f ca="1">SUMIF(I$3:$BB981,"入库",I982:$BB982)</f>
        <v>0</v>
      </c>
      <c r="G982" s="24">
        <f ca="1">SUMIF(J$3:$BB981,"出库",J982:$BB982)</f>
        <v>0</v>
      </c>
      <c r="H982" s="27">
        <f ca="1" t="shared" si="19"/>
        <v>0</v>
      </c>
      <c r="AS982" s="95"/>
    </row>
    <row r="983" hidden="1" customHeight="1" spans="1:45">
      <c r="A983" s="60">
        <v>326</v>
      </c>
      <c r="B983" s="60"/>
      <c r="F983" s="74">
        <f ca="1">SUMIF(I$3:$BB982,"入库",I983:$BB983)</f>
        <v>0</v>
      </c>
      <c r="G983" s="24">
        <f ca="1">SUMIF(J$3:$BB982,"出库",J983:$BB983)</f>
        <v>0</v>
      </c>
      <c r="H983" s="27">
        <f ca="1" t="shared" si="19"/>
        <v>0</v>
      </c>
      <c r="AS983" s="95"/>
    </row>
    <row r="984" hidden="1" customHeight="1" spans="1:45">
      <c r="A984" s="78"/>
      <c r="B984" s="78"/>
      <c r="F984" s="74">
        <f ca="1">SUMIF(I$3:$BB983,"入库",I984:$BB984)</f>
        <v>0</v>
      </c>
      <c r="G984" s="24">
        <f ca="1">SUMIF(J$3:$BB983,"出库",J984:$BB984)</f>
        <v>0</v>
      </c>
      <c r="H984" s="27">
        <f ca="1" t="shared" si="19"/>
        <v>0</v>
      </c>
      <c r="AS984" s="95"/>
    </row>
    <row r="985" hidden="1" customHeight="1" spans="1:45">
      <c r="A985" s="63"/>
      <c r="B985" s="63"/>
      <c r="F985" s="74">
        <f ca="1">SUMIF(I$3:$BB984,"入库",I985:$BB985)</f>
        <v>0</v>
      </c>
      <c r="G985" s="24">
        <f ca="1">SUMIF(J$3:$BB984,"出库",J985:$BB985)</f>
        <v>0</v>
      </c>
      <c r="H985" s="27">
        <f ca="1" t="shared" si="19"/>
        <v>0</v>
      </c>
      <c r="AS985" s="95"/>
    </row>
    <row r="986" hidden="1" customHeight="1" spans="1:45">
      <c r="A986" s="60">
        <v>327</v>
      </c>
      <c r="B986" s="60"/>
      <c r="F986" s="74">
        <f ca="1">SUMIF(I$3:$BB985,"入库",I986:$BB986)</f>
        <v>0</v>
      </c>
      <c r="G986" s="24">
        <f ca="1">SUMIF(J$3:$BB985,"出库",J986:$BB986)</f>
        <v>0</v>
      </c>
      <c r="H986" s="27">
        <f ca="1" t="shared" si="19"/>
        <v>0</v>
      </c>
      <c r="AS986" s="95"/>
    </row>
    <row r="987" hidden="1" customHeight="1" spans="1:45">
      <c r="A987" s="78"/>
      <c r="B987" s="78"/>
      <c r="F987" s="74">
        <f ca="1">SUMIF(I$3:$BB986,"入库",I987:$BB987)</f>
        <v>0</v>
      </c>
      <c r="G987" s="24">
        <f ca="1">SUMIF(J$3:$BB986,"出库",J987:$BB987)</f>
        <v>0</v>
      </c>
      <c r="H987" s="27">
        <f ca="1" t="shared" si="19"/>
        <v>0</v>
      </c>
      <c r="AS987" s="95"/>
    </row>
    <row r="988" hidden="1" customHeight="1" spans="1:45">
      <c r="A988" s="63"/>
      <c r="B988" s="63"/>
      <c r="F988" s="74">
        <f ca="1">SUMIF(I$3:$BB987,"入库",I988:$BB988)</f>
        <v>0</v>
      </c>
      <c r="G988" s="24">
        <f ca="1">SUMIF(J$3:$BB987,"出库",J988:$BB988)</f>
        <v>0</v>
      </c>
      <c r="H988" s="27">
        <f ca="1" t="shared" si="19"/>
        <v>0</v>
      </c>
      <c r="AS988" s="95"/>
    </row>
    <row r="989" hidden="1" customHeight="1" spans="1:45">
      <c r="A989" s="60">
        <v>328</v>
      </c>
      <c r="B989" s="60"/>
      <c r="F989" s="74">
        <f ca="1">SUMIF(I$3:$BB988,"入库",I989:$BB989)</f>
        <v>0</v>
      </c>
      <c r="G989" s="24">
        <f ca="1">SUMIF(J$3:$BB988,"出库",J989:$BB989)</f>
        <v>0</v>
      </c>
      <c r="H989" s="27">
        <f ca="1" t="shared" si="19"/>
        <v>0</v>
      </c>
      <c r="AS989" s="95"/>
    </row>
    <row r="990" hidden="1" customHeight="1" spans="1:45">
      <c r="A990" s="78"/>
      <c r="B990" s="78"/>
      <c r="F990" s="74">
        <f ca="1">SUMIF(I$3:$BB989,"入库",I990:$BB990)</f>
        <v>0</v>
      </c>
      <c r="G990" s="24">
        <f ca="1">SUMIF(J$3:$BB989,"出库",J990:$BB990)</f>
        <v>0</v>
      </c>
      <c r="H990" s="27">
        <f ca="1" t="shared" si="19"/>
        <v>0</v>
      </c>
      <c r="AS990" s="95"/>
    </row>
    <row r="991" hidden="1" customHeight="1" spans="1:45">
      <c r="A991" s="63"/>
      <c r="B991" s="63"/>
      <c r="F991" s="74">
        <f ca="1">SUMIF(I$3:$BB990,"入库",I991:$BB991)</f>
        <v>0</v>
      </c>
      <c r="G991" s="24">
        <f ca="1">SUMIF(J$3:$BB990,"出库",J991:$BB991)</f>
        <v>0</v>
      </c>
      <c r="H991" s="27">
        <f ca="1" t="shared" si="19"/>
        <v>0</v>
      </c>
      <c r="AS991" s="95"/>
    </row>
    <row r="992" hidden="1" customHeight="1" spans="1:45">
      <c r="A992" s="60">
        <v>329</v>
      </c>
      <c r="B992" s="60"/>
      <c r="F992" s="74">
        <f ca="1">SUMIF(I$3:$BB991,"入库",I992:$BB992)</f>
        <v>0</v>
      </c>
      <c r="G992" s="24">
        <f ca="1">SUMIF(J$3:$BB991,"出库",J992:$BB992)</f>
        <v>0</v>
      </c>
      <c r="H992" s="27">
        <f ca="1" t="shared" si="19"/>
        <v>0</v>
      </c>
      <c r="AS992" s="95"/>
    </row>
    <row r="993" hidden="1" customHeight="1" spans="1:45">
      <c r="A993" s="78"/>
      <c r="B993" s="78"/>
      <c r="F993" s="74">
        <f ca="1">SUMIF(I$3:$BB992,"入库",I993:$BB993)</f>
        <v>0</v>
      </c>
      <c r="G993" s="24">
        <f ca="1">SUMIF(J$3:$BB992,"出库",J993:$BB993)</f>
        <v>0</v>
      </c>
      <c r="H993" s="27">
        <f ca="1" t="shared" si="19"/>
        <v>0</v>
      </c>
      <c r="AS993" s="95"/>
    </row>
    <row r="994" hidden="1" customHeight="1" spans="1:45">
      <c r="A994" s="63"/>
      <c r="B994" s="63"/>
      <c r="F994" s="74">
        <f ca="1">SUMIF(I$3:$BB993,"入库",I994:$BB994)</f>
        <v>0</v>
      </c>
      <c r="G994" s="24">
        <f ca="1">SUMIF(J$3:$BB993,"出库",J994:$BB994)</f>
        <v>0</v>
      </c>
      <c r="H994" s="27">
        <f ca="1" t="shared" si="19"/>
        <v>0</v>
      </c>
      <c r="AS994" s="95"/>
    </row>
    <row r="995" hidden="1" customHeight="1" spans="1:45">
      <c r="A995" s="60">
        <v>330</v>
      </c>
      <c r="B995" s="60"/>
      <c r="F995" s="74">
        <f ca="1">SUMIF(I$3:$BB994,"入库",I995:$BB995)</f>
        <v>0</v>
      </c>
      <c r="G995" s="24">
        <f ca="1">SUMIF(J$3:$BB994,"出库",J995:$BB995)</f>
        <v>0</v>
      </c>
      <c r="H995" s="27">
        <f ca="1" t="shared" si="19"/>
        <v>0</v>
      </c>
      <c r="AS995" s="95"/>
    </row>
    <row r="996" hidden="1" customHeight="1" spans="1:45">
      <c r="A996" s="78"/>
      <c r="B996" s="78"/>
      <c r="F996" s="74">
        <f ca="1">SUMIF(I$3:$BB995,"入库",I996:$BB996)</f>
        <v>0</v>
      </c>
      <c r="G996" s="24">
        <f ca="1">SUMIF(J$3:$BB995,"出库",J996:$BB996)</f>
        <v>0</v>
      </c>
      <c r="H996" s="27">
        <f ca="1" t="shared" si="19"/>
        <v>0</v>
      </c>
      <c r="AS996" s="95"/>
    </row>
    <row r="997" hidden="1" customHeight="1" spans="1:45">
      <c r="A997" s="63"/>
      <c r="B997" s="63"/>
      <c r="F997" s="74">
        <f ca="1">SUMIF(I$3:$BB996,"入库",I997:$BB997)</f>
        <v>0</v>
      </c>
      <c r="G997" s="24">
        <f ca="1">SUMIF(J$3:$BB996,"出库",J997:$BB997)</f>
        <v>0</v>
      </c>
      <c r="H997" s="27">
        <f ca="1" t="shared" si="19"/>
        <v>0</v>
      </c>
      <c r="AS997" s="95"/>
    </row>
    <row r="998" hidden="1" customHeight="1" spans="1:45">
      <c r="A998" s="60">
        <v>331</v>
      </c>
      <c r="B998" s="60"/>
      <c r="F998" s="74">
        <f ca="1">SUMIF(I$3:$BB997,"入库",I998:$BB998)</f>
        <v>0</v>
      </c>
      <c r="G998" s="24">
        <f ca="1">SUMIF(J$3:$BB997,"出库",J998:$BB998)</f>
        <v>0</v>
      </c>
      <c r="H998" s="27">
        <f ca="1" t="shared" si="19"/>
        <v>0</v>
      </c>
      <c r="AS998" s="95"/>
    </row>
    <row r="999" hidden="1" customHeight="1" spans="1:45">
      <c r="A999" s="78"/>
      <c r="B999" s="78"/>
      <c r="F999" s="74">
        <f ca="1">SUMIF(I$3:$BB998,"入库",I999:$BB999)</f>
        <v>0</v>
      </c>
      <c r="G999" s="24">
        <f ca="1">SUMIF(J$3:$BB998,"出库",J999:$BB999)</f>
        <v>0</v>
      </c>
      <c r="H999" s="27">
        <f ca="1" t="shared" si="19"/>
        <v>0</v>
      </c>
      <c r="AS999" s="95"/>
    </row>
    <row r="1000" hidden="1" customHeight="1" spans="1:45">
      <c r="A1000" s="63"/>
      <c r="B1000" s="63"/>
      <c r="F1000" s="74">
        <f ca="1">SUMIF(I$3:$BB999,"入库",I1000:$BB1000)</f>
        <v>0</v>
      </c>
      <c r="G1000" s="24">
        <f ca="1">SUMIF(J$3:$BB999,"出库",J1000:$BB1000)</f>
        <v>0</v>
      </c>
      <c r="H1000" s="27">
        <f ca="1" t="shared" si="19"/>
        <v>0</v>
      </c>
      <c r="AS1000" s="95"/>
    </row>
    <row r="1001" hidden="1" customHeight="1" spans="1:45">
      <c r="A1001" s="60">
        <v>332</v>
      </c>
      <c r="B1001" s="60"/>
      <c r="F1001" s="74">
        <f ca="1">SUMIF(I$3:$BB1000,"入库",I1001:$BB1001)</f>
        <v>0</v>
      </c>
      <c r="G1001" s="24">
        <f ca="1">SUMIF(J$3:$BB1000,"出库",J1001:$BB1001)</f>
        <v>0</v>
      </c>
      <c r="H1001" s="27">
        <f ca="1" t="shared" si="19"/>
        <v>0</v>
      </c>
      <c r="AS1001" s="95"/>
    </row>
    <row r="1002" hidden="1" customHeight="1" spans="1:45">
      <c r="A1002" s="78"/>
      <c r="B1002" s="78"/>
      <c r="F1002" s="74">
        <f ca="1">SUMIF(I$3:$BB1001,"入库",I1002:$BB1002)</f>
        <v>0</v>
      </c>
      <c r="G1002" s="24">
        <f ca="1">SUMIF(J$3:$BB1001,"出库",J1002:$BB1002)</f>
        <v>0</v>
      </c>
      <c r="H1002" s="27">
        <f ca="1" t="shared" si="19"/>
        <v>0</v>
      </c>
      <c r="AS1002" s="95"/>
    </row>
    <row r="1003" hidden="1" customHeight="1" spans="1:45">
      <c r="A1003" s="63"/>
      <c r="B1003" s="63"/>
      <c r="F1003" s="74">
        <f ca="1">SUMIF(I$3:$BB1002,"入库",I1003:$BB1003)</f>
        <v>0</v>
      </c>
      <c r="G1003" s="24">
        <f ca="1">SUMIF(J$3:$BB1002,"出库",J1003:$BB1003)</f>
        <v>0</v>
      </c>
      <c r="H1003" s="27">
        <f ca="1" t="shared" si="19"/>
        <v>0</v>
      </c>
      <c r="AS1003" s="95"/>
    </row>
    <row r="1004" hidden="1" customHeight="1" spans="1:45">
      <c r="A1004" s="60">
        <v>333</v>
      </c>
      <c r="B1004" s="60"/>
      <c r="F1004" s="74">
        <f ca="1">SUMIF(I$3:$BB1003,"入库",I1004:$BB1004)</f>
        <v>0</v>
      </c>
      <c r="G1004" s="24">
        <f ca="1">SUMIF(J$3:$BB1003,"出库",J1004:$BB1004)</f>
        <v>0</v>
      </c>
      <c r="H1004" s="27">
        <f ca="1" t="shared" si="19"/>
        <v>0</v>
      </c>
      <c r="AS1004" s="95"/>
    </row>
    <row r="1005" hidden="1" customHeight="1" spans="1:45">
      <c r="A1005" s="78"/>
      <c r="B1005" s="78"/>
      <c r="F1005" s="74">
        <f ca="1">SUMIF(I$3:$BB1004,"入库",I1005:$BB1005)</f>
        <v>0</v>
      </c>
      <c r="G1005" s="24">
        <f ca="1">SUMIF(J$3:$BB1004,"出库",J1005:$BB1005)</f>
        <v>0</v>
      </c>
      <c r="H1005" s="27">
        <f ca="1" t="shared" si="19"/>
        <v>0</v>
      </c>
      <c r="AS1005" s="95"/>
    </row>
    <row r="1006" hidden="1" customHeight="1" spans="1:45">
      <c r="A1006" s="63"/>
      <c r="B1006" s="63"/>
      <c r="F1006" s="74">
        <f ca="1">SUMIF(I$3:$BB1005,"入库",I1006:$BB1006)</f>
        <v>0</v>
      </c>
      <c r="G1006" s="24">
        <f ca="1">SUMIF(J$3:$BB1005,"出库",J1006:$BB1006)</f>
        <v>0</v>
      </c>
      <c r="H1006" s="27">
        <f ca="1" t="shared" si="19"/>
        <v>0</v>
      </c>
      <c r="AS1006" s="95"/>
    </row>
    <row r="1007" hidden="1" customHeight="1" spans="1:45">
      <c r="A1007" s="60">
        <v>334</v>
      </c>
      <c r="B1007" s="60"/>
      <c r="F1007" s="74">
        <f ca="1">SUMIF(I$3:$BB1006,"入库",I1007:$BB1007)</f>
        <v>0</v>
      </c>
      <c r="G1007" s="24">
        <f ca="1">SUMIF(J$3:$BB1006,"出库",J1007:$BB1007)</f>
        <v>0</v>
      </c>
      <c r="H1007" s="27">
        <f ca="1" t="shared" si="19"/>
        <v>0</v>
      </c>
      <c r="AS1007" s="95"/>
    </row>
    <row r="1008" hidden="1" customHeight="1" spans="1:45">
      <c r="A1008" s="78"/>
      <c r="B1008" s="78"/>
      <c r="F1008" s="74">
        <f ca="1">SUMIF(I$3:$BB1007,"入库",I1008:$BB1008)</f>
        <v>0</v>
      </c>
      <c r="G1008" s="24">
        <f ca="1">SUMIF(J$3:$BB1007,"出库",J1008:$BB1008)</f>
        <v>0</v>
      </c>
      <c r="H1008" s="27">
        <f ca="1" t="shared" si="19"/>
        <v>0</v>
      </c>
      <c r="AS1008" s="95"/>
    </row>
    <row r="1009" hidden="1" customHeight="1" spans="1:45">
      <c r="A1009" s="63"/>
      <c r="B1009" s="63"/>
      <c r="F1009" s="74">
        <f ca="1">SUMIF(I$3:$BB1008,"入库",I1009:$BB1009)</f>
        <v>0</v>
      </c>
      <c r="G1009" s="24">
        <f ca="1">SUMIF(J$3:$BB1008,"出库",J1009:$BB1009)</f>
        <v>0</v>
      </c>
      <c r="H1009" s="27">
        <f ca="1" t="shared" si="19"/>
        <v>0</v>
      </c>
      <c r="AS1009" s="95"/>
    </row>
    <row r="1010" hidden="1" customHeight="1" spans="1:45">
      <c r="A1010" s="60">
        <v>335</v>
      </c>
      <c r="B1010" s="60"/>
      <c r="F1010" s="74">
        <f ca="1">SUMIF(I$3:$BB1009,"入库",I1010:$BB1010)</f>
        <v>0</v>
      </c>
      <c r="G1010" s="24">
        <f ca="1">SUMIF(J$3:$BB1009,"出库",J1010:$BB1010)</f>
        <v>0</v>
      </c>
      <c r="H1010" s="27">
        <f ca="1" t="shared" si="19"/>
        <v>0</v>
      </c>
      <c r="AS1010" s="95"/>
    </row>
    <row r="1011" hidden="1" customHeight="1" spans="1:45">
      <c r="A1011" s="78"/>
      <c r="B1011" s="78"/>
      <c r="F1011" s="74">
        <f ca="1">SUMIF(I$3:$BB1010,"入库",I1011:$BB1011)</f>
        <v>0</v>
      </c>
      <c r="G1011" s="24">
        <f ca="1">SUMIF(J$3:$BB1010,"出库",J1011:$BB1011)</f>
        <v>0</v>
      </c>
      <c r="H1011" s="27">
        <f ca="1" t="shared" si="19"/>
        <v>0</v>
      </c>
      <c r="AS1011" s="95"/>
    </row>
    <row r="1012" hidden="1" customHeight="1" spans="1:45">
      <c r="A1012" s="63"/>
      <c r="B1012" s="63"/>
      <c r="F1012" s="74">
        <f ca="1">SUMIF(I$3:$BB1011,"入库",I1012:$BB1012)</f>
        <v>0</v>
      </c>
      <c r="G1012" s="24">
        <f ca="1">SUMIF(J$3:$BB1011,"出库",J1012:$BB1012)</f>
        <v>0</v>
      </c>
      <c r="H1012" s="27">
        <f ca="1" t="shared" si="19"/>
        <v>0</v>
      </c>
      <c r="AS1012" s="95"/>
    </row>
    <row r="1013" hidden="1" customHeight="1" spans="1:45">
      <c r="A1013" s="60">
        <v>336</v>
      </c>
      <c r="B1013" s="60"/>
      <c r="F1013" s="74">
        <f ca="1">SUMIF(I$3:$BB1012,"入库",I1013:$BB1013)</f>
        <v>0</v>
      </c>
      <c r="G1013" s="24">
        <f ca="1">SUMIF(J$3:$BB1012,"出库",J1013:$BB1013)</f>
        <v>0</v>
      </c>
      <c r="H1013" s="27">
        <f ca="1" t="shared" si="19"/>
        <v>0</v>
      </c>
      <c r="AS1013" s="95"/>
    </row>
    <row r="1014" hidden="1" customHeight="1" spans="1:45">
      <c r="A1014" s="78"/>
      <c r="B1014" s="78"/>
      <c r="F1014" s="74">
        <f ca="1">SUMIF(I$3:$BB1013,"入库",I1014:$BB1014)</f>
        <v>0</v>
      </c>
      <c r="G1014" s="24">
        <f ca="1">SUMIF(J$3:$BB1013,"出库",J1014:$BB1014)</f>
        <v>0</v>
      </c>
      <c r="H1014" s="27">
        <f ca="1" t="shared" ref="H1014:H1077" si="20">E1014+F1014-G1014</f>
        <v>0</v>
      </c>
      <c r="AS1014" s="95"/>
    </row>
    <row r="1015" hidden="1" customHeight="1" spans="1:45">
      <c r="A1015" s="63"/>
      <c r="B1015" s="63"/>
      <c r="F1015" s="74">
        <f ca="1">SUMIF(I$3:$BB1014,"入库",I1015:$BB1015)</f>
        <v>0</v>
      </c>
      <c r="G1015" s="24">
        <f ca="1">SUMIF(J$3:$BB1014,"出库",J1015:$BB1015)</f>
        <v>0</v>
      </c>
      <c r="H1015" s="27">
        <f ca="1" t="shared" si="20"/>
        <v>0</v>
      </c>
      <c r="AS1015" s="95"/>
    </row>
    <row r="1016" hidden="1" customHeight="1" spans="1:45">
      <c r="A1016" s="60">
        <v>337</v>
      </c>
      <c r="B1016" s="60"/>
      <c r="F1016" s="74">
        <f ca="1">SUMIF(I$3:$BB1015,"入库",I1016:$BB1016)</f>
        <v>0</v>
      </c>
      <c r="G1016" s="24">
        <f ca="1">SUMIF(J$3:$BB1015,"出库",J1016:$BB1016)</f>
        <v>0</v>
      </c>
      <c r="H1016" s="27">
        <f ca="1" t="shared" si="20"/>
        <v>0</v>
      </c>
      <c r="AS1016" s="95"/>
    </row>
    <row r="1017" hidden="1" customHeight="1" spans="1:45">
      <c r="A1017" s="78"/>
      <c r="B1017" s="78"/>
      <c r="F1017" s="74">
        <f ca="1">SUMIF(I$3:$BB1016,"入库",I1017:$BB1017)</f>
        <v>0</v>
      </c>
      <c r="G1017" s="24">
        <f ca="1">SUMIF(J$3:$BB1016,"出库",J1017:$BB1017)</f>
        <v>0</v>
      </c>
      <c r="H1017" s="27">
        <f ca="1" t="shared" si="20"/>
        <v>0</v>
      </c>
      <c r="AS1017" s="95"/>
    </row>
    <row r="1018" hidden="1" customHeight="1" spans="1:45">
      <c r="A1018" s="63"/>
      <c r="B1018" s="63"/>
      <c r="F1018" s="74">
        <f ca="1">SUMIF(I$3:$BB1017,"入库",I1018:$BB1018)</f>
        <v>0</v>
      </c>
      <c r="G1018" s="24">
        <f ca="1">SUMIF(J$3:$BB1017,"出库",J1018:$BB1018)</f>
        <v>0</v>
      </c>
      <c r="H1018" s="27">
        <f ca="1" t="shared" si="20"/>
        <v>0</v>
      </c>
      <c r="AS1018" s="95"/>
    </row>
    <row r="1019" hidden="1" customHeight="1" spans="1:45">
      <c r="A1019" s="60">
        <v>338</v>
      </c>
      <c r="B1019" s="60"/>
      <c r="F1019" s="74">
        <f ca="1">SUMIF(I$3:$BB1018,"入库",I1019:$BB1019)</f>
        <v>0</v>
      </c>
      <c r="G1019" s="24">
        <f ca="1">SUMIF(J$3:$BB1018,"出库",J1019:$BB1019)</f>
        <v>0</v>
      </c>
      <c r="H1019" s="27">
        <f ca="1" t="shared" si="20"/>
        <v>0</v>
      </c>
      <c r="AS1019" s="95"/>
    </row>
    <row r="1020" hidden="1" customHeight="1" spans="1:45">
      <c r="A1020" s="78"/>
      <c r="B1020" s="78"/>
      <c r="F1020" s="74">
        <f ca="1">SUMIF(I$3:$BB1019,"入库",I1020:$BB1020)</f>
        <v>0</v>
      </c>
      <c r="G1020" s="24">
        <f ca="1">SUMIF(J$3:$BB1019,"出库",J1020:$BB1020)</f>
        <v>0</v>
      </c>
      <c r="H1020" s="27">
        <f ca="1" t="shared" si="20"/>
        <v>0</v>
      </c>
      <c r="AS1020" s="95"/>
    </row>
    <row r="1021" hidden="1" customHeight="1" spans="1:45">
      <c r="A1021" s="63"/>
      <c r="B1021" s="63"/>
      <c r="F1021" s="74">
        <f ca="1">SUMIF(I$3:$BB1020,"入库",I1021:$BB1021)</f>
        <v>0</v>
      </c>
      <c r="G1021" s="24">
        <f ca="1">SUMIF(J$3:$BB1020,"出库",J1021:$BB1021)</f>
        <v>0</v>
      </c>
      <c r="H1021" s="27">
        <f ca="1" t="shared" si="20"/>
        <v>0</v>
      </c>
      <c r="AS1021" s="95"/>
    </row>
    <row r="1022" hidden="1" customHeight="1" spans="1:45">
      <c r="A1022" s="60">
        <v>339</v>
      </c>
      <c r="B1022" s="60"/>
      <c r="F1022" s="74">
        <f ca="1">SUMIF(I$3:$BB1021,"入库",I1022:$BB1022)</f>
        <v>0</v>
      </c>
      <c r="G1022" s="24">
        <f ca="1">SUMIF(J$3:$BB1021,"出库",J1022:$BB1022)</f>
        <v>0</v>
      </c>
      <c r="H1022" s="27">
        <f ca="1" t="shared" si="20"/>
        <v>0</v>
      </c>
      <c r="AS1022" s="95"/>
    </row>
    <row r="1023" hidden="1" customHeight="1" spans="1:45">
      <c r="A1023" s="78"/>
      <c r="B1023" s="78"/>
      <c r="F1023" s="74">
        <f ca="1">SUMIF(I$3:$BB1022,"入库",I1023:$BB1023)</f>
        <v>0</v>
      </c>
      <c r="G1023" s="24">
        <f ca="1">SUMIF(J$3:$BB1022,"出库",J1023:$BB1023)</f>
        <v>0</v>
      </c>
      <c r="H1023" s="27">
        <f ca="1" t="shared" si="20"/>
        <v>0</v>
      </c>
      <c r="AS1023" s="95"/>
    </row>
    <row r="1024" hidden="1" customHeight="1" spans="1:45">
      <c r="A1024" s="63"/>
      <c r="B1024" s="63"/>
      <c r="F1024" s="74">
        <f ca="1">SUMIF(I$3:$BB1023,"入库",I1024:$BB1024)</f>
        <v>0</v>
      </c>
      <c r="G1024" s="24">
        <f ca="1">SUMIF(J$3:$BB1023,"出库",J1024:$BB1024)</f>
        <v>0</v>
      </c>
      <c r="H1024" s="27">
        <f ca="1" t="shared" si="20"/>
        <v>0</v>
      </c>
      <c r="AS1024" s="95"/>
    </row>
    <row r="1025" hidden="1" customHeight="1" spans="1:45">
      <c r="A1025" s="60">
        <v>340</v>
      </c>
      <c r="B1025" s="60"/>
      <c r="F1025" s="74">
        <f ca="1">SUMIF(I$3:$BB1024,"入库",I1025:$BB1025)</f>
        <v>0</v>
      </c>
      <c r="G1025" s="24">
        <f ca="1">SUMIF(J$3:$BB1024,"出库",J1025:$BB1025)</f>
        <v>0</v>
      </c>
      <c r="H1025" s="27">
        <f ca="1" t="shared" si="20"/>
        <v>0</v>
      </c>
      <c r="AS1025" s="95"/>
    </row>
    <row r="1026" hidden="1" customHeight="1" spans="1:45">
      <c r="A1026" s="78"/>
      <c r="B1026" s="78"/>
      <c r="F1026" s="74">
        <f ca="1">SUMIF(I$3:$BB1025,"入库",I1026:$BB1026)</f>
        <v>0</v>
      </c>
      <c r="G1026" s="24">
        <f ca="1">SUMIF(J$3:$BB1025,"出库",J1026:$BB1026)</f>
        <v>0</v>
      </c>
      <c r="H1026" s="27">
        <f ca="1" t="shared" si="20"/>
        <v>0</v>
      </c>
      <c r="AS1026" s="95"/>
    </row>
    <row r="1027" hidden="1" customHeight="1" spans="1:45">
      <c r="A1027" s="63"/>
      <c r="B1027" s="63"/>
      <c r="F1027" s="74">
        <f ca="1">SUMIF(I$3:$BB1026,"入库",I1027:$BB1027)</f>
        <v>0</v>
      </c>
      <c r="G1027" s="24">
        <f ca="1">SUMIF(J$3:$BB1026,"出库",J1027:$BB1027)</f>
        <v>0</v>
      </c>
      <c r="H1027" s="27">
        <f ca="1" t="shared" si="20"/>
        <v>0</v>
      </c>
      <c r="AS1027" s="95"/>
    </row>
    <row r="1028" hidden="1" customHeight="1" spans="1:45">
      <c r="A1028" s="60">
        <v>341</v>
      </c>
      <c r="B1028" s="60"/>
      <c r="F1028" s="74">
        <f ca="1">SUMIF(I$3:$BB1027,"入库",I1028:$BB1028)</f>
        <v>0</v>
      </c>
      <c r="G1028" s="24">
        <f ca="1">SUMIF(J$3:$BB1027,"出库",J1028:$BB1028)</f>
        <v>0</v>
      </c>
      <c r="H1028" s="27">
        <f ca="1" t="shared" si="20"/>
        <v>0</v>
      </c>
      <c r="AS1028" s="95"/>
    </row>
    <row r="1029" hidden="1" customHeight="1" spans="1:45">
      <c r="A1029" s="78"/>
      <c r="B1029" s="78"/>
      <c r="F1029" s="74">
        <f ca="1">SUMIF(I$3:$BB1028,"入库",I1029:$BB1029)</f>
        <v>0</v>
      </c>
      <c r="G1029" s="24">
        <f ca="1">SUMIF(J$3:$BB1028,"出库",J1029:$BB1029)</f>
        <v>0</v>
      </c>
      <c r="H1029" s="27">
        <f ca="1" t="shared" si="20"/>
        <v>0</v>
      </c>
      <c r="AS1029" s="95"/>
    </row>
    <row r="1030" hidden="1" customHeight="1" spans="1:45">
      <c r="A1030" s="63"/>
      <c r="B1030" s="63"/>
      <c r="F1030" s="74">
        <f ca="1">SUMIF(I$3:$BB1029,"入库",I1030:$BB1030)</f>
        <v>0</v>
      </c>
      <c r="G1030" s="24">
        <f ca="1">SUMIF(J$3:$BB1029,"出库",J1030:$BB1030)</f>
        <v>0</v>
      </c>
      <c r="H1030" s="27">
        <f ca="1" t="shared" si="20"/>
        <v>0</v>
      </c>
      <c r="AS1030" s="95"/>
    </row>
    <row r="1031" hidden="1" customHeight="1" spans="1:45">
      <c r="A1031" s="60">
        <v>342</v>
      </c>
      <c r="B1031" s="60"/>
      <c r="F1031" s="74">
        <f ca="1">SUMIF(I$3:$BB1030,"入库",I1031:$BB1031)</f>
        <v>0</v>
      </c>
      <c r="G1031" s="24">
        <f ca="1">SUMIF(J$3:$BB1030,"出库",J1031:$BB1031)</f>
        <v>0</v>
      </c>
      <c r="H1031" s="27">
        <f ca="1" t="shared" si="20"/>
        <v>0</v>
      </c>
      <c r="AS1031" s="95"/>
    </row>
    <row r="1032" hidden="1" customHeight="1" spans="1:45">
      <c r="A1032" s="78"/>
      <c r="B1032" s="78"/>
      <c r="F1032" s="74">
        <f ca="1">SUMIF(I$3:$BB1031,"入库",I1032:$BB1032)</f>
        <v>0</v>
      </c>
      <c r="G1032" s="24">
        <f ca="1">SUMIF(J$3:$BB1031,"出库",J1032:$BB1032)</f>
        <v>0</v>
      </c>
      <c r="H1032" s="27">
        <f ca="1" t="shared" si="20"/>
        <v>0</v>
      </c>
      <c r="AS1032" s="95"/>
    </row>
    <row r="1033" hidden="1" customHeight="1" spans="1:45">
      <c r="A1033" s="63"/>
      <c r="B1033" s="63"/>
      <c r="F1033" s="74">
        <f ca="1">SUMIF(I$3:$BB1032,"入库",I1033:$BB1033)</f>
        <v>0</v>
      </c>
      <c r="G1033" s="24">
        <f ca="1">SUMIF(J$3:$BB1032,"出库",J1033:$BB1033)</f>
        <v>0</v>
      </c>
      <c r="H1033" s="27">
        <f ca="1" t="shared" si="20"/>
        <v>0</v>
      </c>
      <c r="AS1033" s="95"/>
    </row>
    <row r="1034" hidden="1" customHeight="1" spans="1:45">
      <c r="A1034" s="60">
        <v>343</v>
      </c>
      <c r="B1034" s="60"/>
      <c r="F1034" s="74">
        <f ca="1">SUMIF(I$3:$BB1033,"入库",I1034:$BB1034)</f>
        <v>0</v>
      </c>
      <c r="G1034" s="24">
        <f ca="1">SUMIF(J$3:$BB1033,"出库",J1034:$BB1034)</f>
        <v>0</v>
      </c>
      <c r="H1034" s="27">
        <f ca="1" t="shared" si="20"/>
        <v>0</v>
      </c>
      <c r="AS1034" s="95"/>
    </row>
    <row r="1035" hidden="1" customHeight="1" spans="1:45">
      <c r="A1035" s="78"/>
      <c r="B1035" s="78"/>
      <c r="F1035" s="74">
        <f ca="1">SUMIF(I$3:$BB1034,"入库",I1035:$BB1035)</f>
        <v>0</v>
      </c>
      <c r="G1035" s="24">
        <f ca="1">SUMIF(J$3:$BB1034,"出库",J1035:$BB1035)</f>
        <v>0</v>
      </c>
      <c r="H1035" s="27">
        <f ca="1" t="shared" si="20"/>
        <v>0</v>
      </c>
      <c r="AS1035" s="95"/>
    </row>
    <row r="1036" hidden="1" customHeight="1" spans="1:45">
      <c r="A1036" s="63"/>
      <c r="B1036" s="63"/>
      <c r="F1036" s="74">
        <f ca="1">SUMIF(I$3:$BB1035,"入库",I1036:$BB1036)</f>
        <v>0</v>
      </c>
      <c r="G1036" s="24">
        <f ca="1">SUMIF(J$3:$BB1035,"出库",J1036:$BB1036)</f>
        <v>0</v>
      </c>
      <c r="H1036" s="27">
        <f ca="1" t="shared" si="20"/>
        <v>0</v>
      </c>
      <c r="AS1036" s="95"/>
    </row>
    <row r="1037" hidden="1" customHeight="1" spans="1:45">
      <c r="A1037" s="60">
        <v>344</v>
      </c>
      <c r="B1037" s="60"/>
      <c r="F1037" s="74">
        <f ca="1">SUMIF(I$3:$BB1036,"入库",I1037:$BB1037)</f>
        <v>0</v>
      </c>
      <c r="G1037" s="24">
        <f ca="1">SUMIF(J$3:$BB1036,"出库",J1037:$BB1037)</f>
        <v>0</v>
      </c>
      <c r="H1037" s="27">
        <f ca="1" t="shared" si="20"/>
        <v>0</v>
      </c>
      <c r="AS1037" s="95"/>
    </row>
    <row r="1038" hidden="1" customHeight="1" spans="1:45">
      <c r="A1038" s="78"/>
      <c r="B1038" s="78"/>
      <c r="F1038" s="74">
        <f ca="1">SUMIF(I$3:$BB1037,"入库",I1038:$BB1038)</f>
        <v>0</v>
      </c>
      <c r="G1038" s="24">
        <f ca="1">SUMIF(J$3:$BB1037,"出库",J1038:$BB1038)</f>
        <v>0</v>
      </c>
      <c r="H1038" s="27">
        <f ca="1" t="shared" si="20"/>
        <v>0</v>
      </c>
      <c r="AS1038" s="95"/>
    </row>
    <row r="1039" hidden="1" customHeight="1" spans="1:45">
      <c r="A1039" s="63"/>
      <c r="B1039" s="63"/>
      <c r="F1039" s="74">
        <f ca="1">SUMIF(I$3:$BB1038,"入库",I1039:$BB1039)</f>
        <v>0</v>
      </c>
      <c r="G1039" s="24">
        <f ca="1">SUMIF(J$3:$BB1038,"出库",J1039:$BB1039)</f>
        <v>0</v>
      </c>
      <c r="H1039" s="27">
        <f ca="1" t="shared" si="20"/>
        <v>0</v>
      </c>
      <c r="AS1039" s="95"/>
    </row>
    <row r="1040" hidden="1" customHeight="1" spans="1:45">
      <c r="A1040" s="60">
        <v>345</v>
      </c>
      <c r="B1040" s="60"/>
      <c r="F1040" s="74">
        <f ca="1">SUMIF(I$3:$BB1039,"入库",I1040:$BB1040)</f>
        <v>0</v>
      </c>
      <c r="G1040" s="24">
        <f ca="1">SUMIF(J$3:$BB1039,"出库",J1040:$BB1040)</f>
        <v>0</v>
      </c>
      <c r="H1040" s="27">
        <f ca="1" t="shared" si="20"/>
        <v>0</v>
      </c>
      <c r="AS1040" s="95"/>
    </row>
    <row r="1041" hidden="1" customHeight="1" spans="1:45">
      <c r="A1041" s="78"/>
      <c r="B1041" s="78"/>
      <c r="F1041" s="74">
        <f ca="1">SUMIF(I$3:$BB1040,"入库",I1041:$BB1041)</f>
        <v>0</v>
      </c>
      <c r="G1041" s="24">
        <f ca="1">SUMIF(J$3:$BB1040,"出库",J1041:$BB1041)</f>
        <v>0</v>
      </c>
      <c r="H1041" s="27">
        <f ca="1" t="shared" si="20"/>
        <v>0</v>
      </c>
      <c r="AS1041" s="95"/>
    </row>
    <row r="1042" hidden="1" customHeight="1" spans="1:45">
      <c r="A1042" s="63"/>
      <c r="B1042" s="63"/>
      <c r="F1042" s="74">
        <f ca="1">SUMIF(I$3:$BB1041,"入库",I1042:$BB1042)</f>
        <v>0</v>
      </c>
      <c r="G1042" s="24">
        <f ca="1">SUMIF(J$3:$BB1041,"出库",J1042:$BB1042)</f>
        <v>0</v>
      </c>
      <c r="H1042" s="27">
        <f ca="1" t="shared" si="20"/>
        <v>0</v>
      </c>
      <c r="AS1042" s="95"/>
    </row>
    <row r="1043" hidden="1" customHeight="1" spans="1:45">
      <c r="A1043" s="60">
        <v>346</v>
      </c>
      <c r="B1043" s="60"/>
      <c r="F1043" s="74">
        <f ca="1">SUMIF(I$3:$BB1042,"入库",I1043:$BB1043)</f>
        <v>0</v>
      </c>
      <c r="G1043" s="24">
        <f ca="1">SUMIF(J$3:$BB1042,"出库",J1043:$BB1043)</f>
        <v>0</v>
      </c>
      <c r="H1043" s="27">
        <f ca="1" t="shared" si="20"/>
        <v>0</v>
      </c>
      <c r="AS1043" s="95"/>
    </row>
    <row r="1044" hidden="1" customHeight="1" spans="1:45">
      <c r="A1044" s="78"/>
      <c r="B1044" s="78"/>
      <c r="F1044" s="74">
        <f ca="1">SUMIF(I$3:$BB1043,"入库",I1044:$BB1044)</f>
        <v>0</v>
      </c>
      <c r="G1044" s="24">
        <f ca="1">SUMIF(J$3:$BB1043,"出库",J1044:$BB1044)</f>
        <v>0</v>
      </c>
      <c r="H1044" s="27">
        <f ca="1" t="shared" si="20"/>
        <v>0</v>
      </c>
      <c r="AS1044" s="95"/>
    </row>
    <row r="1045" hidden="1" customHeight="1" spans="1:45">
      <c r="A1045" s="63"/>
      <c r="B1045" s="63"/>
      <c r="F1045" s="74">
        <f ca="1">SUMIF(I$3:$BB1044,"入库",I1045:$BB1045)</f>
        <v>0</v>
      </c>
      <c r="G1045" s="24">
        <f ca="1">SUMIF(J$3:$BB1044,"出库",J1045:$BB1045)</f>
        <v>0</v>
      </c>
      <c r="H1045" s="27">
        <f ca="1" t="shared" si="20"/>
        <v>0</v>
      </c>
      <c r="AS1045" s="95"/>
    </row>
    <row r="1046" hidden="1" customHeight="1" spans="1:45">
      <c r="A1046" s="60">
        <v>347</v>
      </c>
      <c r="B1046" s="60"/>
      <c r="F1046" s="74">
        <f ca="1">SUMIF(I$3:$BB1045,"入库",I1046:$BB1046)</f>
        <v>0</v>
      </c>
      <c r="G1046" s="24">
        <f ca="1">SUMIF(J$3:$BB1045,"出库",J1046:$BB1046)</f>
        <v>0</v>
      </c>
      <c r="H1046" s="27">
        <f ca="1" t="shared" si="20"/>
        <v>0</v>
      </c>
      <c r="AS1046" s="95"/>
    </row>
    <row r="1047" hidden="1" customHeight="1" spans="1:45">
      <c r="A1047" s="78"/>
      <c r="B1047" s="78"/>
      <c r="F1047" s="74">
        <f ca="1">SUMIF(I$3:$BB1046,"入库",I1047:$BB1047)</f>
        <v>0</v>
      </c>
      <c r="G1047" s="24">
        <f ca="1">SUMIF(J$3:$BB1046,"出库",J1047:$BB1047)</f>
        <v>0</v>
      </c>
      <c r="H1047" s="27">
        <f ca="1" t="shared" si="20"/>
        <v>0</v>
      </c>
      <c r="AS1047" s="95"/>
    </row>
    <row r="1048" hidden="1" customHeight="1" spans="1:45">
      <c r="A1048" s="63"/>
      <c r="B1048" s="63"/>
      <c r="F1048" s="74">
        <f ca="1">SUMIF(I$3:$BB1047,"入库",I1048:$BB1048)</f>
        <v>0</v>
      </c>
      <c r="G1048" s="24">
        <f ca="1">SUMIF(J$3:$BB1047,"出库",J1048:$BB1048)</f>
        <v>0</v>
      </c>
      <c r="H1048" s="27">
        <f ca="1" t="shared" si="20"/>
        <v>0</v>
      </c>
      <c r="AS1048" s="95"/>
    </row>
    <row r="1049" hidden="1" customHeight="1" spans="1:45">
      <c r="A1049" s="60"/>
      <c r="B1049" s="60"/>
      <c r="F1049" s="74">
        <f ca="1">SUMIF(I$3:$BB1048,"入库",I1049:$BB1049)</f>
        <v>0</v>
      </c>
      <c r="G1049" s="24">
        <f ca="1">SUMIF(J$3:$BB1048,"出库",J1049:$BB1049)</f>
        <v>0</v>
      </c>
      <c r="H1049" s="27">
        <f ca="1" t="shared" si="20"/>
        <v>0</v>
      </c>
      <c r="AS1049" s="95"/>
    </row>
    <row r="1050" hidden="1" customHeight="1" spans="1:45">
      <c r="A1050" s="78"/>
      <c r="B1050" s="78"/>
      <c r="F1050" s="74">
        <f ca="1">SUMIF(I$3:$BB1049,"入库",I1050:$BB1050)</f>
        <v>0</v>
      </c>
      <c r="G1050" s="24">
        <f ca="1">SUMIF(J$3:$BB1049,"出库",J1050:$BB1050)</f>
        <v>0</v>
      </c>
      <c r="H1050" s="27">
        <f ca="1" t="shared" si="20"/>
        <v>0</v>
      </c>
      <c r="AS1050" s="95"/>
    </row>
    <row r="1051" hidden="1" customHeight="1" spans="1:45">
      <c r="A1051" s="63"/>
      <c r="B1051" s="63"/>
      <c r="F1051" s="74">
        <f ca="1">SUMIF(I$3:$BB1050,"入库",I1051:$BB1051)</f>
        <v>0</v>
      </c>
      <c r="G1051" s="24">
        <f ca="1">SUMIF(J$3:$BB1050,"出库",J1051:$BB1051)</f>
        <v>0</v>
      </c>
      <c r="H1051" s="27">
        <f ca="1" t="shared" si="20"/>
        <v>0</v>
      </c>
      <c r="AS1051" s="95"/>
    </row>
    <row r="1052" hidden="1" customHeight="1" spans="1:45">
      <c r="A1052" s="60"/>
      <c r="B1052" s="60"/>
      <c r="F1052" s="74">
        <f ca="1">SUMIF(I$3:$BB1051,"入库",I1052:$BB1052)</f>
        <v>0</v>
      </c>
      <c r="G1052" s="24">
        <f ca="1">SUMIF(J$3:$BB1051,"出库",J1052:$BB1052)</f>
        <v>0</v>
      </c>
      <c r="H1052" s="27">
        <f ca="1" t="shared" si="20"/>
        <v>0</v>
      </c>
      <c r="AS1052" s="95"/>
    </row>
    <row r="1053" hidden="1" customHeight="1" spans="1:45">
      <c r="A1053" s="78"/>
      <c r="B1053" s="78"/>
      <c r="F1053" s="74">
        <f ca="1">SUMIF(I$3:$BB1052,"入库",I1053:$BB1053)</f>
        <v>0</v>
      </c>
      <c r="G1053" s="24">
        <f ca="1">SUMIF(J$3:$BB1052,"出库",J1053:$BB1053)</f>
        <v>0</v>
      </c>
      <c r="H1053" s="27">
        <f ca="1" t="shared" si="20"/>
        <v>0</v>
      </c>
      <c r="AS1053" s="95"/>
    </row>
    <row r="1054" hidden="1" customHeight="1" spans="1:45">
      <c r="A1054" s="63"/>
      <c r="B1054" s="63"/>
      <c r="F1054" s="74">
        <f ca="1">SUMIF(I$3:$BB1053,"入库",I1054:$BB1054)</f>
        <v>0</v>
      </c>
      <c r="G1054" s="24">
        <f ca="1">SUMIF(J$3:$BB1053,"出库",J1054:$BB1054)</f>
        <v>0</v>
      </c>
      <c r="H1054" s="27">
        <f ca="1" t="shared" si="20"/>
        <v>0</v>
      </c>
      <c r="AS1054" s="95"/>
    </row>
    <row r="1055" hidden="1" customHeight="1" spans="1:45">
      <c r="A1055" s="60"/>
      <c r="B1055" s="60"/>
      <c r="F1055" s="74">
        <f ca="1">SUMIF(I$3:$BB1054,"入库",I1055:$BB1055)</f>
        <v>0</v>
      </c>
      <c r="G1055" s="24">
        <f ca="1">SUMIF(J$3:$BB1054,"出库",J1055:$BB1055)</f>
        <v>0</v>
      </c>
      <c r="H1055" s="27">
        <f ca="1" t="shared" si="20"/>
        <v>0</v>
      </c>
      <c r="AS1055" s="95"/>
    </row>
    <row r="1056" hidden="1" customHeight="1" spans="1:45">
      <c r="A1056" s="78"/>
      <c r="B1056" s="78"/>
      <c r="F1056" s="74">
        <f ca="1">SUMIF(I$3:$BB1055,"入库",I1056:$BB1056)</f>
        <v>0</v>
      </c>
      <c r="G1056" s="24">
        <f ca="1">SUMIF(J$3:$BB1055,"出库",J1056:$BB1056)</f>
        <v>0</v>
      </c>
      <c r="H1056" s="27">
        <f ca="1" t="shared" si="20"/>
        <v>0</v>
      </c>
      <c r="AS1056" s="95"/>
    </row>
    <row r="1057" hidden="1" customHeight="1" spans="1:45">
      <c r="A1057" s="63"/>
      <c r="B1057" s="63"/>
      <c r="F1057" s="74">
        <f ca="1">SUMIF(I$3:$BB1056,"入库",I1057:$BB1057)</f>
        <v>0</v>
      </c>
      <c r="G1057" s="24">
        <f ca="1">SUMIF(J$3:$BB1056,"出库",J1057:$BB1057)</f>
        <v>0</v>
      </c>
      <c r="H1057" s="27">
        <f ca="1" t="shared" si="20"/>
        <v>0</v>
      </c>
      <c r="AS1057" s="95"/>
    </row>
    <row r="1058" hidden="1" customHeight="1" spans="1:45">
      <c r="A1058" s="60"/>
      <c r="B1058" s="60"/>
      <c r="F1058" s="74">
        <f ca="1">SUMIF(I$3:$BB1057,"入库",I1058:$BB1058)</f>
        <v>0</v>
      </c>
      <c r="G1058" s="24">
        <f ca="1">SUMIF(J$3:$BB1057,"出库",J1058:$BB1058)</f>
        <v>0</v>
      </c>
      <c r="H1058" s="27">
        <f ca="1" t="shared" si="20"/>
        <v>0</v>
      </c>
      <c r="AS1058" s="95"/>
    </row>
    <row r="1059" hidden="1" customHeight="1" spans="1:45">
      <c r="A1059" s="78"/>
      <c r="B1059" s="78"/>
      <c r="F1059" s="74">
        <f ca="1">SUMIF(I$3:$BB1058,"入库",I1059:$BB1059)</f>
        <v>0</v>
      </c>
      <c r="G1059" s="24">
        <f ca="1">SUMIF(J$3:$BB1058,"出库",J1059:$BB1059)</f>
        <v>0</v>
      </c>
      <c r="H1059" s="27">
        <f ca="1" t="shared" si="20"/>
        <v>0</v>
      </c>
      <c r="AS1059" s="95"/>
    </row>
    <row r="1060" hidden="1" customHeight="1" spans="1:45">
      <c r="A1060" s="63"/>
      <c r="B1060" s="63"/>
      <c r="F1060" s="74">
        <f ca="1">SUMIF(I$3:$BB1059,"入库",I1060:$BB1060)</f>
        <v>0</v>
      </c>
      <c r="G1060" s="24">
        <f ca="1">SUMIF(J$3:$BB1059,"出库",J1060:$BB1060)</f>
        <v>0</v>
      </c>
      <c r="H1060" s="27">
        <f ca="1" t="shared" si="20"/>
        <v>0</v>
      </c>
      <c r="AS1060" s="95"/>
    </row>
    <row r="1061" hidden="1" customHeight="1" spans="1:45">
      <c r="A1061" s="97"/>
      <c r="B1061" s="60"/>
      <c r="F1061" s="74">
        <f ca="1">SUMIF(I$3:$BB1060,"入库",I1061:$BB1061)</f>
        <v>0</v>
      </c>
      <c r="G1061" s="24">
        <f ca="1">SUMIF(J$3:$BB1060,"出库",J1061:$BB1061)</f>
        <v>0</v>
      </c>
      <c r="H1061" s="27">
        <f ca="1" t="shared" si="20"/>
        <v>0</v>
      </c>
      <c r="AS1061" s="95"/>
    </row>
    <row r="1062" hidden="1" customHeight="1" spans="1:45">
      <c r="A1062" s="98"/>
      <c r="B1062" s="78"/>
      <c r="F1062" s="74">
        <f ca="1">SUMIF(I$3:$BB1061,"入库",I1062:$BB1062)</f>
        <v>0</v>
      </c>
      <c r="G1062" s="24">
        <f ca="1">SUMIF(J$3:$BB1061,"出库",J1062:$BB1062)</f>
        <v>0</v>
      </c>
      <c r="H1062" s="27">
        <f ca="1" t="shared" si="20"/>
        <v>0</v>
      </c>
      <c r="AS1062" s="95"/>
    </row>
    <row r="1063" hidden="1" customHeight="1" spans="1:45">
      <c r="A1063" s="99"/>
      <c r="B1063" s="63"/>
      <c r="F1063" s="74">
        <f ca="1">SUMIF(I$3:$BB1062,"入库",I1063:$BB1063)</f>
        <v>0</v>
      </c>
      <c r="G1063" s="24">
        <f ca="1">SUMIF(J$3:$BB1062,"出库",J1063:$BB1063)</f>
        <v>0</v>
      </c>
      <c r="H1063" s="27">
        <f ca="1" t="shared" si="20"/>
        <v>0</v>
      </c>
      <c r="AS1063" s="95"/>
    </row>
    <row r="1064" hidden="1" customHeight="1" spans="1:45">
      <c r="A1064" s="97"/>
      <c r="B1064" s="60"/>
      <c r="F1064" s="74">
        <f ca="1">SUMIF(I$3:$BB1063,"入库",I1064:$BB1064)</f>
        <v>0</v>
      </c>
      <c r="G1064" s="24">
        <f ca="1">SUMIF(J$3:$BB1063,"出库",J1064:$BB1064)</f>
        <v>0</v>
      </c>
      <c r="H1064" s="27">
        <f ca="1" t="shared" si="20"/>
        <v>0</v>
      </c>
      <c r="AS1064" s="95"/>
    </row>
    <row r="1065" hidden="1" customHeight="1" spans="1:45">
      <c r="A1065" s="98"/>
      <c r="B1065" s="78"/>
      <c r="F1065" s="74">
        <f ca="1">SUMIF(I$3:$BB1064,"入库",I1065:$BB1065)</f>
        <v>0</v>
      </c>
      <c r="G1065" s="24">
        <f ca="1">SUMIF(J$3:$BB1064,"出库",J1065:$BB1065)</f>
        <v>0</v>
      </c>
      <c r="H1065" s="27">
        <f ca="1" t="shared" si="20"/>
        <v>0</v>
      </c>
      <c r="AS1065" s="95"/>
    </row>
    <row r="1066" hidden="1" customHeight="1" spans="1:45">
      <c r="A1066" s="99"/>
      <c r="B1066" s="63"/>
      <c r="F1066" s="74">
        <f ca="1">SUMIF(I$3:$BB1065,"入库",I1066:$BB1066)</f>
        <v>0</v>
      </c>
      <c r="G1066" s="24">
        <f ca="1">SUMIF(J$3:$BB1065,"出库",J1066:$BB1066)</f>
        <v>0</v>
      </c>
      <c r="H1066" s="27">
        <f ca="1" t="shared" si="20"/>
        <v>0</v>
      </c>
      <c r="AS1066" s="95"/>
    </row>
    <row r="1067" hidden="1" customHeight="1" spans="1:45">
      <c r="A1067" s="97"/>
      <c r="B1067" s="60"/>
      <c r="F1067" s="74">
        <f ca="1">SUMIF(I$3:$BB1066,"入库",I1067:$BB1067)</f>
        <v>0</v>
      </c>
      <c r="G1067" s="24">
        <f ca="1">SUMIF(J$3:$BB1066,"出库",J1067:$BB1067)</f>
        <v>0</v>
      </c>
      <c r="H1067" s="27">
        <f ca="1" t="shared" si="20"/>
        <v>0</v>
      </c>
      <c r="AS1067" s="95"/>
    </row>
    <row r="1068" hidden="1" customHeight="1" spans="1:45">
      <c r="A1068" s="98"/>
      <c r="B1068" s="78"/>
      <c r="F1068" s="74">
        <f ca="1">SUMIF(I$3:$BB1067,"入库",I1068:$BB1068)</f>
        <v>0</v>
      </c>
      <c r="G1068" s="24">
        <f ca="1">SUMIF(J$3:$BB1067,"出库",J1068:$BB1068)</f>
        <v>0</v>
      </c>
      <c r="H1068" s="27">
        <f ca="1" t="shared" si="20"/>
        <v>0</v>
      </c>
      <c r="AS1068" s="95"/>
    </row>
    <row r="1069" hidden="1" customHeight="1" spans="1:45">
      <c r="A1069" s="99"/>
      <c r="B1069" s="63"/>
      <c r="F1069" s="74">
        <f ca="1">SUMIF(I$3:$BB1068,"入库",I1069:$BB1069)</f>
        <v>0</v>
      </c>
      <c r="G1069" s="24">
        <f ca="1">SUMIF(J$3:$BB1068,"出库",J1069:$BB1069)</f>
        <v>0</v>
      </c>
      <c r="H1069" s="27">
        <f ca="1" t="shared" si="20"/>
        <v>0</v>
      </c>
      <c r="AS1069" s="95"/>
    </row>
    <row r="1070" hidden="1" customHeight="1" spans="1:45">
      <c r="A1070" s="97"/>
      <c r="B1070" s="60"/>
      <c r="F1070" s="74">
        <f ca="1">SUMIF(I$3:$BB1069,"入库",I1070:$BB1070)</f>
        <v>0</v>
      </c>
      <c r="G1070" s="24">
        <f ca="1">SUMIF(J$3:$BB1069,"出库",J1070:$BB1070)</f>
        <v>0</v>
      </c>
      <c r="H1070" s="27">
        <f ca="1" t="shared" si="20"/>
        <v>0</v>
      </c>
      <c r="AS1070" s="95"/>
    </row>
    <row r="1071" hidden="1" customHeight="1" spans="1:45">
      <c r="A1071" s="98"/>
      <c r="B1071" s="78"/>
      <c r="F1071" s="74">
        <f ca="1">SUMIF(I$3:$BB1070,"入库",I1071:$BB1071)</f>
        <v>0</v>
      </c>
      <c r="G1071" s="24">
        <f ca="1">SUMIF(J$3:$BB1070,"出库",J1071:$BB1071)</f>
        <v>0</v>
      </c>
      <c r="H1071" s="27">
        <f ca="1" t="shared" si="20"/>
        <v>0</v>
      </c>
      <c r="AS1071" s="95"/>
    </row>
    <row r="1072" hidden="1" customHeight="1" spans="1:45">
      <c r="A1072" s="99"/>
      <c r="B1072" s="63"/>
      <c r="F1072" s="74">
        <f ca="1">SUMIF(I$3:$BB1071,"入库",I1072:$BB1072)</f>
        <v>0</v>
      </c>
      <c r="G1072" s="24">
        <f ca="1">SUMIF(J$3:$BB1071,"出库",J1072:$BB1072)</f>
        <v>0</v>
      </c>
      <c r="H1072" s="27">
        <f ca="1" t="shared" si="20"/>
        <v>0</v>
      </c>
      <c r="AS1072" s="95"/>
    </row>
    <row r="1073" hidden="1" customHeight="1" spans="1:45">
      <c r="A1073" s="97"/>
      <c r="B1073" s="60"/>
      <c r="F1073" s="74">
        <f ca="1">SUMIF(I$3:$BB1072,"入库",I1073:$BB1073)</f>
        <v>0</v>
      </c>
      <c r="G1073" s="24">
        <f ca="1">SUMIF(J$3:$BB1072,"出库",J1073:$BB1073)</f>
        <v>0</v>
      </c>
      <c r="H1073" s="27">
        <f ca="1" t="shared" si="20"/>
        <v>0</v>
      </c>
      <c r="AS1073" s="95"/>
    </row>
    <row r="1074" hidden="1" customHeight="1" spans="1:45">
      <c r="A1074" s="98"/>
      <c r="B1074" s="78"/>
      <c r="F1074" s="74">
        <f ca="1">SUMIF(I$3:$BB1073,"入库",I1074:$BB1074)</f>
        <v>0</v>
      </c>
      <c r="G1074" s="24">
        <f ca="1">SUMIF(J$3:$BB1073,"出库",J1074:$BB1074)</f>
        <v>0</v>
      </c>
      <c r="H1074" s="27">
        <f ca="1" t="shared" si="20"/>
        <v>0</v>
      </c>
      <c r="AS1074" s="95"/>
    </row>
    <row r="1075" hidden="1" customHeight="1" spans="1:45">
      <c r="A1075" s="99"/>
      <c r="B1075" s="63"/>
      <c r="F1075" s="74">
        <f ca="1">SUMIF(I$3:$BB1074,"入库",I1075:$BB1075)</f>
        <v>0</v>
      </c>
      <c r="G1075" s="24">
        <f ca="1">SUMIF(J$3:$BB1074,"出库",J1075:$BB1075)</f>
        <v>0</v>
      </c>
      <c r="H1075" s="27">
        <f ca="1" t="shared" si="20"/>
        <v>0</v>
      </c>
      <c r="AS1075" s="95"/>
    </row>
    <row r="1076" hidden="1" customHeight="1" spans="1:45">
      <c r="A1076" s="97"/>
      <c r="B1076" s="60"/>
      <c r="F1076" s="74">
        <f ca="1">SUMIF(I$3:$BB1075,"入库",I1076:$BB1076)</f>
        <v>0</v>
      </c>
      <c r="G1076" s="24">
        <f ca="1">SUMIF(J$3:$BB1075,"出库",J1076:$BB1076)</f>
        <v>0</v>
      </c>
      <c r="H1076" s="27">
        <f ca="1" t="shared" si="20"/>
        <v>0</v>
      </c>
      <c r="AS1076" s="95"/>
    </row>
    <row r="1077" hidden="1" customHeight="1" spans="1:45">
      <c r="A1077" s="98"/>
      <c r="B1077" s="78"/>
      <c r="F1077" s="74">
        <f ca="1">SUMIF(I$3:$BB1076,"入库",I1077:$BB1077)</f>
        <v>0</v>
      </c>
      <c r="G1077" s="24">
        <f ca="1">SUMIF(J$3:$BB1076,"出库",J1077:$BB1077)</f>
        <v>0</v>
      </c>
      <c r="H1077" s="27">
        <f ca="1" t="shared" si="20"/>
        <v>0</v>
      </c>
      <c r="AS1077" s="95"/>
    </row>
    <row r="1078" hidden="1" customHeight="1" spans="1:45">
      <c r="A1078" s="99"/>
      <c r="B1078" s="63"/>
      <c r="F1078" s="74">
        <f ca="1">SUMIF(I$3:$BB1077,"入库",I1078:$BB1078)</f>
        <v>0</v>
      </c>
      <c r="G1078" s="24">
        <f ca="1">SUMIF(J$3:$BB1077,"出库",J1078:$BB1078)</f>
        <v>0</v>
      </c>
      <c r="H1078" s="27">
        <f ca="1" t="shared" ref="H1078:H1136" si="21">E1078+F1078-G1078</f>
        <v>0</v>
      </c>
      <c r="AS1078" s="95"/>
    </row>
    <row r="1079" hidden="1" customHeight="1" spans="1:45">
      <c r="A1079" s="97"/>
      <c r="B1079" s="60"/>
      <c r="F1079" s="74">
        <f ca="1">SUMIF(I$3:$BB1078,"入库",I1079:$BB1079)</f>
        <v>0</v>
      </c>
      <c r="G1079" s="24">
        <f ca="1">SUMIF(J$3:$BB1078,"出库",J1079:$BB1079)</f>
        <v>0</v>
      </c>
      <c r="H1079" s="27">
        <f ca="1" t="shared" si="21"/>
        <v>0</v>
      </c>
      <c r="AS1079" s="95"/>
    </row>
    <row r="1080" hidden="1" customHeight="1" spans="1:45">
      <c r="A1080" s="98"/>
      <c r="B1080" s="78"/>
      <c r="F1080" s="74">
        <f ca="1">SUMIF(I$3:$BB1079,"入库",I1080:$BB1080)</f>
        <v>0</v>
      </c>
      <c r="G1080" s="24">
        <f ca="1">SUMIF(J$3:$BB1079,"出库",J1080:$BB1080)</f>
        <v>0</v>
      </c>
      <c r="H1080" s="27">
        <f ca="1" t="shared" si="21"/>
        <v>0</v>
      </c>
      <c r="AS1080" s="95"/>
    </row>
    <row r="1081" hidden="1" customHeight="1" spans="1:45">
      <c r="A1081" s="99"/>
      <c r="B1081" s="63"/>
      <c r="F1081" s="74">
        <f ca="1">SUMIF(I$3:$BB1080,"入库",I1081:$BB1081)</f>
        <v>0</v>
      </c>
      <c r="G1081" s="24">
        <f ca="1">SUMIF(J$3:$BB1080,"出库",J1081:$BB1081)</f>
        <v>0</v>
      </c>
      <c r="H1081" s="27">
        <f ca="1" t="shared" si="21"/>
        <v>0</v>
      </c>
      <c r="AS1081" s="95"/>
    </row>
    <row r="1082" hidden="1" customHeight="1" spans="1:45">
      <c r="A1082" s="97"/>
      <c r="B1082" s="60"/>
      <c r="F1082" s="74">
        <f ca="1">SUMIF(I$3:$BB1081,"入库",I1082:$BB1082)</f>
        <v>0</v>
      </c>
      <c r="G1082" s="24">
        <f ca="1">SUMIF(J$3:$BB1081,"出库",J1082:$BB1082)</f>
        <v>0</v>
      </c>
      <c r="H1082" s="27">
        <f ca="1" t="shared" si="21"/>
        <v>0</v>
      </c>
      <c r="AS1082" s="95"/>
    </row>
    <row r="1083" hidden="1" customHeight="1" spans="1:45">
      <c r="A1083" s="98"/>
      <c r="B1083" s="78"/>
      <c r="F1083" s="74">
        <f ca="1">SUMIF(I$3:$BB1082,"入库",I1083:$BB1083)</f>
        <v>0</v>
      </c>
      <c r="G1083" s="24">
        <f ca="1">SUMIF(J$3:$BB1082,"出库",J1083:$BB1083)</f>
        <v>0</v>
      </c>
      <c r="H1083" s="27">
        <f ca="1" t="shared" si="21"/>
        <v>0</v>
      </c>
      <c r="AS1083" s="95"/>
    </row>
    <row r="1084" hidden="1" customHeight="1" spans="1:45">
      <c r="A1084" s="99"/>
      <c r="B1084" s="63"/>
      <c r="F1084" s="74">
        <f ca="1">SUMIF(I$3:$BB1083,"入库",I1084:$BB1084)</f>
        <v>0</v>
      </c>
      <c r="G1084" s="24">
        <f ca="1">SUMIF(J$3:$BB1083,"出库",J1084:$BB1084)</f>
        <v>0</v>
      </c>
      <c r="H1084" s="27">
        <f ca="1" t="shared" si="21"/>
        <v>0</v>
      </c>
      <c r="AS1084" s="95"/>
    </row>
    <row r="1085" hidden="1" customHeight="1" spans="1:45">
      <c r="A1085" s="97"/>
      <c r="B1085" s="60"/>
      <c r="F1085" s="74">
        <f ca="1">SUMIF(I$3:$BB1084,"入库",I1085:$BB1085)</f>
        <v>0</v>
      </c>
      <c r="G1085" s="24">
        <f ca="1">SUMIF(J$3:$BB1084,"出库",J1085:$BB1085)</f>
        <v>0</v>
      </c>
      <c r="H1085" s="27">
        <f ca="1" t="shared" si="21"/>
        <v>0</v>
      </c>
      <c r="AS1085" s="95"/>
    </row>
    <row r="1086" hidden="1" customHeight="1" spans="1:45">
      <c r="A1086" s="98"/>
      <c r="B1086" s="78"/>
      <c r="F1086" s="74">
        <f ca="1">SUMIF(I$3:$BB1085,"入库",I1086:$BB1086)</f>
        <v>0</v>
      </c>
      <c r="G1086" s="24">
        <f ca="1">SUMIF(J$3:$BB1085,"出库",J1086:$BB1086)</f>
        <v>0</v>
      </c>
      <c r="H1086" s="27">
        <f ca="1" t="shared" si="21"/>
        <v>0</v>
      </c>
      <c r="AS1086" s="95"/>
    </row>
    <row r="1087" hidden="1" customHeight="1" spans="1:45">
      <c r="A1087" s="99"/>
      <c r="B1087" s="63"/>
      <c r="F1087" s="74">
        <f ca="1">SUMIF(I$3:$BB1086,"入库",I1087:$BB1087)</f>
        <v>0</v>
      </c>
      <c r="G1087" s="24">
        <f ca="1">SUMIF(J$3:$BB1086,"出库",J1087:$BB1087)</f>
        <v>0</v>
      </c>
      <c r="H1087" s="27">
        <f ca="1" t="shared" si="21"/>
        <v>0</v>
      </c>
      <c r="AS1087" s="95"/>
    </row>
    <row r="1088" hidden="1" customHeight="1" spans="1:45">
      <c r="A1088" s="97"/>
      <c r="B1088" s="60"/>
      <c r="F1088" s="74">
        <f ca="1">SUMIF(I$3:$BB1087,"入库",I1088:$BB1088)</f>
        <v>0</v>
      </c>
      <c r="G1088" s="24">
        <f ca="1">SUMIF(J$3:$BB1087,"出库",J1088:$BB1088)</f>
        <v>0</v>
      </c>
      <c r="H1088" s="27">
        <f ca="1" t="shared" si="21"/>
        <v>0</v>
      </c>
      <c r="AS1088" s="95"/>
    </row>
    <row r="1089" hidden="1" customHeight="1" spans="1:45">
      <c r="A1089" s="98"/>
      <c r="B1089" s="78"/>
      <c r="F1089" s="74">
        <f ca="1">SUMIF(I$3:$BB1088,"入库",I1089:$BB1089)</f>
        <v>0</v>
      </c>
      <c r="G1089" s="24">
        <f ca="1">SUMIF(J$3:$BB1088,"出库",J1089:$BB1089)</f>
        <v>0</v>
      </c>
      <c r="H1089" s="27">
        <f ca="1" t="shared" si="21"/>
        <v>0</v>
      </c>
      <c r="AS1089" s="95"/>
    </row>
    <row r="1090" hidden="1" customHeight="1" spans="1:45">
      <c r="A1090" s="99"/>
      <c r="B1090" s="63"/>
      <c r="F1090" s="74">
        <f ca="1">SUMIF(I$3:$BB1089,"入库",I1090:$BB1090)</f>
        <v>0</v>
      </c>
      <c r="G1090" s="24">
        <f ca="1">SUMIF(J$3:$BB1089,"出库",J1090:$BB1090)</f>
        <v>0</v>
      </c>
      <c r="H1090" s="27">
        <f ca="1" t="shared" si="21"/>
        <v>0</v>
      </c>
      <c r="AS1090" s="95"/>
    </row>
    <row r="1091" hidden="1" customHeight="1" spans="1:45">
      <c r="A1091" s="97"/>
      <c r="B1091" s="60"/>
      <c r="F1091" s="74">
        <f ca="1">SUMIF(I$3:$BB1090,"入库",I1091:$BB1091)</f>
        <v>0</v>
      </c>
      <c r="G1091" s="24">
        <f ca="1">SUMIF(J$3:$BB1090,"出库",J1091:$BB1091)</f>
        <v>0</v>
      </c>
      <c r="H1091" s="27">
        <f ca="1" t="shared" si="21"/>
        <v>0</v>
      </c>
      <c r="AS1091" s="95"/>
    </row>
    <row r="1092" hidden="1" customHeight="1" spans="1:45">
      <c r="A1092" s="98"/>
      <c r="B1092" s="78"/>
      <c r="F1092" s="74">
        <f ca="1">SUMIF(I$3:$BB1091,"入库",I1092:$BB1092)</f>
        <v>0</v>
      </c>
      <c r="G1092" s="24">
        <f ca="1">SUMIF(J$3:$BB1091,"出库",J1092:$BB1092)</f>
        <v>0</v>
      </c>
      <c r="H1092" s="27">
        <f ca="1" t="shared" si="21"/>
        <v>0</v>
      </c>
      <c r="AS1092" s="95"/>
    </row>
    <row r="1093" hidden="1" customHeight="1" spans="1:45">
      <c r="A1093" s="99"/>
      <c r="B1093" s="63"/>
      <c r="F1093" s="74">
        <f ca="1">SUMIF(I$3:$BB1092,"入库",I1093:$BB1093)</f>
        <v>0</v>
      </c>
      <c r="G1093" s="24">
        <f ca="1">SUMIF(J$3:$BB1092,"出库",J1093:$BB1093)</f>
        <v>0</v>
      </c>
      <c r="H1093" s="27">
        <f ca="1" t="shared" si="21"/>
        <v>0</v>
      </c>
      <c r="AS1093" s="95"/>
    </row>
    <row r="1094" hidden="1" customHeight="1" spans="1:45">
      <c r="A1094" s="97"/>
      <c r="B1094" s="60"/>
      <c r="F1094" s="74">
        <f ca="1">SUMIF(I$3:$BB1093,"入库",I1094:$BB1094)</f>
        <v>0</v>
      </c>
      <c r="G1094" s="24">
        <f ca="1">SUMIF(J$3:$BB1093,"出库",J1094:$BB1094)</f>
        <v>0</v>
      </c>
      <c r="H1094" s="27">
        <f ca="1" t="shared" si="21"/>
        <v>0</v>
      </c>
      <c r="AS1094" s="95"/>
    </row>
    <row r="1095" hidden="1" customHeight="1" spans="1:45">
      <c r="A1095" s="98"/>
      <c r="B1095" s="78"/>
      <c r="F1095" s="74">
        <f ca="1">SUMIF(I$3:$BB1094,"入库",I1095:$BB1095)</f>
        <v>0</v>
      </c>
      <c r="G1095" s="24">
        <f ca="1">SUMIF(J$3:$BB1094,"出库",J1095:$BB1095)</f>
        <v>0</v>
      </c>
      <c r="H1095" s="27">
        <f ca="1" t="shared" si="21"/>
        <v>0</v>
      </c>
      <c r="AS1095" s="95"/>
    </row>
    <row r="1096" hidden="1" customHeight="1" spans="1:45">
      <c r="A1096" s="99"/>
      <c r="B1096" s="63"/>
      <c r="F1096" s="74">
        <f ca="1">SUMIF(I$3:$BB1095,"入库",I1096:$BB1096)</f>
        <v>0</v>
      </c>
      <c r="G1096" s="24">
        <f ca="1">SUMIF(J$3:$BB1095,"出库",J1096:$BB1096)</f>
        <v>0</v>
      </c>
      <c r="H1096" s="27">
        <f ca="1" t="shared" si="21"/>
        <v>0</v>
      </c>
      <c r="AS1096" s="95"/>
    </row>
    <row r="1097" hidden="1" customHeight="1" spans="1:45">
      <c r="A1097" s="97"/>
      <c r="B1097" s="60"/>
      <c r="F1097" s="74">
        <f ca="1">SUMIF(I$3:$BB1096,"入库",I1097:$BB1097)</f>
        <v>0</v>
      </c>
      <c r="G1097" s="24">
        <f ca="1">SUMIF(J$3:$BB1096,"出库",J1097:$BB1097)</f>
        <v>0</v>
      </c>
      <c r="H1097" s="27">
        <f ca="1" t="shared" si="21"/>
        <v>0</v>
      </c>
      <c r="AS1097" s="95"/>
    </row>
    <row r="1098" hidden="1" customHeight="1" spans="1:45">
      <c r="A1098" s="98"/>
      <c r="B1098" s="78"/>
      <c r="F1098" s="74">
        <f ca="1">SUMIF(I$3:$BB1097,"入库",I1098:$BB1098)</f>
        <v>0</v>
      </c>
      <c r="G1098" s="24">
        <f ca="1">SUMIF(J$3:$BB1097,"出库",J1098:$BB1098)</f>
        <v>0</v>
      </c>
      <c r="H1098" s="27">
        <f ca="1" t="shared" si="21"/>
        <v>0</v>
      </c>
      <c r="AS1098" s="95"/>
    </row>
    <row r="1099" hidden="1" customHeight="1" spans="1:45">
      <c r="A1099" s="99"/>
      <c r="B1099" s="63"/>
      <c r="F1099" s="74">
        <f ca="1">SUMIF(I$3:$BB1098,"入库",I1099:$BB1099)</f>
        <v>0</v>
      </c>
      <c r="G1099" s="24">
        <f ca="1">SUMIF(J$3:$BB1098,"出库",J1099:$BB1099)</f>
        <v>0</v>
      </c>
      <c r="H1099" s="27">
        <f ca="1" t="shared" si="21"/>
        <v>0</v>
      </c>
      <c r="AS1099" s="95"/>
    </row>
    <row r="1100" hidden="1" customHeight="1" spans="1:45">
      <c r="A1100" s="97"/>
      <c r="B1100" s="60"/>
      <c r="F1100" s="74">
        <f ca="1">SUMIF(I$3:$BB1099,"入库",I1100:$BB1100)</f>
        <v>0</v>
      </c>
      <c r="G1100" s="24">
        <f ca="1">SUMIF(J$3:$BB1099,"出库",J1100:$BB1100)</f>
        <v>0</v>
      </c>
      <c r="H1100" s="27">
        <f ca="1" t="shared" si="21"/>
        <v>0</v>
      </c>
      <c r="AS1100" s="95"/>
    </row>
    <row r="1101" hidden="1" customHeight="1" spans="1:45">
      <c r="A1101" s="98"/>
      <c r="B1101" s="78"/>
      <c r="F1101" s="74">
        <f ca="1">SUMIF(I$3:$BB1100,"入库",I1101:$BB1101)</f>
        <v>0</v>
      </c>
      <c r="G1101" s="24">
        <f ca="1">SUMIF(J$3:$BB1100,"出库",J1101:$BB1101)</f>
        <v>0</v>
      </c>
      <c r="H1101" s="27">
        <f ca="1" t="shared" si="21"/>
        <v>0</v>
      </c>
      <c r="AS1101" s="95"/>
    </row>
    <row r="1102" hidden="1" customHeight="1" spans="1:45">
      <c r="A1102" s="99"/>
      <c r="B1102" s="63"/>
      <c r="F1102" s="74">
        <f ca="1">SUMIF(I$3:$BB1101,"入库",I1102:$BB1102)</f>
        <v>0</v>
      </c>
      <c r="G1102" s="24">
        <f ca="1">SUMIF(J$3:$BB1101,"出库",J1102:$BB1102)</f>
        <v>0</v>
      </c>
      <c r="H1102" s="27">
        <f ca="1" t="shared" si="21"/>
        <v>0</v>
      </c>
      <c r="AS1102" s="95"/>
    </row>
    <row r="1103" hidden="1" customHeight="1" spans="1:45">
      <c r="A1103" s="97"/>
      <c r="B1103" s="60"/>
      <c r="F1103" s="74">
        <f ca="1">SUMIF(I$3:$BB1102,"入库",I1103:$BB1103)</f>
        <v>0</v>
      </c>
      <c r="G1103" s="24">
        <f ca="1">SUMIF(J$3:$BB1102,"出库",J1103:$BB1103)</f>
        <v>0</v>
      </c>
      <c r="H1103" s="27">
        <f ca="1" t="shared" si="21"/>
        <v>0</v>
      </c>
      <c r="AS1103" s="95"/>
    </row>
    <row r="1104" hidden="1" customHeight="1" spans="1:45">
      <c r="A1104" s="98"/>
      <c r="B1104" s="78"/>
      <c r="F1104" s="74">
        <f ca="1">SUMIF(I$3:$BB1103,"入库",I1104:$BB1104)</f>
        <v>0</v>
      </c>
      <c r="G1104" s="24">
        <f ca="1">SUMIF(J$3:$BB1103,"出库",J1104:$BB1104)</f>
        <v>0</v>
      </c>
      <c r="H1104" s="27">
        <f ca="1" t="shared" si="21"/>
        <v>0</v>
      </c>
      <c r="AS1104" s="95"/>
    </row>
    <row r="1105" hidden="1" customHeight="1" spans="1:45">
      <c r="A1105" s="99"/>
      <c r="B1105" s="63"/>
      <c r="F1105" s="74">
        <f ca="1">SUMIF(I$3:$BB1104,"入库",I1105:$BB1105)</f>
        <v>0</v>
      </c>
      <c r="G1105" s="24">
        <f ca="1">SUMIF(J$3:$BB1104,"出库",J1105:$BB1105)</f>
        <v>0</v>
      </c>
      <c r="H1105" s="27">
        <f ca="1" t="shared" si="21"/>
        <v>0</v>
      </c>
      <c r="AS1105" s="95"/>
    </row>
    <row r="1106" hidden="1" customHeight="1" spans="1:45">
      <c r="A1106" s="97"/>
      <c r="B1106" s="60"/>
      <c r="F1106" s="74">
        <f ca="1">SUMIF(I$3:$BB1105,"入库",I1106:$BB1106)</f>
        <v>0</v>
      </c>
      <c r="G1106" s="24">
        <f ca="1">SUMIF(J$3:$BB1105,"出库",J1106:$BB1106)</f>
        <v>0</v>
      </c>
      <c r="H1106" s="27">
        <f ca="1" t="shared" si="21"/>
        <v>0</v>
      </c>
      <c r="AS1106" s="95"/>
    </row>
    <row r="1107" hidden="1" customHeight="1" spans="1:45">
      <c r="A1107" s="98"/>
      <c r="B1107" s="78"/>
      <c r="F1107" s="74">
        <f ca="1">SUMIF(I$3:$BB1106,"入库",I1107:$BB1107)</f>
        <v>0</v>
      </c>
      <c r="G1107" s="24">
        <f ca="1">SUMIF(J$3:$BB1106,"出库",J1107:$BB1107)</f>
        <v>0</v>
      </c>
      <c r="H1107" s="27">
        <f ca="1" t="shared" si="21"/>
        <v>0</v>
      </c>
      <c r="AS1107" s="95"/>
    </row>
    <row r="1108" hidden="1" customHeight="1" spans="1:45">
      <c r="A1108" s="99"/>
      <c r="B1108" s="63"/>
      <c r="F1108" s="74">
        <f ca="1">SUMIF(I$3:$BB1107,"入库",I1108:$BB1108)</f>
        <v>0</v>
      </c>
      <c r="G1108" s="24">
        <f ca="1">SUMIF(J$3:$BB1107,"出库",J1108:$BB1108)</f>
        <v>0</v>
      </c>
      <c r="H1108" s="27">
        <f ca="1" t="shared" si="21"/>
        <v>0</v>
      </c>
      <c r="AS1108" s="95"/>
    </row>
    <row r="1109" hidden="1" customHeight="1" spans="1:45">
      <c r="A1109" s="97"/>
      <c r="B1109" s="60"/>
      <c r="F1109" s="74">
        <f ca="1">SUMIF(I$3:$BB1108,"入库",I1109:$BB1109)</f>
        <v>0</v>
      </c>
      <c r="G1109" s="24">
        <f ca="1">SUMIF(J$3:$BB1108,"出库",J1109:$BB1109)</f>
        <v>0</v>
      </c>
      <c r="H1109" s="27">
        <f ca="1" t="shared" si="21"/>
        <v>0</v>
      </c>
      <c r="AS1109" s="95"/>
    </row>
    <row r="1110" hidden="1" customHeight="1" spans="1:45">
      <c r="A1110" s="98"/>
      <c r="B1110" s="78"/>
      <c r="F1110" s="74">
        <f ca="1">SUMIF(I$3:$BB1109,"入库",I1110:$BB1110)</f>
        <v>0</v>
      </c>
      <c r="G1110" s="24">
        <f ca="1">SUMIF(J$3:$BB1109,"出库",J1110:$BB1110)</f>
        <v>0</v>
      </c>
      <c r="H1110" s="27">
        <f ca="1" t="shared" si="21"/>
        <v>0</v>
      </c>
      <c r="AS1110" s="95"/>
    </row>
    <row r="1111" hidden="1" customHeight="1" spans="1:45">
      <c r="A1111" s="99"/>
      <c r="B1111" s="63"/>
      <c r="F1111" s="74">
        <f ca="1">SUMIF(I$3:$BB1110,"入库",I1111:$BB1111)</f>
        <v>0</v>
      </c>
      <c r="G1111" s="24">
        <f ca="1">SUMIF(J$3:$BB1110,"出库",J1111:$BB1111)</f>
        <v>0</v>
      </c>
      <c r="H1111" s="27">
        <f ca="1" t="shared" si="21"/>
        <v>0</v>
      </c>
      <c r="AS1111" s="95"/>
    </row>
    <row r="1112" hidden="1" customHeight="1" spans="1:45">
      <c r="A1112" s="97"/>
      <c r="B1112" s="60"/>
      <c r="F1112" s="74">
        <f ca="1">SUMIF(I$3:$BB1111,"入库",I1112:$BB1112)</f>
        <v>0</v>
      </c>
      <c r="G1112" s="24">
        <f ca="1">SUMIF(J$3:$BB1111,"出库",J1112:$BB1112)</f>
        <v>0</v>
      </c>
      <c r="H1112" s="27">
        <f ca="1" t="shared" si="21"/>
        <v>0</v>
      </c>
      <c r="AS1112" s="95"/>
    </row>
    <row r="1113" hidden="1" customHeight="1" spans="1:45">
      <c r="A1113" s="98"/>
      <c r="B1113" s="78"/>
      <c r="F1113" s="74">
        <f ca="1">SUMIF(I$3:$BB1112,"入库",I1113:$BB1113)</f>
        <v>0</v>
      </c>
      <c r="G1113" s="24">
        <f ca="1">SUMIF(J$3:$BB1112,"出库",J1113:$BB1113)</f>
        <v>0</v>
      </c>
      <c r="H1113" s="27">
        <f ca="1" t="shared" si="21"/>
        <v>0</v>
      </c>
      <c r="AS1113" s="95"/>
    </row>
    <row r="1114" hidden="1" customHeight="1" spans="1:45">
      <c r="A1114" s="99"/>
      <c r="B1114" s="63"/>
      <c r="F1114" s="74">
        <f ca="1">SUMIF(I$3:$BB1113,"入库",I1114:$BB1114)</f>
        <v>0</v>
      </c>
      <c r="G1114" s="24">
        <f ca="1">SUMIF(J$3:$BB1113,"出库",J1114:$BB1114)</f>
        <v>0</v>
      </c>
      <c r="H1114" s="27">
        <f ca="1" t="shared" si="21"/>
        <v>0</v>
      </c>
      <c r="AS1114" s="95"/>
    </row>
    <row r="1115" hidden="1" customHeight="1" spans="1:45">
      <c r="A1115" s="97"/>
      <c r="B1115" s="60"/>
      <c r="F1115" s="74">
        <f ca="1">SUMIF(I$3:$BB1114,"入库",I1115:$BB1115)</f>
        <v>0</v>
      </c>
      <c r="G1115" s="24">
        <f ca="1">SUMIF(J$3:$BB1114,"出库",J1115:$BB1115)</f>
        <v>0</v>
      </c>
      <c r="H1115" s="27">
        <f ca="1" t="shared" si="21"/>
        <v>0</v>
      </c>
      <c r="AS1115" s="95"/>
    </row>
    <row r="1116" hidden="1" customHeight="1" spans="1:45">
      <c r="A1116" s="98"/>
      <c r="B1116" s="78"/>
      <c r="F1116" s="74">
        <f ca="1">SUMIF(I$3:$BB1115,"入库",I1116:$BB1116)</f>
        <v>0</v>
      </c>
      <c r="G1116" s="24">
        <f ca="1">SUMIF(J$3:$BB1115,"出库",J1116:$BB1116)</f>
        <v>0</v>
      </c>
      <c r="H1116" s="27">
        <f ca="1" t="shared" si="21"/>
        <v>0</v>
      </c>
      <c r="AS1116" s="95"/>
    </row>
    <row r="1117" hidden="1" customHeight="1" spans="1:45">
      <c r="A1117" s="99"/>
      <c r="B1117" s="63"/>
      <c r="F1117" s="74">
        <f ca="1">SUMIF(I$3:$BB1116,"入库",I1117:$BB1117)</f>
        <v>0</v>
      </c>
      <c r="G1117" s="24">
        <f ca="1">SUMIF(J$3:$BB1116,"出库",J1117:$BB1117)</f>
        <v>0</v>
      </c>
      <c r="H1117" s="27">
        <f ca="1" t="shared" si="21"/>
        <v>0</v>
      </c>
      <c r="AS1117" s="95"/>
    </row>
    <row r="1118" hidden="1" customHeight="1" spans="1:45">
      <c r="A1118" s="97"/>
      <c r="B1118" s="60"/>
      <c r="F1118" s="74">
        <f ca="1">SUMIF(I$3:$BB1117,"入库",I1118:$BB1118)</f>
        <v>0</v>
      </c>
      <c r="G1118" s="24">
        <f ca="1">SUMIF(J$3:$BB1117,"出库",J1118:$BB1118)</f>
        <v>0</v>
      </c>
      <c r="H1118" s="27">
        <f ca="1" t="shared" si="21"/>
        <v>0</v>
      </c>
      <c r="AS1118" s="95"/>
    </row>
    <row r="1119" hidden="1" customHeight="1" spans="1:45">
      <c r="A1119" s="98"/>
      <c r="B1119" s="78"/>
      <c r="F1119" s="74">
        <f ca="1">SUMIF(I$3:$BB1118,"入库",I1119:$BB1119)</f>
        <v>0</v>
      </c>
      <c r="G1119" s="24">
        <f ca="1">SUMIF(J$3:$BB1118,"出库",J1119:$BB1119)</f>
        <v>0</v>
      </c>
      <c r="H1119" s="27">
        <f ca="1" t="shared" si="21"/>
        <v>0</v>
      </c>
      <c r="AS1119" s="95"/>
    </row>
    <row r="1120" hidden="1" customHeight="1" spans="1:45">
      <c r="A1120" s="99"/>
      <c r="B1120" s="63"/>
      <c r="F1120" s="74">
        <f ca="1">SUMIF(I$3:$BB1119,"入库",I1120:$BB1120)</f>
        <v>0</v>
      </c>
      <c r="G1120" s="24">
        <f ca="1">SUMIF(J$3:$BB1119,"出库",J1120:$BB1120)</f>
        <v>0</v>
      </c>
      <c r="H1120" s="27">
        <f ca="1" t="shared" si="21"/>
        <v>0</v>
      </c>
      <c r="AS1120" s="95"/>
    </row>
    <row r="1121" hidden="1" customHeight="1" spans="1:45">
      <c r="A1121" s="97"/>
      <c r="B1121" s="60"/>
      <c r="F1121" s="74">
        <f ca="1">SUMIF(I$3:$BB1120,"入库",I1121:$BB1121)</f>
        <v>0</v>
      </c>
      <c r="G1121" s="24">
        <f ca="1">SUMIF(J$3:$BB1120,"出库",J1121:$BB1121)</f>
        <v>0</v>
      </c>
      <c r="H1121" s="27">
        <f ca="1" t="shared" si="21"/>
        <v>0</v>
      </c>
      <c r="AS1121" s="95"/>
    </row>
    <row r="1122" hidden="1" customHeight="1" spans="1:45">
      <c r="A1122" s="98"/>
      <c r="B1122" s="78"/>
      <c r="F1122" s="74">
        <f ca="1">SUMIF(I$3:$BB1121,"入库",I1122:$BB1122)</f>
        <v>0</v>
      </c>
      <c r="G1122" s="24">
        <f ca="1">SUMIF(J$3:$BB1121,"出库",J1122:$BB1122)</f>
        <v>0</v>
      </c>
      <c r="H1122" s="27">
        <f ca="1" t="shared" si="21"/>
        <v>0</v>
      </c>
      <c r="AS1122" s="95"/>
    </row>
    <row r="1123" hidden="1" customHeight="1" spans="1:45">
      <c r="A1123" s="99"/>
      <c r="B1123" s="63"/>
      <c r="F1123" s="74">
        <f ca="1">SUMIF(I$3:$BB1122,"入库",I1123:$BB1123)</f>
        <v>0</v>
      </c>
      <c r="G1123" s="24">
        <f ca="1">SUMIF(J$3:$BB1122,"出库",J1123:$BB1123)</f>
        <v>0</v>
      </c>
      <c r="H1123" s="27">
        <f ca="1" t="shared" si="21"/>
        <v>0</v>
      </c>
      <c r="AS1123" s="95"/>
    </row>
    <row r="1124" hidden="1" customHeight="1" spans="1:45">
      <c r="A1124" s="97"/>
      <c r="B1124" s="60"/>
      <c r="F1124" s="74">
        <f ca="1">SUMIF(I$3:$BB1123,"入库",I1124:$BB1124)</f>
        <v>0</v>
      </c>
      <c r="G1124" s="24">
        <f ca="1">SUMIF(J$3:$BB1123,"出库",J1124:$BB1124)</f>
        <v>0</v>
      </c>
      <c r="H1124" s="27">
        <f ca="1" t="shared" si="21"/>
        <v>0</v>
      </c>
      <c r="AS1124" s="95"/>
    </row>
    <row r="1125" hidden="1" customHeight="1" spans="1:45">
      <c r="A1125" s="98"/>
      <c r="B1125" s="78"/>
      <c r="F1125" s="74">
        <f ca="1">SUMIF(I$3:$BB1124,"入库",I1125:$BB1125)</f>
        <v>0</v>
      </c>
      <c r="G1125" s="24">
        <f ca="1">SUMIF(J$3:$BB1124,"出库",J1125:$BB1125)</f>
        <v>0</v>
      </c>
      <c r="H1125" s="27">
        <f ca="1" t="shared" si="21"/>
        <v>0</v>
      </c>
      <c r="AS1125" s="95"/>
    </row>
    <row r="1126" hidden="1" customHeight="1" spans="1:45">
      <c r="A1126" s="99"/>
      <c r="B1126" s="63"/>
      <c r="F1126" s="74">
        <f ca="1">SUMIF(I$3:$BB1125,"入库",I1126:$BB1126)</f>
        <v>0</v>
      </c>
      <c r="G1126" s="24">
        <f ca="1">SUMIF(J$3:$BB1125,"出库",J1126:$BB1126)</f>
        <v>0</v>
      </c>
      <c r="H1126" s="27">
        <f ca="1" t="shared" si="21"/>
        <v>0</v>
      </c>
      <c r="AS1126" s="95"/>
    </row>
    <row r="1127" hidden="1" customHeight="1" spans="1:45">
      <c r="A1127" s="97"/>
      <c r="B1127" s="60"/>
      <c r="F1127" s="74">
        <f ca="1">SUMIF(I$3:$BB1126,"入库",I1127:$BB1127)</f>
        <v>0</v>
      </c>
      <c r="G1127" s="24">
        <f ca="1">SUMIF(J$3:$BB1126,"出库",J1127:$BB1127)</f>
        <v>0</v>
      </c>
      <c r="H1127" s="27">
        <f ca="1" t="shared" si="21"/>
        <v>0</v>
      </c>
      <c r="AS1127" s="95"/>
    </row>
    <row r="1128" hidden="1" customHeight="1" spans="1:45">
      <c r="A1128" s="98"/>
      <c r="B1128" s="78"/>
      <c r="F1128" s="74">
        <f ca="1">SUMIF(I$3:$BB1127,"入库",I1128:$BB1128)</f>
        <v>0</v>
      </c>
      <c r="G1128" s="24">
        <f ca="1">SUMIF(J$3:$BB1127,"出库",J1128:$BB1128)</f>
        <v>0</v>
      </c>
      <c r="H1128" s="27">
        <f ca="1" t="shared" si="21"/>
        <v>0</v>
      </c>
      <c r="AS1128" s="95"/>
    </row>
    <row r="1129" hidden="1" customHeight="1" spans="1:45">
      <c r="A1129" s="99"/>
      <c r="B1129" s="63"/>
      <c r="F1129" s="74">
        <f ca="1">SUMIF(I$3:$BB1128,"入库",I1129:$BB1129)</f>
        <v>0</v>
      </c>
      <c r="G1129" s="24">
        <f ca="1">SUMIF(J$3:$BB1128,"出库",J1129:$BB1129)</f>
        <v>0</v>
      </c>
      <c r="H1129" s="27">
        <f ca="1" t="shared" si="21"/>
        <v>0</v>
      </c>
      <c r="AS1129" s="95"/>
    </row>
    <row r="1130" hidden="1" customHeight="1" spans="1:45">
      <c r="A1130" s="97"/>
      <c r="B1130" s="60"/>
      <c r="F1130" s="74">
        <f ca="1">SUMIF(I$3:$BB1129,"入库",I1130:$BB1130)</f>
        <v>0</v>
      </c>
      <c r="G1130" s="24">
        <f ca="1">SUMIF(J$3:$BB1129,"出库",J1130:$BB1130)</f>
        <v>0</v>
      </c>
      <c r="H1130" s="27">
        <f ca="1" t="shared" si="21"/>
        <v>0</v>
      </c>
      <c r="AS1130" s="95"/>
    </row>
    <row r="1131" hidden="1" customHeight="1" spans="1:45">
      <c r="A1131" s="98"/>
      <c r="B1131" s="78"/>
      <c r="F1131" s="74">
        <f ca="1">SUMIF(I$3:$BB1130,"入库",I1131:$BB1131)</f>
        <v>0</v>
      </c>
      <c r="G1131" s="24">
        <f ca="1">SUMIF(J$3:$BB1130,"出库",J1131:$BB1131)</f>
        <v>0</v>
      </c>
      <c r="H1131" s="27">
        <f ca="1" t="shared" si="21"/>
        <v>0</v>
      </c>
      <c r="AS1131" s="95"/>
    </row>
    <row r="1132" hidden="1" customHeight="1" spans="1:45">
      <c r="A1132" s="99"/>
      <c r="B1132" s="63"/>
      <c r="F1132" s="74">
        <f ca="1">SUMIF(I$3:$BB1131,"入库",I1132:$BB1132)</f>
        <v>0</v>
      </c>
      <c r="G1132" s="24">
        <f ca="1">SUMIF(J$3:$BB1131,"出库",J1132:$BB1132)</f>
        <v>0</v>
      </c>
      <c r="H1132" s="27">
        <f ca="1" t="shared" si="21"/>
        <v>0</v>
      </c>
      <c r="AS1132" s="95"/>
    </row>
    <row r="1133" s="60" customFormat="1" hidden="1" customHeight="1" spans="1:45">
      <c r="A1133" s="97"/>
      <c r="B1133" s="60" t="s">
        <v>334</v>
      </c>
      <c r="C1133" s="58"/>
      <c r="D1133" s="58"/>
      <c r="E1133" s="58"/>
      <c r="F1133" s="74">
        <f ca="1">SUMIF(I$3:$BB1132,"入库",I1133:$BB1133)</f>
        <v>0</v>
      </c>
      <c r="G1133" s="24">
        <f ca="1">SUMIF(J$3:$BB1132,"出库",J1133:$BB1133)</f>
        <v>0</v>
      </c>
      <c r="H1133" s="27">
        <f ca="1" t="shared" si="21"/>
        <v>0</v>
      </c>
      <c r="AS1133" s="95"/>
    </row>
    <row r="1134" s="10" customFormat="1" hidden="1" customHeight="1" spans="1:45">
      <c r="A1134" s="98"/>
      <c r="B1134" s="78"/>
      <c r="C1134" s="58"/>
      <c r="D1134" s="58"/>
      <c r="E1134" s="58"/>
      <c r="F1134" s="74">
        <f ca="1">SUMIF(I$3:$BB1133,"入库",I1134:$BB1134)</f>
        <v>0</v>
      </c>
      <c r="G1134" s="24">
        <f ca="1">SUMIF(J$3:$BB1133,"出库",J1134:$BB1134)</f>
        <v>0</v>
      </c>
      <c r="H1134" s="27">
        <f ca="1" t="shared" si="21"/>
        <v>0</v>
      </c>
      <c r="AS1134" s="95"/>
    </row>
    <row r="1135" s="10" customFormat="1" hidden="1" customHeight="1" spans="1:45">
      <c r="A1135" s="99"/>
      <c r="B1135" s="63"/>
      <c r="C1135" s="58"/>
      <c r="D1135" s="58"/>
      <c r="E1135" s="58"/>
      <c r="F1135" s="74">
        <f ca="1">SUMIF(I$3:$BB1134,"入库",I1135:$BB1135)</f>
        <v>0</v>
      </c>
      <c r="G1135" s="24">
        <f ca="1">SUMIF(J$3:$BB1134,"出库",J1135:$BB1135)</f>
        <v>0</v>
      </c>
      <c r="H1135" s="27">
        <f ca="1" t="shared" si="21"/>
        <v>0</v>
      </c>
      <c r="AS1135" s="95"/>
    </row>
    <row r="1136" s="64" customFormat="1" hidden="1" customHeight="1" spans="1:45">
      <c r="A1136" s="58"/>
      <c r="B1136" s="58"/>
      <c r="C1136" s="64"/>
      <c r="D1136" s="64"/>
      <c r="E1136" s="64"/>
      <c r="F1136" s="74">
        <f ca="1">SUMIF(I$3:$BB1133,"入库",I1136:$BB1136)</f>
        <v>0</v>
      </c>
      <c r="G1136" s="24">
        <f ca="1">SUMIF(J$3:$BB1135,"出库",J1136:$BB1136)</f>
        <v>0</v>
      </c>
      <c r="H1136" s="27">
        <f ca="1" t="shared" si="21"/>
        <v>0</v>
      </c>
    </row>
  </sheetData>
  <autoFilter xmlns:etc="http://www.wps.cn/officeDocument/2017/etCustomData" ref="A4:BB1136" etc:filterBottomFollowUsedRange="0">
    <filterColumn colId="1">
      <filters>
        <filter val="8*8*5"/>
      </filters>
    </filterColumn>
    <extLst/>
  </autoFilter>
  <mergeCells count="784">
    <mergeCell ref="A1:BB1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1"/>
    <mergeCell ref="A342:A344"/>
    <mergeCell ref="A345:A347"/>
    <mergeCell ref="A348:A350"/>
    <mergeCell ref="A351:A353"/>
    <mergeCell ref="A354:A356"/>
    <mergeCell ref="A357:A360"/>
    <mergeCell ref="A361:A363"/>
    <mergeCell ref="A364:A366"/>
    <mergeCell ref="A367:A369"/>
    <mergeCell ref="A370:A372"/>
    <mergeCell ref="A373:A375"/>
    <mergeCell ref="A376:A378"/>
    <mergeCell ref="A379:A381"/>
    <mergeCell ref="A382:A384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A889"/>
    <mergeCell ref="A890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B303:B305"/>
    <mergeCell ref="B306:B308"/>
    <mergeCell ref="B309:B311"/>
    <mergeCell ref="B312:B314"/>
    <mergeCell ref="B315:B317"/>
    <mergeCell ref="B318:B320"/>
    <mergeCell ref="B321:B323"/>
    <mergeCell ref="B324:B326"/>
    <mergeCell ref="B327:B329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B354:B356"/>
    <mergeCell ref="B357:B360"/>
    <mergeCell ref="B361:B363"/>
    <mergeCell ref="B364:B366"/>
    <mergeCell ref="B367:B369"/>
    <mergeCell ref="B370:B372"/>
    <mergeCell ref="B373:B375"/>
    <mergeCell ref="B376:B378"/>
    <mergeCell ref="B379:B381"/>
    <mergeCell ref="B382:B384"/>
    <mergeCell ref="B385:B388"/>
    <mergeCell ref="B389:B391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B419:B421"/>
    <mergeCell ref="B422:B424"/>
    <mergeCell ref="B425:B427"/>
    <mergeCell ref="B428:B430"/>
    <mergeCell ref="B431:B433"/>
    <mergeCell ref="B434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54:B556"/>
    <mergeCell ref="B557:B559"/>
    <mergeCell ref="B560:B562"/>
    <mergeCell ref="B563:B565"/>
    <mergeCell ref="B566:B568"/>
    <mergeCell ref="B569:B571"/>
    <mergeCell ref="B572:B574"/>
    <mergeCell ref="B575:B577"/>
    <mergeCell ref="B578:B580"/>
    <mergeCell ref="B581:B583"/>
    <mergeCell ref="B584:B586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B671:B673"/>
    <mergeCell ref="B674:B676"/>
    <mergeCell ref="B677:B679"/>
    <mergeCell ref="B680:B682"/>
    <mergeCell ref="B683:B685"/>
    <mergeCell ref="B686:B688"/>
    <mergeCell ref="B689:B691"/>
    <mergeCell ref="B692:B694"/>
    <mergeCell ref="B695:B697"/>
    <mergeCell ref="B698:B700"/>
    <mergeCell ref="B701:B703"/>
    <mergeCell ref="B704:B706"/>
    <mergeCell ref="B707:B709"/>
    <mergeCell ref="B710:B712"/>
    <mergeCell ref="B713:B715"/>
    <mergeCell ref="B716:B718"/>
    <mergeCell ref="B719:B721"/>
    <mergeCell ref="B722:B724"/>
    <mergeCell ref="B725:B727"/>
    <mergeCell ref="B728:B730"/>
    <mergeCell ref="B731:B733"/>
    <mergeCell ref="B734:B736"/>
    <mergeCell ref="B737:B739"/>
    <mergeCell ref="B740:B742"/>
    <mergeCell ref="B743:B745"/>
    <mergeCell ref="B746:B748"/>
    <mergeCell ref="B749:B751"/>
    <mergeCell ref="B752:B754"/>
    <mergeCell ref="B755:B757"/>
    <mergeCell ref="B758:B760"/>
    <mergeCell ref="B761:B763"/>
    <mergeCell ref="B764:B766"/>
    <mergeCell ref="B767:B769"/>
    <mergeCell ref="B770:B772"/>
    <mergeCell ref="B773:B775"/>
    <mergeCell ref="B776:B778"/>
    <mergeCell ref="B779:B781"/>
    <mergeCell ref="B782:B784"/>
    <mergeCell ref="B785:B787"/>
    <mergeCell ref="B788:B790"/>
    <mergeCell ref="B791:B793"/>
    <mergeCell ref="B794:B796"/>
    <mergeCell ref="B797:B799"/>
    <mergeCell ref="B800:B802"/>
    <mergeCell ref="B803:B805"/>
    <mergeCell ref="B806:B808"/>
    <mergeCell ref="B809:B811"/>
    <mergeCell ref="B812:B814"/>
    <mergeCell ref="B815:B817"/>
    <mergeCell ref="B818:B820"/>
    <mergeCell ref="B821:B823"/>
    <mergeCell ref="B824:B826"/>
    <mergeCell ref="B827:B829"/>
    <mergeCell ref="B830:B832"/>
    <mergeCell ref="B833:B835"/>
    <mergeCell ref="B836:B838"/>
    <mergeCell ref="B839:B841"/>
    <mergeCell ref="B842:B844"/>
    <mergeCell ref="B845:B847"/>
    <mergeCell ref="B848:B850"/>
    <mergeCell ref="B851:B853"/>
    <mergeCell ref="B854:B856"/>
    <mergeCell ref="B857:B859"/>
    <mergeCell ref="B860:B862"/>
    <mergeCell ref="B863:B865"/>
    <mergeCell ref="B866:B868"/>
    <mergeCell ref="B869:B871"/>
    <mergeCell ref="B872:B874"/>
    <mergeCell ref="B875:B877"/>
    <mergeCell ref="B878:B880"/>
    <mergeCell ref="B881:B883"/>
    <mergeCell ref="B884:B886"/>
    <mergeCell ref="B887:B889"/>
    <mergeCell ref="B890:B892"/>
    <mergeCell ref="B893:B895"/>
    <mergeCell ref="B896:B898"/>
    <mergeCell ref="B899:B901"/>
    <mergeCell ref="B902:B904"/>
    <mergeCell ref="B905:B907"/>
    <mergeCell ref="B908:B910"/>
    <mergeCell ref="B911:B913"/>
    <mergeCell ref="B914:B916"/>
    <mergeCell ref="B917:B919"/>
    <mergeCell ref="B920:B922"/>
    <mergeCell ref="B923:B925"/>
    <mergeCell ref="B926:B928"/>
    <mergeCell ref="B929:B931"/>
    <mergeCell ref="B932:B934"/>
    <mergeCell ref="B935:B937"/>
    <mergeCell ref="B938:B940"/>
    <mergeCell ref="B941:B943"/>
    <mergeCell ref="B944:B946"/>
    <mergeCell ref="B947:B949"/>
    <mergeCell ref="B950:B952"/>
    <mergeCell ref="B953:B955"/>
    <mergeCell ref="B956:B958"/>
    <mergeCell ref="B959:B961"/>
    <mergeCell ref="B962:B964"/>
    <mergeCell ref="B965:B967"/>
    <mergeCell ref="B968:B970"/>
    <mergeCell ref="B971:B973"/>
    <mergeCell ref="B974:B976"/>
    <mergeCell ref="B977:B979"/>
    <mergeCell ref="B980:B982"/>
    <mergeCell ref="B983:B985"/>
    <mergeCell ref="B986:B988"/>
    <mergeCell ref="B989:B991"/>
    <mergeCell ref="B992:B994"/>
    <mergeCell ref="B995:B997"/>
    <mergeCell ref="B998:B1000"/>
    <mergeCell ref="B1001:B1003"/>
    <mergeCell ref="B1004:B1006"/>
    <mergeCell ref="B1007:B1009"/>
    <mergeCell ref="B1010:B1012"/>
    <mergeCell ref="B1013:B1015"/>
    <mergeCell ref="B1016:B1018"/>
    <mergeCell ref="B1019:B1021"/>
    <mergeCell ref="B1022:B1024"/>
    <mergeCell ref="B1025:B1027"/>
    <mergeCell ref="B1028:B1030"/>
    <mergeCell ref="B1031:B1033"/>
    <mergeCell ref="B1034:B1036"/>
    <mergeCell ref="B1037:B1039"/>
    <mergeCell ref="B1040:B1042"/>
    <mergeCell ref="B1043:B1045"/>
    <mergeCell ref="B1046:B1048"/>
    <mergeCell ref="B1049:B1051"/>
    <mergeCell ref="B1052:B1054"/>
    <mergeCell ref="B1055:B1057"/>
    <mergeCell ref="B1058:B1060"/>
    <mergeCell ref="B1061:B1063"/>
    <mergeCell ref="B1064:B1066"/>
    <mergeCell ref="B1067:B1069"/>
    <mergeCell ref="B1070:B1072"/>
    <mergeCell ref="B1073:B1075"/>
    <mergeCell ref="B1076:B1078"/>
    <mergeCell ref="B1079:B1081"/>
    <mergeCell ref="B1082:B1084"/>
    <mergeCell ref="B1085:B1087"/>
    <mergeCell ref="B1088:B1090"/>
    <mergeCell ref="B1091:B1093"/>
    <mergeCell ref="B1094:B1096"/>
    <mergeCell ref="B1097:B1099"/>
    <mergeCell ref="B1100:B1102"/>
    <mergeCell ref="B1103:B1105"/>
    <mergeCell ref="B1106:B1108"/>
    <mergeCell ref="B1109:B1111"/>
    <mergeCell ref="B1112:B1114"/>
    <mergeCell ref="B1115:B1117"/>
    <mergeCell ref="B1118:B1120"/>
    <mergeCell ref="B1121:B1123"/>
    <mergeCell ref="B1124:B1126"/>
    <mergeCell ref="B1127:B1129"/>
    <mergeCell ref="B1130:B1132"/>
    <mergeCell ref="B1133:B1135"/>
    <mergeCell ref="C2:C4"/>
    <mergeCell ref="D2:D4"/>
    <mergeCell ref="E2:E4"/>
    <mergeCell ref="F2:F4"/>
    <mergeCell ref="G2:G4"/>
    <mergeCell ref="H2:H4"/>
  </mergeCells>
  <conditionalFormatting sqref="A8">
    <cfRule type="expression" dxfId="0" priority="10">
      <formula>$A9&lt;&gt;""</formula>
    </cfRule>
    <cfRule type="expression" priority="11">
      <formula>$A9&lt;&gt;""</formula>
    </cfRule>
    <cfRule type="expression" priority="12">
      <formula>$A$2</formula>
    </cfRule>
  </conditionalFormatting>
  <conditionalFormatting sqref="A11">
    <cfRule type="expression" dxfId="0" priority="7">
      <formula>$A12&lt;&gt;""</formula>
    </cfRule>
    <cfRule type="expression" priority="8">
      <formula>$A12&lt;&gt;""</formula>
    </cfRule>
    <cfRule type="expression" priority="9">
      <formula>$A$2</formula>
    </cfRule>
  </conditionalFormatting>
  <conditionalFormatting sqref="I19:XFD19">
    <cfRule type="expression" dxfId="0" priority="772">
      <formula>$A25&lt;&gt;""</formula>
    </cfRule>
    <cfRule type="expression" priority="773">
      <formula>$A25&lt;&gt;""</formula>
    </cfRule>
    <cfRule type="expression" priority="774">
      <formula>$A$2</formula>
    </cfRule>
  </conditionalFormatting>
  <conditionalFormatting sqref="I20:XFD20">
    <cfRule type="expression" dxfId="0" priority="835">
      <formula>#REF!&lt;&gt;""</formula>
    </cfRule>
    <cfRule type="expression" priority="836">
      <formula>#REF!&lt;&gt;""</formula>
    </cfRule>
    <cfRule type="expression" priority="837">
      <formula>$A$2</formula>
    </cfRule>
  </conditionalFormatting>
  <conditionalFormatting sqref="I21:XFD21">
    <cfRule type="expression" dxfId="0" priority="787">
      <formula>#REF!&lt;&gt;""</formula>
    </cfRule>
    <cfRule type="expression" priority="788">
      <formula>#REF!&lt;&gt;""</formula>
    </cfRule>
    <cfRule type="expression" priority="789">
      <formula>$A$2</formula>
    </cfRule>
  </conditionalFormatting>
  <conditionalFormatting sqref="I22:XFD22">
    <cfRule type="expression" dxfId="0" priority="766">
      <formula>#REF!&lt;&gt;""</formula>
    </cfRule>
    <cfRule type="expression" priority="767">
      <formula>#REF!&lt;&gt;""</formula>
    </cfRule>
    <cfRule type="expression" priority="768">
      <formula>$A$2</formula>
    </cfRule>
  </conditionalFormatting>
  <conditionalFormatting sqref="I23:XFD23">
    <cfRule type="expression" dxfId="0" priority="760">
      <formula>#REF!&lt;&gt;""</formula>
    </cfRule>
    <cfRule type="expression" priority="761">
      <formula>#REF!&lt;&gt;""</formula>
    </cfRule>
    <cfRule type="expression" priority="762">
      <formula>$A$2</formula>
    </cfRule>
  </conditionalFormatting>
  <conditionalFormatting sqref="I24:XFD24">
    <cfRule type="expression" dxfId="0" priority="733">
      <formula>#REF!&lt;&gt;""</formula>
    </cfRule>
    <cfRule type="expression" priority="734">
      <formula>#REF!&lt;&gt;""</formula>
    </cfRule>
    <cfRule type="expression" priority="735">
      <formula>$A$2</formula>
    </cfRule>
  </conditionalFormatting>
  <conditionalFormatting sqref="I188:XFD188">
    <cfRule type="expression" dxfId="0" priority="937">
      <formula>$A902&lt;&gt;""</formula>
    </cfRule>
    <cfRule type="expression" priority="938">
      <formula>$A902&lt;&gt;""</formula>
    </cfRule>
    <cfRule type="expression" priority="939">
      <formula>$A$2</formula>
    </cfRule>
  </conditionalFormatting>
  <conditionalFormatting sqref="H196">
    <cfRule type="expression" dxfId="0" priority="658">
      <formula>$A198&lt;&gt;""</formula>
    </cfRule>
    <cfRule type="expression" priority="659">
      <formula>$A198&lt;&gt;""</formula>
    </cfRule>
    <cfRule type="expression" priority="660">
      <formula>$A$2</formula>
    </cfRule>
  </conditionalFormatting>
  <conditionalFormatting sqref="H359">
    <cfRule type="expression" priority="6">
      <formula>$A$2</formula>
    </cfRule>
    <cfRule type="expression" priority="5">
      <formula>$A360&lt;&gt;""</formula>
    </cfRule>
    <cfRule type="expression" dxfId="0" priority="4">
      <formula>$A360&lt;&gt;""</formula>
    </cfRule>
  </conditionalFormatting>
  <conditionalFormatting sqref="H360">
    <cfRule type="expression" priority="3">
      <formula>$A$2</formula>
    </cfRule>
    <cfRule type="expression" priority="2">
      <formula>$A361&lt;&gt;""</formula>
    </cfRule>
    <cfRule type="expression" dxfId="0" priority="1">
      <formula>$A361&lt;&gt;""</formula>
    </cfRule>
  </conditionalFormatting>
  <conditionalFormatting sqref="B385">
    <cfRule type="expression" dxfId="0" priority="1252">
      <formula>$A387&lt;&gt;""</formula>
    </cfRule>
    <cfRule type="expression" priority="1253">
      <formula>$A387&lt;&gt;""</formula>
    </cfRule>
    <cfRule type="expression" priority="1254">
      <formula>$A$2</formula>
    </cfRule>
  </conditionalFormatting>
  <conditionalFormatting sqref="F385">
    <cfRule type="expression" dxfId="0" priority="670">
      <formula>$A386&lt;&gt;""</formula>
    </cfRule>
    <cfRule type="expression" priority="671">
      <formula>$A386&lt;&gt;""</formula>
    </cfRule>
    <cfRule type="expression" priority="672">
      <formula>$A$2</formula>
    </cfRule>
  </conditionalFormatting>
  <conditionalFormatting sqref="G385">
    <cfRule type="expression" dxfId="0" priority="667">
      <formula>$A386&lt;&gt;""</formula>
    </cfRule>
    <cfRule type="expression" priority="668">
      <formula>$A386&lt;&gt;""</formula>
    </cfRule>
    <cfRule type="expression" priority="669">
      <formula>$A$2</formula>
    </cfRule>
  </conditionalFormatting>
  <conditionalFormatting sqref="H385">
    <cfRule type="expression" dxfId="0" priority="664">
      <formula>$A386&lt;&gt;""</formula>
    </cfRule>
    <cfRule type="expression" priority="665">
      <formula>$A386&lt;&gt;""</formula>
    </cfRule>
    <cfRule type="expression" priority="666">
      <formula>$A$2</formula>
    </cfRule>
  </conditionalFormatting>
  <conditionalFormatting sqref="I391:XFD391">
    <cfRule type="expression" dxfId="0" priority="940">
      <formula>$A902&lt;&gt;""</formula>
    </cfRule>
    <cfRule type="expression" priority="941">
      <formula>$A902&lt;&gt;""</formula>
    </cfRule>
    <cfRule type="expression" priority="942">
      <formula>$A$2</formula>
    </cfRule>
  </conditionalFormatting>
  <conditionalFormatting sqref="C899:H899">
    <cfRule type="expression" dxfId="0" priority="1063">
      <formula>#REF!&lt;&gt;""</formula>
    </cfRule>
    <cfRule type="expression" priority="1064">
      <formula>#REF!&lt;&gt;""</formula>
    </cfRule>
    <cfRule type="expression" priority="1065">
      <formula>$A$2</formula>
    </cfRule>
  </conditionalFormatting>
  <conditionalFormatting sqref="C900">
    <cfRule type="expression" dxfId="0" priority="1057">
      <formula>#REF!&lt;&gt;""</formula>
    </cfRule>
    <cfRule type="expression" priority="1058">
      <formula>#REF!&lt;&gt;""</formula>
    </cfRule>
    <cfRule type="expression" priority="1059">
      <formula>$A$2</formula>
    </cfRule>
  </conditionalFormatting>
  <conditionalFormatting sqref="D900:H900">
    <cfRule type="expression" dxfId="0" priority="1003">
      <formula>$A902&lt;&gt;""</formula>
    </cfRule>
    <cfRule type="expression" priority="1004">
      <formula>$A902&lt;&gt;""</formula>
    </cfRule>
    <cfRule type="expression" priority="1005">
      <formula>$A$2</formula>
    </cfRule>
  </conditionalFormatting>
  <conditionalFormatting sqref="C901">
    <cfRule type="expression" dxfId="0" priority="727">
      <formula>$A902&lt;&gt;""</formula>
    </cfRule>
    <cfRule type="expression" priority="728">
      <formula>$A902&lt;&gt;""</formula>
    </cfRule>
    <cfRule type="expression" priority="729">
      <formula>$A$2</formula>
    </cfRule>
  </conditionalFormatting>
  <conditionalFormatting sqref="D904">
    <cfRule type="expression" dxfId="0" priority="1246">
      <formula>#REF!&lt;&gt;""</formula>
    </cfRule>
    <cfRule type="expression" priority="1247">
      <formula>#REF!&lt;&gt;""</formula>
    </cfRule>
    <cfRule type="expression" priority="1248">
      <formula>$A$2</formula>
    </cfRule>
  </conditionalFormatting>
  <conditionalFormatting sqref="F907">
    <cfRule type="expression" dxfId="0" priority="505">
      <formula>#REF!&lt;&gt;""</formula>
    </cfRule>
    <cfRule type="expression" priority="506">
      <formula>#REF!&lt;&gt;""</formula>
    </cfRule>
    <cfRule type="expression" priority="507">
      <formula>$A$2</formula>
    </cfRule>
  </conditionalFormatting>
  <conditionalFormatting sqref="C908">
    <cfRule type="expression" dxfId="0" priority="1141">
      <formula>$A950&lt;&gt;""</formula>
    </cfRule>
    <cfRule type="expression" priority="1142">
      <formula>$A950&lt;&gt;""</formula>
    </cfRule>
    <cfRule type="expression" priority="1143">
      <formula>$A$2</formula>
    </cfRule>
  </conditionalFormatting>
  <conditionalFormatting sqref="F908">
    <cfRule type="expression" dxfId="0" priority="502">
      <formula>#REF!&lt;&gt;""</formula>
    </cfRule>
    <cfRule type="expression" priority="503">
      <formula>#REF!&lt;&gt;""</formula>
    </cfRule>
    <cfRule type="expression" priority="504">
      <formula>$A$2</formula>
    </cfRule>
  </conditionalFormatting>
  <conditionalFormatting sqref="C911">
    <cfRule type="expression" dxfId="0" priority="1081">
      <formula>#REF!&lt;&gt;""</formula>
    </cfRule>
    <cfRule type="expression" priority="1082">
      <formula>#REF!&lt;&gt;""</formula>
    </cfRule>
    <cfRule type="expression" priority="1083">
      <formula>$A$2</formula>
    </cfRule>
  </conditionalFormatting>
  <conditionalFormatting sqref="G911">
    <cfRule type="expression" dxfId="0" priority="487">
      <formula>#REF!&lt;&gt;""</formula>
    </cfRule>
    <cfRule type="expression" priority="488">
      <formula>#REF!&lt;&gt;""</formula>
    </cfRule>
    <cfRule type="expression" priority="489">
      <formula>$A$2</formula>
    </cfRule>
  </conditionalFormatting>
  <conditionalFormatting sqref="H911">
    <cfRule type="expression" dxfId="0" priority="655">
      <formula>$A912&lt;&gt;""</formula>
    </cfRule>
    <cfRule type="expression" priority="656">
      <formula>$A912&lt;&gt;""</formula>
    </cfRule>
    <cfRule type="expression" priority="657">
      <formula>$A$2</formula>
    </cfRule>
  </conditionalFormatting>
  <conditionalFormatting sqref="G912">
    <cfRule type="expression" dxfId="0" priority="484">
      <formula>#REF!&lt;&gt;""</formula>
    </cfRule>
    <cfRule type="expression" priority="485">
      <formula>#REF!&lt;&gt;""</formula>
    </cfRule>
    <cfRule type="expression" priority="486">
      <formula>$A$2</formula>
    </cfRule>
  </conditionalFormatting>
  <conditionalFormatting sqref="H912">
    <cfRule type="expression" dxfId="0" priority="652">
      <formula>$A913&lt;&gt;""</formula>
    </cfRule>
    <cfRule type="expression" priority="653">
      <formula>$A913&lt;&gt;""</formula>
    </cfRule>
    <cfRule type="expression" priority="654">
      <formula>$A$2</formula>
    </cfRule>
  </conditionalFormatting>
  <conditionalFormatting sqref="G913">
    <cfRule type="expression" dxfId="0" priority="481">
      <formula>#REF!&lt;&gt;""</formula>
    </cfRule>
    <cfRule type="expression" priority="482">
      <formula>#REF!&lt;&gt;""</formula>
    </cfRule>
    <cfRule type="expression" priority="483">
      <formula>$A$2</formula>
    </cfRule>
  </conditionalFormatting>
  <conditionalFormatting sqref="H913">
    <cfRule type="expression" dxfId="0" priority="649">
      <formula>$A914&lt;&gt;""</formula>
    </cfRule>
    <cfRule type="expression" priority="650">
      <formula>$A914&lt;&gt;""</formula>
    </cfRule>
    <cfRule type="expression" priority="651">
      <formula>$A$2</formula>
    </cfRule>
  </conditionalFormatting>
  <conditionalFormatting sqref="A914">
    <cfRule type="expression" dxfId="0" priority="1078">
      <formula>#REF!&lt;&gt;""</formula>
    </cfRule>
    <cfRule type="expression" priority="1079">
      <formula>#REF!&lt;&gt;""</formula>
    </cfRule>
    <cfRule type="expression" priority="1080">
      <formula>$A$2</formula>
    </cfRule>
  </conditionalFormatting>
  <conditionalFormatting sqref="F914">
    <cfRule type="expression" dxfId="0" priority="508">
      <formula>#REF!&lt;&gt;""</formula>
    </cfRule>
    <cfRule type="expression" priority="509">
      <formula>#REF!&lt;&gt;""</formula>
    </cfRule>
    <cfRule type="expression" priority="510">
      <formula>$A$2</formula>
    </cfRule>
  </conditionalFormatting>
  <conditionalFormatting sqref="H914">
    <cfRule type="expression" dxfId="0" priority="643">
      <formula>$A915&lt;&gt;""</formula>
    </cfRule>
    <cfRule type="expression" priority="644">
      <formula>$A915&lt;&gt;""</formula>
    </cfRule>
    <cfRule type="expression" priority="645">
      <formula>$A$2</formula>
    </cfRule>
  </conditionalFormatting>
  <conditionalFormatting sqref="F915">
    <cfRule type="expression" dxfId="0" priority="496">
      <formula>#REF!&lt;&gt;""</formula>
    </cfRule>
    <cfRule type="expression" priority="497">
      <formula>#REF!&lt;&gt;""</formula>
    </cfRule>
    <cfRule type="expression" priority="498">
      <formula>$A$2</formula>
    </cfRule>
  </conditionalFormatting>
  <conditionalFormatting sqref="H915">
    <cfRule type="expression" dxfId="0" priority="640">
      <formula>$A916&lt;&gt;""</formula>
    </cfRule>
    <cfRule type="expression" priority="641">
      <formula>$A916&lt;&gt;""</formula>
    </cfRule>
    <cfRule type="expression" priority="642">
      <formula>$A$2</formula>
    </cfRule>
  </conditionalFormatting>
  <conditionalFormatting sqref="F916">
    <cfRule type="expression" dxfId="0" priority="493">
      <formula>#REF!&lt;&gt;""</formula>
    </cfRule>
    <cfRule type="expression" priority="494">
      <formula>#REF!&lt;&gt;""</formula>
    </cfRule>
    <cfRule type="expression" priority="495">
      <formula>$A$2</formula>
    </cfRule>
  </conditionalFormatting>
  <conditionalFormatting sqref="H916">
    <cfRule type="expression" dxfId="0" priority="637">
      <formula>$A917&lt;&gt;""</formula>
    </cfRule>
    <cfRule type="expression" priority="638">
      <formula>$A917&lt;&gt;""</formula>
    </cfRule>
    <cfRule type="expression" priority="639">
      <formula>$A$2</formula>
    </cfRule>
  </conditionalFormatting>
  <conditionalFormatting sqref="A917">
    <cfRule type="expression" dxfId="0" priority="1123">
      <formula>#REF!&lt;&gt;""</formula>
    </cfRule>
    <cfRule type="expression" priority="1124">
      <formula>#REF!&lt;&gt;""</formula>
    </cfRule>
    <cfRule type="expression" priority="1125">
      <formula>$A$2</formula>
    </cfRule>
  </conditionalFormatting>
  <conditionalFormatting sqref="H917">
    <cfRule type="expression" dxfId="0" priority="634">
      <formula>$A918&lt;&gt;""</formula>
    </cfRule>
    <cfRule type="expression" priority="635">
      <formula>$A918&lt;&gt;""</formula>
    </cfRule>
    <cfRule type="expression" priority="636">
      <formula>$A$2</formula>
    </cfRule>
  </conditionalFormatting>
  <conditionalFormatting sqref="H918">
    <cfRule type="expression" dxfId="0" priority="631">
      <formula>$A919&lt;&gt;""</formula>
    </cfRule>
    <cfRule type="expression" priority="632">
      <formula>$A919&lt;&gt;""</formula>
    </cfRule>
    <cfRule type="expression" priority="633">
      <formula>$A$2</formula>
    </cfRule>
  </conditionalFormatting>
  <conditionalFormatting sqref="H919">
    <cfRule type="expression" dxfId="0" priority="628">
      <formula>$A920&lt;&gt;""</formula>
    </cfRule>
    <cfRule type="expression" priority="629">
      <formula>$A920&lt;&gt;""</formula>
    </cfRule>
    <cfRule type="expression" priority="630">
      <formula>$A$2</formula>
    </cfRule>
  </conditionalFormatting>
  <conditionalFormatting sqref="A920">
    <cfRule type="expression" dxfId="0" priority="1153">
      <formula>$A950&lt;&gt;""</formula>
    </cfRule>
    <cfRule type="expression" priority="1154">
      <formula>$A950&lt;&gt;""</formula>
    </cfRule>
    <cfRule type="expression" priority="1155">
      <formula>$A$2</formula>
    </cfRule>
  </conditionalFormatting>
  <conditionalFormatting sqref="G920">
    <cfRule type="expression" dxfId="0" priority="475">
      <formula>#REF!&lt;&gt;""</formula>
    </cfRule>
    <cfRule type="expression" priority="476">
      <formula>#REF!&lt;&gt;""</formula>
    </cfRule>
    <cfRule type="expression" priority="477">
      <formula>$A$2</formula>
    </cfRule>
  </conditionalFormatting>
  <conditionalFormatting sqref="H920">
    <cfRule type="expression" dxfId="0" priority="625">
      <formula>$A921&lt;&gt;""</formula>
    </cfRule>
    <cfRule type="expression" priority="626">
      <formula>$A921&lt;&gt;""</formula>
    </cfRule>
    <cfRule type="expression" priority="627">
      <formula>$A$2</formula>
    </cfRule>
  </conditionalFormatting>
  <conditionalFormatting sqref="H921">
    <cfRule type="expression" dxfId="0" priority="622">
      <formula>$A922&lt;&gt;""</formula>
    </cfRule>
    <cfRule type="expression" priority="623">
      <formula>$A922&lt;&gt;""</formula>
    </cfRule>
    <cfRule type="expression" priority="624">
      <formula>$A$2</formula>
    </cfRule>
  </conditionalFormatting>
  <conditionalFormatting sqref="H922">
    <cfRule type="expression" dxfId="0" priority="619">
      <formula>$A923&lt;&gt;""</formula>
    </cfRule>
    <cfRule type="expression" priority="620">
      <formula>$A923&lt;&gt;""</formula>
    </cfRule>
    <cfRule type="expression" priority="621">
      <formula>$A$2</formula>
    </cfRule>
  </conditionalFormatting>
  <conditionalFormatting sqref="H923">
    <cfRule type="expression" dxfId="0" priority="616">
      <formula>$A924&lt;&gt;""</formula>
    </cfRule>
    <cfRule type="expression" priority="617">
      <formula>$A924&lt;&gt;""</formula>
    </cfRule>
    <cfRule type="expression" priority="618">
      <formula>$A$2</formula>
    </cfRule>
  </conditionalFormatting>
  <conditionalFormatting sqref="H924">
    <cfRule type="expression" dxfId="0" priority="613">
      <formula>$A925&lt;&gt;""</formula>
    </cfRule>
    <cfRule type="expression" priority="614">
      <formula>$A925&lt;&gt;""</formula>
    </cfRule>
    <cfRule type="expression" priority="615">
      <formula>$A$2</formula>
    </cfRule>
  </conditionalFormatting>
  <conditionalFormatting sqref="H925">
    <cfRule type="expression" dxfId="0" priority="610">
      <formula>$A926&lt;&gt;""</formula>
    </cfRule>
    <cfRule type="expression" priority="611">
      <formula>$A926&lt;&gt;""</formula>
    </cfRule>
    <cfRule type="expression" priority="612">
      <formula>$A$2</formula>
    </cfRule>
  </conditionalFormatting>
  <conditionalFormatting sqref="H926">
    <cfRule type="expression" dxfId="0" priority="607">
      <formula>$A927&lt;&gt;""</formula>
    </cfRule>
    <cfRule type="expression" priority="608">
      <formula>$A927&lt;&gt;""</formula>
    </cfRule>
    <cfRule type="expression" priority="609">
      <formula>$A$2</formula>
    </cfRule>
  </conditionalFormatting>
  <conditionalFormatting sqref="H927">
    <cfRule type="expression" dxfId="0" priority="604">
      <formula>$A928&lt;&gt;""</formula>
    </cfRule>
    <cfRule type="expression" priority="605">
      <formula>$A928&lt;&gt;""</formula>
    </cfRule>
    <cfRule type="expression" priority="606">
      <formula>$A$2</formula>
    </cfRule>
  </conditionalFormatting>
  <conditionalFormatting sqref="H928">
    <cfRule type="expression" dxfId="0" priority="601">
      <formula>$A929&lt;&gt;""</formula>
    </cfRule>
    <cfRule type="expression" priority="602">
      <formula>$A929&lt;&gt;""</formula>
    </cfRule>
    <cfRule type="expression" priority="603">
      <formula>$A$2</formula>
    </cfRule>
  </conditionalFormatting>
  <conditionalFormatting sqref="H929">
    <cfRule type="expression" dxfId="0" priority="598">
      <formula>$A930&lt;&gt;""</formula>
    </cfRule>
    <cfRule type="expression" priority="599">
      <formula>$A930&lt;&gt;""</formula>
    </cfRule>
    <cfRule type="expression" priority="600">
      <formula>$A$2</formula>
    </cfRule>
  </conditionalFormatting>
  <conditionalFormatting sqref="H930">
    <cfRule type="expression" dxfId="0" priority="595">
      <formula>$A931&lt;&gt;""</formula>
    </cfRule>
    <cfRule type="expression" priority="596">
      <formula>$A931&lt;&gt;""</formula>
    </cfRule>
    <cfRule type="expression" priority="597">
      <formula>$A$2</formula>
    </cfRule>
  </conditionalFormatting>
  <conditionalFormatting sqref="H931">
    <cfRule type="expression" dxfId="0" priority="592">
      <formula>$A932&lt;&gt;""</formula>
    </cfRule>
    <cfRule type="expression" priority="593">
      <formula>$A932&lt;&gt;""</formula>
    </cfRule>
    <cfRule type="expression" priority="594">
      <formula>$A$2</formula>
    </cfRule>
  </conditionalFormatting>
  <conditionalFormatting sqref="H932">
    <cfRule type="expression" dxfId="0" priority="589">
      <formula>$A933&lt;&gt;""</formula>
    </cfRule>
    <cfRule type="expression" priority="590">
      <formula>$A933&lt;&gt;""</formula>
    </cfRule>
    <cfRule type="expression" priority="591">
      <formula>$A$2</formula>
    </cfRule>
  </conditionalFormatting>
  <conditionalFormatting sqref="H933">
    <cfRule type="expression" dxfId="0" priority="586">
      <formula>$A934&lt;&gt;""</formula>
    </cfRule>
    <cfRule type="expression" priority="587">
      <formula>$A934&lt;&gt;""</formula>
    </cfRule>
    <cfRule type="expression" priority="588">
      <formula>$A$2</formula>
    </cfRule>
  </conditionalFormatting>
  <conditionalFormatting sqref="H934">
    <cfRule type="expression" dxfId="0" priority="583">
      <formula>$A935&lt;&gt;""</formula>
    </cfRule>
    <cfRule type="expression" priority="584">
      <formula>$A935&lt;&gt;""</formula>
    </cfRule>
    <cfRule type="expression" priority="585">
      <formula>$A$2</formula>
    </cfRule>
  </conditionalFormatting>
  <conditionalFormatting sqref="H935">
    <cfRule type="expression" dxfId="0" priority="580">
      <formula>$A936&lt;&gt;""</formula>
    </cfRule>
    <cfRule type="expression" priority="581">
      <formula>$A936&lt;&gt;""</formula>
    </cfRule>
    <cfRule type="expression" priority="582">
      <formula>$A$2</formula>
    </cfRule>
  </conditionalFormatting>
  <conditionalFormatting sqref="H936">
    <cfRule type="expression" dxfId="0" priority="577">
      <formula>$A937&lt;&gt;""</formula>
    </cfRule>
    <cfRule type="expression" priority="578">
      <formula>$A937&lt;&gt;""</formula>
    </cfRule>
    <cfRule type="expression" priority="579">
      <formula>$A$2</formula>
    </cfRule>
  </conditionalFormatting>
  <conditionalFormatting sqref="H937">
    <cfRule type="expression" dxfId="0" priority="571">
      <formula>$A938&lt;&gt;""</formula>
    </cfRule>
    <cfRule type="expression" priority="572">
      <formula>$A938&lt;&gt;""</formula>
    </cfRule>
    <cfRule type="expression" priority="573">
      <formula>$A$2</formula>
    </cfRule>
  </conditionalFormatting>
  <conditionalFormatting sqref="H938">
    <cfRule type="expression" dxfId="0" priority="568">
      <formula>$A939&lt;&gt;""</formula>
    </cfRule>
    <cfRule type="expression" priority="569">
      <formula>$A939&lt;&gt;""</formula>
    </cfRule>
    <cfRule type="expression" priority="570">
      <formula>$A$2</formula>
    </cfRule>
  </conditionalFormatting>
  <conditionalFormatting sqref="H939">
    <cfRule type="expression" dxfId="0" priority="565">
      <formula>$A940&lt;&gt;""</formula>
    </cfRule>
    <cfRule type="expression" priority="566">
      <formula>$A940&lt;&gt;""</formula>
    </cfRule>
    <cfRule type="expression" priority="567">
      <formula>$A$2</formula>
    </cfRule>
  </conditionalFormatting>
  <conditionalFormatting sqref="H940">
    <cfRule type="expression" dxfId="0" priority="562">
      <formula>$A941&lt;&gt;""</formula>
    </cfRule>
    <cfRule type="expression" priority="563">
      <formula>$A941&lt;&gt;""</formula>
    </cfRule>
    <cfRule type="expression" priority="564">
      <formula>$A$2</formula>
    </cfRule>
  </conditionalFormatting>
  <conditionalFormatting sqref="H941">
    <cfRule type="expression" dxfId="0" priority="559">
      <formula>$A942&lt;&gt;""</formula>
    </cfRule>
    <cfRule type="expression" priority="560">
      <formula>$A942&lt;&gt;""</formula>
    </cfRule>
    <cfRule type="expression" priority="561">
      <formula>$A$2</formula>
    </cfRule>
  </conditionalFormatting>
  <conditionalFormatting sqref="H942">
    <cfRule type="expression" dxfId="0" priority="556">
      <formula>$A943&lt;&gt;""</formula>
    </cfRule>
    <cfRule type="expression" priority="557">
      <formula>$A943&lt;&gt;""</formula>
    </cfRule>
    <cfRule type="expression" priority="558">
      <formula>$A$2</formula>
    </cfRule>
  </conditionalFormatting>
  <conditionalFormatting sqref="H943">
    <cfRule type="expression" dxfId="0" priority="553">
      <formula>$A944&lt;&gt;""</formula>
    </cfRule>
    <cfRule type="expression" priority="554">
      <formula>$A944&lt;&gt;""</formula>
    </cfRule>
    <cfRule type="expression" priority="555">
      <formula>$A$2</formula>
    </cfRule>
  </conditionalFormatting>
  <conditionalFormatting sqref="C944">
    <cfRule type="expression" dxfId="0" priority="1069">
      <formula>$A977&lt;&gt;""</formula>
    </cfRule>
    <cfRule type="expression" priority="1070">
      <formula>$A977&lt;&gt;""</formula>
    </cfRule>
    <cfRule type="expression" priority="1071">
      <formula>$A$2</formula>
    </cfRule>
  </conditionalFormatting>
  <conditionalFormatting sqref="E944">
    <cfRule type="expression" dxfId="0" priority="1072">
      <formula>$A982&lt;&gt;""</formula>
    </cfRule>
    <cfRule type="expression" priority="1073">
      <formula>$A982&lt;&gt;""</formula>
    </cfRule>
    <cfRule type="expression" priority="1074">
      <formula>$A$2</formula>
    </cfRule>
  </conditionalFormatting>
  <conditionalFormatting sqref="H944">
    <cfRule type="expression" dxfId="0" priority="550">
      <formula>$A945&lt;&gt;""</formula>
    </cfRule>
    <cfRule type="expression" priority="551">
      <formula>$A945&lt;&gt;""</formula>
    </cfRule>
    <cfRule type="expression" priority="552">
      <formula>$A$2</formula>
    </cfRule>
  </conditionalFormatting>
  <conditionalFormatting sqref="H945">
    <cfRule type="expression" dxfId="0" priority="547">
      <formula>$A946&lt;&gt;""</formula>
    </cfRule>
    <cfRule type="expression" priority="548">
      <formula>$A946&lt;&gt;""</formula>
    </cfRule>
    <cfRule type="expression" priority="549">
      <formula>$A$2</formula>
    </cfRule>
  </conditionalFormatting>
  <conditionalFormatting sqref="H946">
    <cfRule type="expression" dxfId="0" priority="544">
      <formula>$A947&lt;&gt;""</formula>
    </cfRule>
    <cfRule type="expression" priority="545">
      <formula>$A947&lt;&gt;""</formula>
    </cfRule>
    <cfRule type="expression" priority="546">
      <formula>$A$2</formula>
    </cfRule>
  </conditionalFormatting>
  <conditionalFormatting sqref="A947">
    <cfRule type="expression" dxfId="0" priority="1048">
      <formula>$A975&lt;&gt;""</formula>
    </cfRule>
    <cfRule type="expression" priority="1049">
      <formula>$A975&lt;&gt;""</formula>
    </cfRule>
    <cfRule type="expression" priority="1050">
      <formula>$A$2</formula>
    </cfRule>
  </conditionalFormatting>
  <conditionalFormatting sqref="H947">
    <cfRule type="expression" dxfId="0" priority="541">
      <formula>$A948&lt;&gt;""</formula>
    </cfRule>
    <cfRule type="expression" priority="542">
      <formula>$A948&lt;&gt;""</formula>
    </cfRule>
    <cfRule type="expression" priority="543">
      <formula>$A$2</formula>
    </cfRule>
  </conditionalFormatting>
  <conditionalFormatting sqref="L947:XFD947">
    <cfRule type="expression" dxfId="0" priority="1171">
      <formula>$A977&lt;&gt;""</formula>
    </cfRule>
    <cfRule type="expression" priority="1172">
      <formula>$A977&lt;&gt;""</formula>
    </cfRule>
    <cfRule type="expression" priority="1173">
      <formula>$A$2</formula>
    </cfRule>
  </conditionalFormatting>
  <conditionalFormatting sqref="H948">
    <cfRule type="expression" dxfId="0" priority="538">
      <formula>$A949&lt;&gt;""</formula>
    </cfRule>
    <cfRule type="expression" priority="539">
      <formula>$A949&lt;&gt;""</formula>
    </cfRule>
    <cfRule type="expression" priority="540">
      <formula>$A$2</formula>
    </cfRule>
  </conditionalFormatting>
  <conditionalFormatting sqref="H949">
    <cfRule type="expression" dxfId="0" priority="412">
      <formula>#REF!&lt;&gt;""</formula>
    </cfRule>
    <cfRule type="expression" priority="413">
      <formula>#REF!&lt;&gt;""</formula>
    </cfRule>
    <cfRule type="expression" priority="414">
      <formula>$A$2</formula>
    </cfRule>
  </conditionalFormatting>
  <conditionalFormatting sqref="R950">
    <cfRule type="expression" dxfId="0" priority="1267">
      <formula>$A979&lt;&gt;""</formula>
    </cfRule>
    <cfRule type="expression" priority="1268">
      <formula>$A979&lt;&gt;""</formula>
    </cfRule>
    <cfRule type="expression" priority="1269">
      <formula>$A$2</formula>
    </cfRule>
  </conditionalFormatting>
  <conditionalFormatting sqref="AV950:XFD950">
    <cfRule type="expression" dxfId="0" priority="1174">
      <formula>$A984&lt;&gt;""</formula>
    </cfRule>
    <cfRule type="expression" priority="1175">
      <formula>$A984&lt;&gt;""</formula>
    </cfRule>
    <cfRule type="expression" priority="1176">
      <formula>$A$2</formula>
    </cfRule>
  </conditionalFormatting>
  <conditionalFormatting sqref="AV951:XFD951">
    <cfRule type="expression" dxfId="0" priority="1027">
      <formula>#REF!&lt;&gt;""</formula>
    </cfRule>
    <cfRule type="expression" priority="1028">
      <formula>#REF!&lt;&gt;""</formula>
    </cfRule>
    <cfRule type="expression" priority="1029">
      <formula>$A$2</formula>
    </cfRule>
  </conditionalFormatting>
  <conditionalFormatting sqref="H952">
    <cfRule type="expression" dxfId="0" priority="532">
      <formula>$A953&lt;&gt;""</formula>
    </cfRule>
    <cfRule type="expression" priority="533">
      <formula>$A953&lt;&gt;""</formula>
    </cfRule>
    <cfRule type="expression" priority="534">
      <formula>$A$2</formula>
    </cfRule>
  </conditionalFormatting>
  <conditionalFormatting sqref="H953">
    <cfRule type="expression" dxfId="0" priority="529">
      <formula>$A954&lt;&gt;""</formula>
    </cfRule>
    <cfRule type="expression" priority="530">
      <formula>$A954&lt;&gt;""</formula>
    </cfRule>
    <cfRule type="expression" priority="531">
      <formula>$A$2</formula>
    </cfRule>
  </conditionalFormatting>
  <conditionalFormatting sqref="H954">
    <cfRule type="expression" dxfId="0" priority="526">
      <formula>$A955&lt;&gt;""</formula>
    </cfRule>
    <cfRule type="expression" priority="527">
      <formula>$A955&lt;&gt;""</formula>
    </cfRule>
    <cfRule type="expression" priority="528">
      <formula>$A$2</formula>
    </cfRule>
  </conditionalFormatting>
  <conditionalFormatting sqref="H955">
    <cfRule type="expression" dxfId="0" priority="523">
      <formula>$A956&lt;&gt;""</formula>
    </cfRule>
    <cfRule type="expression" priority="524">
      <formula>$A956&lt;&gt;""</formula>
    </cfRule>
    <cfRule type="expression" priority="525">
      <formula>$A$2</formula>
    </cfRule>
  </conditionalFormatting>
  <conditionalFormatting sqref="A959">
    <cfRule type="expression" dxfId="0" priority="226">
      <formula>$A967&lt;&gt;""</formula>
    </cfRule>
    <cfRule type="expression" priority="227">
      <formula>$A967&lt;&gt;""</formula>
    </cfRule>
    <cfRule type="expression" priority="228">
      <formula>$A$2</formula>
    </cfRule>
  </conditionalFormatting>
  <conditionalFormatting sqref="B959">
    <cfRule type="expression" dxfId="0" priority="406">
      <formula>$A967&lt;&gt;""</formula>
    </cfRule>
    <cfRule type="expression" priority="407">
      <formula>$A967&lt;&gt;""</formula>
    </cfRule>
    <cfRule type="expression" priority="408">
      <formula>$A$2</formula>
    </cfRule>
  </conditionalFormatting>
  <conditionalFormatting sqref="A962">
    <cfRule type="expression" dxfId="0" priority="223">
      <formula>$A970&lt;&gt;""</formula>
    </cfRule>
    <cfRule type="expression" priority="224">
      <formula>$A970&lt;&gt;""</formula>
    </cfRule>
    <cfRule type="expression" priority="225">
      <formula>$A$2</formula>
    </cfRule>
  </conditionalFormatting>
  <conditionalFormatting sqref="B962">
    <cfRule type="expression" dxfId="0" priority="403">
      <formula>$A970&lt;&gt;""</formula>
    </cfRule>
    <cfRule type="expression" priority="404">
      <formula>$A970&lt;&gt;""</formula>
    </cfRule>
    <cfRule type="expression" priority="405">
      <formula>$A$2</formula>
    </cfRule>
  </conditionalFormatting>
  <conditionalFormatting sqref="A965">
    <cfRule type="expression" dxfId="0" priority="220">
      <formula>$A973&lt;&gt;""</formula>
    </cfRule>
    <cfRule type="expression" priority="221">
      <formula>$A973&lt;&gt;""</formula>
    </cfRule>
    <cfRule type="expression" priority="222">
      <formula>$A$2</formula>
    </cfRule>
  </conditionalFormatting>
  <conditionalFormatting sqref="B965">
    <cfRule type="expression" dxfId="0" priority="400">
      <formula>$A973&lt;&gt;""</formula>
    </cfRule>
    <cfRule type="expression" priority="401">
      <formula>$A973&lt;&gt;""</formula>
    </cfRule>
    <cfRule type="expression" priority="402">
      <formula>$A$2</formula>
    </cfRule>
  </conditionalFormatting>
  <conditionalFormatting sqref="A968">
    <cfRule type="expression" dxfId="0" priority="217">
      <formula>$A976&lt;&gt;""</formula>
    </cfRule>
    <cfRule type="expression" priority="218">
      <formula>$A976&lt;&gt;""</formula>
    </cfRule>
    <cfRule type="expression" priority="219">
      <formula>$A$2</formula>
    </cfRule>
  </conditionalFormatting>
  <conditionalFormatting sqref="B968">
    <cfRule type="expression" dxfId="0" priority="397">
      <formula>$A976&lt;&gt;""</formula>
    </cfRule>
    <cfRule type="expression" priority="398">
      <formula>$A976&lt;&gt;""</formula>
    </cfRule>
    <cfRule type="expression" priority="399">
      <formula>$A$2</formula>
    </cfRule>
  </conditionalFormatting>
  <conditionalFormatting sqref="A971">
    <cfRule type="expression" dxfId="0" priority="214">
      <formula>$A979&lt;&gt;""</formula>
    </cfRule>
    <cfRule type="expression" priority="215">
      <formula>$A979&lt;&gt;""</formula>
    </cfRule>
    <cfRule type="expression" priority="216">
      <formula>$A$2</formula>
    </cfRule>
  </conditionalFormatting>
  <conditionalFormatting sqref="B971">
    <cfRule type="expression" dxfId="0" priority="394">
      <formula>$A979&lt;&gt;""</formula>
    </cfRule>
    <cfRule type="expression" priority="395">
      <formula>$A979&lt;&gt;""</formula>
    </cfRule>
    <cfRule type="expression" priority="396">
      <formula>$A$2</formula>
    </cfRule>
  </conditionalFormatting>
  <conditionalFormatting sqref="A974">
    <cfRule type="expression" dxfId="0" priority="211">
      <formula>$A982&lt;&gt;""</formula>
    </cfRule>
    <cfRule type="expression" priority="212">
      <formula>$A982&lt;&gt;""</formula>
    </cfRule>
    <cfRule type="expression" priority="213">
      <formula>$A$2</formula>
    </cfRule>
  </conditionalFormatting>
  <conditionalFormatting sqref="B974">
    <cfRule type="expression" dxfId="0" priority="391">
      <formula>$A982&lt;&gt;""</formula>
    </cfRule>
    <cfRule type="expression" priority="392">
      <formula>$A982&lt;&gt;""</formula>
    </cfRule>
    <cfRule type="expression" priority="393">
      <formula>$A$2</formula>
    </cfRule>
  </conditionalFormatting>
  <conditionalFormatting sqref="A977">
    <cfRule type="expression" dxfId="0" priority="208">
      <formula>$A985&lt;&gt;""</formula>
    </cfRule>
    <cfRule type="expression" priority="209">
      <formula>$A985&lt;&gt;""</formula>
    </cfRule>
    <cfRule type="expression" priority="210">
      <formula>$A$2</formula>
    </cfRule>
  </conditionalFormatting>
  <conditionalFormatting sqref="B977">
    <cfRule type="expression" dxfId="0" priority="388">
      <formula>$A985&lt;&gt;""</formula>
    </cfRule>
    <cfRule type="expression" priority="389">
      <formula>$A985&lt;&gt;""</formula>
    </cfRule>
    <cfRule type="expression" priority="390">
      <formula>$A$2</formula>
    </cfRule>
  </conditionalFormatting>
  <conditionalFormatting sqref="A980">
    <cfRule type="expression" dxfId="0" priority="205">
      <formula>$A988&lt;&gt;""</formula>
    </cfRule>
    <cfRule type="expression" priority="206">
      <formula>$A988&lt;&gt;""</formula>
    </cfRule>
    <cfRule type="expression" priority="207">
      <formula>$A$2</formula>
    </cfRule>
  </conditionalFormatting>
  <conditionalFormatting sqref="B980">
    <cfRule type="expression" dxfId="0" priority="385">
      <formula>$A988&lt;&gt;""</formula>
    </cfRule>
    <cfRule type="expression" priority="386">
      <formula>$A988&lt;&gt;""</formula>
    </cfRule>
    <cfRule type="expression" priority="387">
      <formula>$A$2</formula>
    </cfRule>
  </conditionalFormatting>
  <conditionalFormatting sqref="A983">
    <cfRule type="expression" dxfId="0" priority="202">
      <formula>$A991&lt;&gt;""</formula>
    </cfRule>
    <cfRule type="expression" priority="203">
      <formula>$A991&lt;&gt;""</formula>
    </cfRule>
    <cfRule type="expression" priority="204">
      <formula>$A$2</formula>
    </cfRule>
  </conditionalFormatting>
  <conditionalFormatting sqref="B983">
    <cfRule type="expression" dxfId="0" priority="382">
      <formula>$A991&lt;&gt;""</formula>
    </cfRule>
    <cfRule type="expression" priority="383">
      <formula>$A991&lt;&gt;""</formula>
    </cfRule>
    <cfRule type="expression" priority="384">
      <formula>$A$2</formula>
    </cfRule>
  </conditionalFormatting>
  <conditionalFormatting sqref="A986">
    <cfRule type="expression" dxfId="0" priority="199">
      <formula>$A994&lt;&gt;""</formula>
    </cfRule>
    <cfRule type="expression" priority="200">
      <formula>$A994&lt;&gt;""</formula>
    </cfRule>
    <cfRule type="expression" priority="201">
      <formula>$A$2</formula>
    </cfRule>
  </conditionalFormatting>
  <conditionalFormatting sqref="B986">
    <cfRule type="expression" dxfId="0" priority="379">
      <formula>$A994&lt;&gt;""</formula>
    </cfRule>
    <cfRule type="expression" priority="380">
      <formula>$A994&lt;&gt;""</formula>
    </cfRule>
    <cfRule type="expression" priority="381">
      <formula>$A$2</formula>
    </cfRule>
  </conditionalFormatting>
  <conditionalFormatting sqref="A989">
    <cfRule type="expression" dxfId="0" priority="196">
      <formula>$A997&lt;&gt;""</formula>
    </cfRule>
    <cfRule type="expression" priority="197">
      <formula>$A997&lt;&gt;""</formula>
    </cfRule>
    <cfRule type="expression" priority="198">
      <formula>$A$2</formula>
    </cfRule>
  </conditionalFormatting>
  <conditionalFormatting sqref="B989">
    <cfRule type="expression" dxfId="0" priority="376">
      <formula>$A997&lt;&gt;""</formula>
    </cfRule>
    <cfRule type="expression" priority="377">
      <formula>$A997&lt;&gt;""</formula>
    </cfRule>
    <cfRule type="expression" priority="378">
      <formula>$A$2</formula>
    </cfRule>
  </conditionalFormatting>
  <conditionalFormatting sqref="A992">
    <cfRule type="expression" dxfId="0" priority="193">
      <formula>$A1000&lt;&gt;""</formula>
    </cfRule>
    <cfRule type="expression" priority="194">
      <formula>$A1000&lt;&gt;""</formula>
    </cfRule>
    <cfRule type="expression" priority="195">
      <formula>$A$2</formula>
    </cfRule>
  </conditionalFormatting>
  <conditionalFormatting sqref="B992">
    <cfRule type="expression" dxfId="0" priority="373">
      <formula>$A1000&lt;&gt;""</formula>
    </cfRule>
    <cfRule type="expression" priority="374">
      <formula>$A1000&lt;&gt;""</formula>
    </cfRule>
    <cfRule type="expression" priority="375">
      <formula>$A$2</formula>
    </cfRule>
  </conditionalFormatting>
  <conditionalFormatting sqref="A995">
    <cfRule type="expression" dxfId="0" priority="190">
      <formula>$A1003&lt;&gt;""</formula>
    </cfRule>
    <cfRule type="expression" priority="191">
      <formula>$A1003&lt;&gt;""</formula>
    </cfRule>
    <cfRule type="expression" priority="192">
      <formula>$A$2</formula>
    </cfRule>
  </conditionalFormatting>
  <conditionalFormatting sqref="B995">
    <cfRule type="expression" dxfId="0" priority="370">
      <formula>$A1003&lt;&gt;""</formula>
    </cfRule>
    <cfRule type="expression" priority="371">
      <formula>$A1003&lt;&gt;""</formula>
    </cfRule>
    <cfRule type="expression" priority="372">
      <formula>$A$2</formula>
    </cfRule>
  </conditionalFormatting>
  <conditionalFormatting sqref="A998">
    <cfRule type="expression" dxfId="0" priority="187">
      <formula>$A1006&lt;&gt;""</formula>
    </cfRule>
    <cfRule type="expression" priority="188">
      <formula>$A1006&lt;&gt;""</formula>
    </cfRule>
    <cfRule type="expression" priority="189">
      <formula>$A$2</formula>
    </cfRule>
  </conditionalFormatting>
  <conditionalFormatting sqref="B998">
    <cfRule type="expression" dxfId="0" priority="364">
      <formula>$A1006&lt;&gt;""</formula>
    </cfRule>
    <cfRule type="expression" priority="365">
      <formula>$A1006&lt;&gt;""</formula>
    </cfRule>
    <cfRule type="expression" priority="366">
      <formula>$A$2</formula>
    </cfRule>
  </conditionalFormatting>
  <conditionalFormatting sqref="A1001">
    <cfRule type="expression" dxfId="0" priority="184">
      <formula>$A1009&lt;&gt;""</formula>
    </cfRule>
    <cfRule type="expression" priority="185">
      <formula>$A1009&lt;&gt;""</formula>
    </cfRule>
    <cfRule type="expression" priority="186">
      <formula>$A$2</formula>
    </cfRule>
  </conditionalFormatting>
  <conditionalFormatting sqref="B1001">
    <cfRule type="expression" dxfId="0" priority="361">
      <formula>$A1009&lt;&gt;""</formula>
    </cfRule>
    <cfRule type="expression" priority="362">
      <formula>$A1009&lt;&gt;""</formula>
    </cfRule>
    <cfRule type="expression" priority="363">
      <formula>$A$2</formula>
    </cfRule>
  </conditionalFormatting>
  <conditionalFormatting sqref="A1004">
    <cfRule type="expression" dxfId="0" priority="181">
      <formula>$A1012&lt;&gt;""</formula>
    </cfRule>
    <cfRule type="expression" priority="182">
      <formula>$A1012&lt;&gt;""</formula>
    </cfRule>
    <cfRule type="expression" priority="183">
      <formula>$A$2</formula>
    </cfRule>
  </conditionalFormatting>
  <conditionalFormatting sqref="B1004">
    <cfRule type="expression" dxfId="0" priority="358">
      <formula>$A1012&lt;&gt;""</formula>
    </cfRule>
    <cfRule type="expression" priority="359">
      <formula>$A1012&lt;&gt;""</formula>
    </cfRule>
    <cfRule type="expression" priority="360">
      <formula>$A$2</formula>
    </cfRule>
  </conditionalFormatting>
  <conditionalFormatting sqref="A1007">
    <cfRule type="expression" dxfId="0" priority="178">
      <formula>$A1015&lt;&gt;""</formula>
    </cfRule>
    <cfRule type="expression" priority="179">
      <formula>$A1015&lt;&gt;""</formula>
    </cfRule>
    <cfRule type="expression" priority="180">
      <formula>$A$2</formula>
    </cfRule>
  </conditionalFormatting>
  <conditionalFormatting sqref="B1007">
    <cfRule type="expression" dxfId="0" priority="355">
      <formula>$A1015&lt;&gt;""</formula>
    </cfRule>
    <cfRule type="expression" priority="356">
      <formula>$A1015&lt;&gt;""</formula>
    </cfRule>
    <cfRule type="expression" priority="357">
      <formula>$A$2</formula>
    </cfRule>
  </conditionalFormatting>
  <conditionalFormatting sqref="A1010">
    <cfRule type="expression" dxfId="0" priority="175">
      <formula>$A1018&lt;&gt;""</formula>
    </cfRule>
    <cfRule type="expression" priority="176">
      <formula>$A1018&lt;&gt;""</formula>
    </cfRule>
    <cfRule type="expression" priority="177">
      <formula>$A$2</formula>
    </cfRule>
  </conditionalFormatting>
  <conditionalFormatting sqref="B1010">
    <cfRule type="expression" dxfId="0" priority="352">
      <formula>$A1018&lt;&gt;""</formula>
    </cfRule>
    <cfRule type="expression" priority="353">
      <formula>$A1018&lt;&gt;""</formula>
    </cfRule>
    <cfRule type="expression" priority="354">
      <formula>$A$2</formula>
    </cfRule>
  </conditionalFormatting>
  <conditionalFormatting sqref="A1013">
    <cfRule type="expression" dxfId="0" priority="172">
      <formula>$A1021&lt;&gt;""</formula>
    </cfRule>
    <cfRule type="expression" priority="173">
      <formula>$A1021&lt;&gt;""</formula>
    </cfRule>
    <cfRule type="expression" priority="174">
      <formula>$A$2</formula>
    </cfRule>
  </conditionalFormatting>
  <conditionalFormatting sqref="B1013">
    <cfRule type="expression" dxfId="0" priority="349">
      <formula>$A1021&lt;&gt;""</formula>
    </cfRule>
    <cfRule type="expression" priority="350">
      <formula>$A1021&lt;&gt;""</formula>
    </cfRule>
    <cfRule type="expression" priority="351">
      <formula>$A$2</formula>
    </cfRule>
  </conditionalFormatting>
  <conditionalFormatting sqref="A1016">
    <cfRule type="expression" dxfId="0" priority="169">
      <formula>$A1024&lt;&gt;""</formula>
    </cfRule>
    <cfRule type="expression" priority="170">
      <formula>$A1024&lt;&gt;""</formula>
    </cfRule>
    <cfRule type="expression" priority="171">
      <formula>$A$2</formula>
    </cfRule>
  </conditionalFormatting>
  <conditionalFormatting sqref="B1016">
    <cfRule type="expression" dxfId="0" priority="346">
      <formula>$A1024&lt;&gt;""</formula>
    </cfRule>
    <cfRule type="expression" priority="347">
      <formula>$A1024&lt;&gt;""</formula>
    </cfRule>
    <cfRule type="expression" priority="348">
      <formula>$A$2</formula>
    </cfRule>
  </conditionalFormatting>
  <conditionalFormatting sqref="A1019">
    <cfRule type="expression" dxfId="0" priority="166">
      <formula>$A1027&lt;&gt;""</formula>
    </cfRule>
    <cfRule type="expression" priority="167">
      <formula>$A1027&lt;&gt;""</formula>
    </cfRule>
    <cfRule type="expression" priority="168">
      <formula>$A$2</formula>
    </cfRule>
  </conditionalFormatting>
  <conditionalFormatting sqref="B1019">
    <cfRule type="expression" dxfId="0" priority="343">
      <formula>$A1027&lt;&gt;""</formula>
    </cfRule>
    <cfRule type="expression" priority="344">
      <formula>$A1027&lt;&gt;""</formula>
    </cfRule>
    <cfRule type="expression" priority="345">
      <formula>$A$2</formula>
    </cfRule>
  </conditionalFormatting>
  <conditionalFormatting sqref="A1022">
    <cfRule type="expression" dxfId="0" priority="163">
      <formula>$A1030&lt;&gt;""</formula>
    </cfRule>
    <cfRule type="expression" priority="164">
      <formula>$A1030&lt;&gt;""</formula>
    </cfRule>
    <cfRule type="expression" priority="165">
      <formula>$A$2</formula>
    </cfRule>
  </conditionalFormatting>
  <conditionalFormatting sqref="B1022">
    <cfRule type="expression" dxfId="0" priority="340">
      <formula>$A1030&lt;&gt;""</formula>
    </cfRule>
    <cfRule type="expression" priority="341">
      <formula>$A1030&lt;&gt;""</formula>
    </cfRule>
    <cfRule type="expression" priority="342">
      <formula>$A$2</formula>
    </cfRule>
  </conditionalFormatting>
  <conditionalFormatting sqref="A1025">
    <cfRule type="expression" dxfId="0" priority="160">
      <formula>$A1033&lt;&gt;""</formula>
    </cfRule>
    <cfRule type="expression" priority="161">
      <formula>$A1033&lt;&gt;""</formula>
    </cfRule>
    <cfRule type="expression" priority="162">
      <formula>$A$2</formula>
    </cfRule>
  </conditionalFormatting>
  <conditionalFormatting sqref="B1025">
    <cfRule type="expression" dxfId="0" priority="337">
      <formula>$A1033&lt;&gt;""</formula>
    </cfRule>
    <cfRule type="expression" priority="338">
      <formula>$A1033&lt;&gt;""</formula>
    </cfRule>
    <cfRule type="expression" priority="339">
      <formula>$A$2</formula>
    </cfRule>
  </conditionalFormatting>
  <conditionalFormatting sqref="A1028">
    <cfRule type="expression" dxfId="0" priority="157">
      <formula>$A1036&lt;&gt;""</formula>
    </cfRule>
    <cfRule type="expression" priority="158">
      <formula>$A1036&lt;&gt;""</formula>
    </cfRule>
    <cfRule type="expression" priority="159">
      <formula>$A$2</formula>
    </cfRule>
  </conditionalFormatting>
  <conditionalFormatting sqref="B1028">
    <cfRule type="expression" dxfId="0" priority="334">
      <formula>$A1036&lt;&gt;""</formula>
    </cfRule>
    <cfRule type="expression" priority="335">
      <formula>$A1036&lt;&gt;""</formula>
    </cfRule>
    <cfRule type="expression" priority="336">
      <formula>$A$2</formula>
    </cfRule>
  </conditionalFormatting>
  <conditionalFormatting sqref="A1031">
    <cfRule type="expression" dxfId="0" priority="154">
      <formula>$A1039&lt;&gt;""</formula>
    </cfRule>
    <cfRule type="expression" priority="155">
      <formula>$A1039&lt;&gt;""</formula>
    </cfRule>
    <cfRule type="expression" priority="156">
      <formula>$A$2</formula>
    </cfRule>
  </conditionalFormatting>
  <conditionalFormatting sqref="B1031">
    <cfRule type="expression" dxfId="0" priority="331">
      <formula>$A1039&lt;&gt;""</formula>
    </cfRule>
    <cfRule type="expression" priority="332">
      <formula>$A1039&lt;&gt;""</formula>
    </cfRule>
    <cfRule type="expression" priority="333">
      <formula>$A$2</formula>
    </cfRule>
  </conditionalFormatting>
  <conditionalFormatting sqref="A1034">
    <cfRule type="expression" dxfId="0" priority="151">
      <formula>$A1042&lt;&gt;""</formula>
    </cfRule>
    <cfRule type="expression" priority="152">
      <formula>$A1042&lt;&gt;""</formula>
    </cfRule>
    <cfRule type="expression" priority="153">
      <formula>$A$2</formula>
    </cfRule>
  </conditionalFormatting>
  <conditionalFormatting sqref="B1034">
    <cfRule type="expression" dxfId="0" priority="328">
      <formula>$A1042&lt;&gt;""</formula>
    </cfRule>
    <cfRule type="expression" priority="329">
      <formula>$A1042&lt;&gt;""</formula>
    </cfRule>
    <cfRule type="expression" priority="330">
      <formula>$A$2</formula>
    </cfRule>
  </conditionalFormatting>
  <conditionalFormatting sqref="A1037">
    <cfRule type="expression" dxfId="0" priority="148">
      <formula>$A1045&lt;&gt;""</formula>
    </cfRule>
    <cfRule type="expression" priority="149">
      <formula>$A1045&lt;&gt;""</formula>
    </cfRule>
    <cfRule type="expression" priority="150">
      <formula>$A$2</formula>
    </cfRule>
  </conditionalFormatting>
  <conditionalFormatting sqref="B1037">
    <cfRule type="expression" dxfId="0" priority="325">
      <formula>$A1045&lt;&gt;""</formula>
    </cfRule>
    <cfRule type="expression" priority="326">
      <formula>$A1045&lt;&gt;""</formula>
    </cfRule>
    <cfRule type="expression" priority="327">
      <formula>$A$2</formula>
    </cfRule>
  </conditionalFormatting>
  <conditionalFormatting sqref="A1040">
    <cfRule type="expression" dxfId="0" priority="145">
      <formula>$A1048&lt;&gt;""</formula>
    </cfRule>
    <cfRule type="expression" priority="146">
      <formula>$A1048&lt;&gt;""</formula>
    </cfRule>
    <cfRule type="expression" priority="147">
      <formula>$A$2</formula>
    </cfRule>
  </conditionalFormatting>
  <conditionalFormatting sqref="B1040">
    <cfRule type="expression" dxfId="0" priority="319">
      <formula>$A1048&lt;&gt;""</formula>
    </cfRule>
    <cfRule type="expression" priority="320">
      <formula>$A1048&lt;&gt;""</formula>
    </cfRule>
    <cfRule type="expression" priority="321">
      <formula>$A$2</formula>
    </cfRule>
  </conditionalFormatting>
  <conditionalFormatting sqref="A1043">
    <cfRule type="expression" dxfId="0" priority="142">
      <formula>$A1051&lt;&gt;""</formula>
    </cfRule>
    <cfRule type="expression" priority="143">
      <formula>$A1051&lt;&gt;""</formula>
    </cfRule>
    <cfRule type="expression" priority="144">
      <formula>$A$2</formula>
    </cfRule>
  </conditionalFormatting>
  <conditionalFormatting sqref="B1043">
    <cfRule type="expression" dxfId="0" priority="316">
      <formula>$A1051&lt;&gt;""</formula>
    </cfRule>
    <cfRule type="expression" priority="317">
      <formula>$A1051&lt;&gt;""</formula>
    </cfRule>
    <cfRule type="expression" priority="318">
      <formula>$A$2</formula>
    </cfRule>
  </conditionalFormatting>
  <conditionalFormatting sqref="A1046">
    <cfRule type="expression" dxfId="0" priority="139">
      <formula>$A1054&lt;&gt;""</formula>
    </cfRule>
    <cfRule type="expression" priority="140">
      <formula>$A1054&lt;&gt;""</formula>
    </cfRule>
    <cfRule type="expression" priority="141">
      <formula>$A$2</formula>
    </cfRule>
  </conditionalFormatting>
  <conditionalFormatting sqref="B1046">
    <cfRule type="expression" dxfId="0" priority="313">
      <formula>$A1054&lt;&gt;""</formula>
    </cfRule>
    <cfRule type="expression" priority="314">
      <formula>$A1054&lt;&gt;""</formula>
    </cfRule>
    <cfRule type="expression" priority="315">
      <formula>$A$2</formula>
    </cfRule>
  </conditionalFormatting>
  <conditionalFormatting sqref="A1049">
    <cfRule type="expression" dxfId="0" priority="136">
      <formula>$A1057&lt;&gt;""</formula>
    </cfRule>
    <cfRule type="expression" priority="137">
      <formula>$A1057&lt;&gt;""</formula>
    </cfRule>
    <cfRule type="expression" priority="138">
      <formula>$A$2</formula>
    </cfRule>
  </conditionalFormatting>
  <conditionalFormatting sqref="B1049">
    <cfRule type="expression" dxfId="0" priority="310">
      <formula>$A1057&lt;&gt;""</formula>
    </cfRule>
    <cfRule type="expression" priority="311">
      <formula>$A1057&lt;&gt;""</formula>
    </cfRule>
    <cfRule type="expression" priority="312">
      <formula>$A$2</formula>
    </cfRule>
  </conditionalFormatting>
  <conditionalFormatting sqref="A1052">
    <cfRule type="expression" dxfId="0" priority="133">
      <formula>$A1060&lt;&gt;""</formula>
    </cfRule>
    <cfRule type="expression" priority="134">
      <formula>$A1060&lt;&gt;""</formula>
    </cfRule>
    <cfRule type="expression" priority="135">
      <formula>$A$2</formula>
    </cfRule>
  </conditionalFormatting>
  <conditionalFormatting sqref="B1052">
    <cfRule type="expression" dxfId="0" priority="307">
      <formula>$A1060&lt;&gt;""</formula>
    </cfRule>
    <cfRule type="expression" priority="308">
      <formula>$A1060&lt;&gt;""</formula>
    </cfRule>
    <cfRule type="expression" priority="309">
      <formula>$A$2</formula>
    </cfRule>
  </conditionalFormatting>
  <conditionalFormatting sqref="A1055">
    <cfRule type="expression" dxfId="0" priority="130">
      <formula>$A1063&lt;&gt;""</formula>
    </cfRule>
    <cfRule type="expression" priority="131">
      <formula>$A1063&lt;&gt;""</formula>
    </cfRule>
    <cfRule type="expression" priority="132">
      <formula>$A$2</formula>
    </cfRule>
  </conditionalFormatting>
  <conditionalFormatting sqref="B1055">
    <cfRule type="expression" dxfId="0" priority="304">
      <formula>$A1063&lt;&gt;""</formula>
    </cfRule>
    <cfRule type="expression" priority="305">
      <formula>$A1063&lt;&gt;""</formula>
    </cfRule>
    <cfRule type="expression" priority="306">
      <formula>$A$2</formula>
    </cfRule>
  </conditionalFormatting>
  <conditionalFormatting sqref="A1058">
    <cfRule type="expression" dxfId="0" priority="127">
      <formula>$A1066&lt;&gt;""</formula>
    </cfRule>
    <cfRule type="expression" priority="128">
      <formula>$A1066&lt;&gt;""</formula>
    </cfRule>
    <cfRule type="expression" priority="129">
      <formula>$A$2</formula>
    </cfRule>
  </conditionalFormatting>
  <conditionalFormatting sqref="B1058">
    <cfRule type="expression" dxfId="0" priority="301">
      <formula>$A1066&lt;&gt;""</formula>
    </cfRule>
    <cfRule type="expression" priority="302">
      <formula>$A1066&lt;&gt;""</formula>
    </cfRule>
    <cfRule type="expression" priority="303">
      <formula>$A$2</formula>
    </cfRule>
  </conditionalFormatting>
  <conditionalFormatting sqref="A1061">
    <cfRule type="expression" dxfId="0" priority="124">
      <formula>$A1069&lt;&gt;""</formula>
    </cfRule>
    <cfRule type="expression" priority="125">
      <formula>$A1069&lt;&gt;""</formula>
    </cfRule>
    <cfRule type="expression" priority="126">
      <formula>$A$2</formula>
    </cfRule>
  </conditionalFormatting>
  <conditionalFormatting sqref="B1061">
    <cfRule type="expression" dxfId="0" priority="298">
      <formula>$A1069&lt;&gt;""</formula>
    </cfRule>
    <cfRule type="expression" priority="299">
      <formula>$A1069&lt;&gt;""</formula>
    </cfRule>
    <cfRule type="expression" priority="300">
      <formula>$A$2</formula>
    </cfRule>
  </conditionalFormatting>
  <conditionalFormatting sqref="A1064">
    <cfRule type="expression" dxfId="0" priority="121">
      <formula>$A1072&lt;&gt;""</formula>
    </cfRule>
    <cfRule type="expression" priority="122">
      <formula>$A1072&lt;&gt;""</formula>
    </cfRule>
    <cfRule type="expression" priority="123">
      <formula>$A$2</formula>
    </cfRule>
  </conditionalFormatting>
  <conditionalFormatting sqref="B1064">
    <cfRule type="expression" dxfId="0" priority="295">
      <formula>$A1072&lt;&gt;""</formula>
    </cfRule>
    <cfRule type="expression" priority="296">
      <formula>$A1072&lt;&gt;""</formula>
    </cfRule>
    <cfRule type="expression" priority="297">
      <formula>$A$2</formula>
    </cfRule>
  </conditionalFormatting>
  <conditionalFormatting sqref="A1067">
    <cfRule type="expression" dxfId="0" priority="118">
      <formula>$A1075&lt;&gt;""</formula>
    </cfRule>
    <cfRule type="expression" priority="119">
      <formula>$A1075&lt;&gt;""</formula>
    </cfRule>
    <cfRule type="expression" priority="120">
      <formula>$A$2</formula>
    </cfRule>
  </conditionalFormatting>
  <conditionalFormatting sqref="B1067">
    <cfRule type="expression" dxfId="0" priority="292">
      <formula>$A1075&lt;&gt;""</formula>
    </cfRule>
    <cfRule type="expression" priority="293">
      <formula>$A1075&lt;&gt;""</formula>
    </cfRule>
    <cfRule type="expression" priority="294">
      <formula>$A$2</formula>
    </cfRule>
  </conditionalFormatting>
  <conditionalFormatting sqref="A1070">
    <cfRule type="expression" dxfId="0" priority="115">
      <formula>$A1078&lt;&gt;""</formula>
    </cfRule>
    <cfRule type="expression" priority="116">
      <formula>$A1078&lt;&gt;""</formula>
    </cfRule>
    <cfRule type="expression" priority="117">
      <formula>$A$2</formula>
    </cfRule>
  </conditionalFormatting>
  <conditionalFormatting sqref="B1070">
    <cfRule type="expression" dxfId="0" priority="289">
      <formula>$A1078&lt;&gt;""</formula>
    </cfRule>
    <cfRule type="expression" priority="290">
      <formula>$A1078&lt;&gt;""</formula>
    </cfRule>
    <cfRule type="expression" priority="291">
      <formula>$A$2</formula>
    </cfRule>
  </conditionalFormatting>
  <conditionalFormatting sqref="A1073">
    <cfRule type="expression" dxfId="0" priority="112">
      <formula>$A1081&lt;&gt;""</formula>
    </cfRule>
    <cfRule type="expression" priority="113">
      <formula>$A1081&lt;&gt;""</formula>
    </cfRule>
    <cfRule type="expression" priority="114">
      <formula>$A$2</formula>
    </cfRule>
  </conditionalFormatting>
  <conditionalFormatting sqref="B1073">
    <cfRule type="expression" dxfId="0" priority="286">
      <formula>$A1081&lt;&gt;""</formula>
    </cfRule>
    <cfRule type="expression" priority="287">
      <formula>$A1081&lt;&gt;""</formula>
    </cfRule>
    <cfRule type="expression" priority="288">
      <formula>$A$2</formula>
    </cfRule>
  </conditionalFormatting>
  <conditionalFormatting sqref="A1076">
    <cfRule type="expression" dxfId="0" priority="109">
      <formula>$A1084&lt;&gt;""</formula>
    </cfRule>
    <cfRule type="expression" priority="110">
      <formula>$A1084&lt;&gt;""</formula>
    </cfRule>
    <cfRule type="expression" priority="111">
      <formula>$A$2</formula>
    </cfRule>
  </conditionalFormatting>
  <conditionalFormatting sqref="B1076">
    <cfRule type="expression" dxfId="0" priority="283">
      <formula>$A1084&lt;&gt;""</formula>
    </cfRule>
    <cfRule type="expression" priority="284">
      <formula>$A1084&lt;&gt;""</formula>
    </cfRule>
    <cfRule type="expression" priority="285">
      <formula>$A$2</formula>
    </cfRule>
  </conditionalFormatting>
  <conditionalFormatting sqref="A1079">
    <cfRule type="expression" dxfId="0" priority="106">
      <formula>$A1087&lt;&gt;""</formula>
    </cfRule>
    <cfRule type="expression" priority="107">
      <formula>$A1087&lt;&gt;""</formula>
    </cfRule>
    <cfRule type="expression" priority="108">
      <formula>$A$2</formula>
    </cfRule>
  </conditionalFormatting>
  <conditionalFormatting sqref="B1079">
    <cfRule type="expression" dxfId="0" priority="280">
      <formula>$A1087&lt;&gt;""</formula>
    </cfRule>
    <cfRule type="expression" priority="281">
      <formula>$A1087&lt;&gt;""</formula>
    </cfRule>
    <cfRule type="expression" priority="282">
      <formula>$A$2</formula>
    </cfRule>
  </conditionalFormatting>
  <conditionalFormatting sqref="A1082">
    <cfRule type="expression" dxfId="0" priority="103">
      <formula>$A1090&lt;&gt;""</formula>
    </cfRule>
    <cfRule type="expression" priority="104">
      <formula>$A1090&lt;&gt;""</formula>
    </cfRule>
    <cfRule type="expression" priority="105">
      <formula>$A$2</formula>
    </cfRule>
  </conditionalFormatting>
  <conditionalFormatting sqref="B1082">
    <cfRule type="expression" dxfId="0" priority="277">
      <formula>$A1090&lt;&gt;""</formula>
    </cfRule>
    <cfRule type="expression" priority="278">
      <formula>$A1090&lt;&gt;""</formula>
    </cfRule>
    <cfRule type="expression" priority="279">
      <formula>$A$2</formula>
    </cfRule>
  </conditionalFormatting>
  <conditionalFormatting sqref="A1085">
    <cfRule type="expression" dxfId="0" priority="100">
      <formula>$A1093&lt;&gt;""</formula>
    </cfRule>
    <cfRule type="expression" priority="101">
      <formula>$A1093&lt;&gt;""</formula>
    </cfRule>
    <cfRule type="expression" priority="102">
      <formula>$A$2</formula>
    </cfRule>
  </conditionalFormatting>
  <conditionalFormatting sqref="B1085">
    <cfRule type="expression" dxfId="0" priority="274">
      <formula>$A1093&lt;&gt;""</formula>
    </cfRule>
    <cfRule type="expression" priority="275">
      <formula>$A1093&lt;&gt;""</formula>
    </cfRule>
    <cfRule type="expression" priority="276">
      <formula>$A$2</formula>
    </cfRule>
  </conditionalFormatting>
  <conditionalFormatting sqref="A1088">
    <cfRule type="expression" dxfId="0" priority="97">
      <formula>$A1096&lt;&gt;""</formula>
    </cfRule>
    <cfRule type="expression" priority="98">
      <formula>$A1096&lt;&gt;""</formula>
    </cfRule>
    <cfRule type="expression" priority="99">
      <formula>$A$2</formula>
    </cfRule>
  </conditionalFormatting>
  <conditionalFormatting sqref="B1088">
    <cfRule type="expression" dxfId="0" priority="271">
      <formula>$A1096&lt;&gt;""</formula>
    </cfRule>
    <cfRule type="expression" priority="272">
      <formula>$A1096&lt;&gt;""</formula>
    </cfRule>
    <cfRule type="expression" priority="273">
      <formula>$A$2</formula>
    </cfRule>
  </conditionalFormatting>
  <conditionalFormatting sqref="A1091">
    <cfRule type="expression" dxfId="0" priority="94">
      <formula>$A1099&lt;&gt;""</formula>
    </cfRule>
    <cfRule type="expression" priority="95">
      <formula>$A1099&lt;&gt;""</formula>
    </cfRule>
    <cfRule type="expression" priority="96">
      <formula>$A$2</formula>
    </cfRule>
  </conditionalFormatting>
  <conditionalFormatting sqref="B1091">
    <cfRule type="expression" dxfId="0" priority="268">
      <formula>$A1099&lt;&gt;""</formula>
    </cfRule>
    <cfRule type="expression" priority="269">
      <formula>$A1099&lt;&gt;""</formula>
    </cfRule>
    <cfRule type="expression" priority="270">
      <formula>$A$2</formula>
    </cfRule>
  </conditionalFormatting>
  <conditionalFormatting sqref="A1094">
    <cfRule type="expression" dxfId="0" priority="91">
      <formula>$A1102&lt;&gt;""</formula>
    </cfRule>
    <cfRule type="expression" priority="92">
      <formula>$A1102&lt;&gt;""</formula>
    </cfRule>
    <cfRule type="expression" priority="93">
      <formula>$A$2</formula>
    </cfRule>
  </conditionalFormatting>
  <conditionalFormatting sqref="B1094">
    <cfRule type="expression" dxfId="0" priority="265">
      <formula>$A1102&lt;&gt;""</formula>
    </cfRule>
    <cfRule type="expression" priority="266">
      <formula>$A1102&lt;&gt;""</formula>
    </cfRule>
    <cfRule type="expression" priority="267">
      <formula>$A$2</formula>
    </cfRule>
  </conditionalFormatting>
  <conditionalFormatting sqref="A1097">
    <cfRule type="expression" dxfId="0" priority="88">
      <formula>$A1105&lt;&gt;""</formula>
    </cfRule>
    <cfRule type="expression" priority="89">
      <formula>$A1105&lt;&gt;""</formula>
    </cfRule>
    <cfRule type="expression" priority="90">
      <formula>$A$2</formula>
    </cfRule>
  </conditionalFormatting>
  <conditionalFormatting sqref="B1097">
    <cfRule type="expression" dxfId="0" priority="262">
      <formula>$A1105&lt;&gt;""</formula>
    </cfRule>
    <cfRule type="expression" priority="263">
      <formula>$A1105&lt;&gt;""</formula>
    </cfRule>
    <cfRule type="expression" priority="264">
      <formula>$A$2</formula>
    </cfRule>
  </conditionalFormatting>
  <conditionalFormatting sqref="A1100">
    <cfRule type="expression" dxfId="0" priority="85">
      <formula>$A1108&lt;&gt;""</formula>
    </cfRule>
    <cfRule type="expression" priority="86">
      <formula>$A1108&lt;&gt;""</formula>
    </cfRule>
    <cfRule type="expression" priority="87">
      <formula>$A$2</formula>
    </cfRule>
  </conditionalFormatting>
  <conditionalFormatting sqref="B1100">
    <cfRule type="expression" dxfId="0" priority="259">
      <formula>$A1108&lt;&gt;""</formula>
    </cfRule>
    <cfRule type="expression" priority="260">
      <formula>$A1108&lt;&gt;""</formula>
    </cfRule>
    <cfRule type="expression" priority="261">
      <formula>$A$2</formula>
    </cfRule>
  </conditionalFormatting>
  <conditionalFormatting sqref="A1103">
    <cfRule type="expression" dxfId="0" priority="82">
      <formula>$A1111&lt;&gt;""</formula>
    </cfRule>
    <cfRule type="expression" priority="83">
      <formula>$A1111&lt;&gt;""</formula>
    </cfRule>
    <cfRule type="expression" priority="84">
      <formula>$A$2</formula>
    </cfRule>
  </conditionalFormatting>
  <conditionalFormatting sqref="B1103">
    <cfRule type="expression" dxfId="0" priority="256">
      <formula>$A1111&lt;&gt;""</formula>
    </cfRule>
    <cfRule type="expression" priority="257">
      <formula>$A1111&lt;&gt;""</formula>
    </cfRule>
    <cfRule type="expression" priority="258">
      <formula>$A$2</formula>
    </cfRule>
  </conditionalFormatting>
  <conditionalFormatting sqref="A1106">
    <cfRule type="expression" dxfId="0" priority="79">
      <formula>$A1114&lt;&gt;""</formula>
    </cfRule>
    <cfRule type="expression" priority="80">
      <formula>$A1114&lt;&gt;""</formula>
    </cfRule>
    <cfRule type="expression" priority="81">
      <formula>$A$2</formula>
    </cfRule>
  </conditionalFormatting>
  <conditionalFormatting sqref="B1106">
    <cfRule type="expression" dxfId="0" priority="253">
      <formula>$A1114&lt;&gt;""</formula>
    </cfRule>
    <cfRule type="expression" priority="254">
      <formula>$A1114&lt;&gt;""</formula>
    </cfRule>
    <cfRule type="expression" priority="255">
      <formula>$A$2</formula>
    </cfRule>
  </conditionalFormatting>
  <conditionalFormatting sqref="A1109">
    <cfRule type="expression" dxfId="0" priority="76">
      <formula>$A1117&lt;&gt;""</formula>
    </cfRule>
    <cfRule type="expression" priority="77">
      <formula>$A1117&lt;&gt;""</formula>
    </cfRule>
    <cfRule type="expression" priority="78">
      <formula>$A$2</formula>
    </cfRule>
  </conditionalFormatting>
  <conditionalFormatting sqref="B1109">
    <cfRule type="expression" dxfId="0" priority="250">
      <formula>$A1117&lt;&gt;""</formula>
    </cfRule>
    <cfRule type="expression" priority="251">
      <formula>$A1117&lt;&gt;""</formula>
    </cfRule>
    <cfRule type="expression" priority="252">
      <formula>$A$2</formula>
    </cfRule>
  </conditionalFormatting>
  <conditionalFormatting sqref="A1112">
    <cfRule type="expression" dxfId="0" priority="73">
      <formula>$A1120&lt;&gt;""</formula>
    </cfRule>
    <cfRule type="expression" priority="74">
      <formula>$A1120&lt;&gt;""</formula>
    </cfRule>
    <cfRule type="expression" priority="75">
      <formula>$A$2</formula>
    </cfRule>
  </conditionalFormatting>
  <conditionalFormatting sqref="B1112">
    <cfRule type="expression" dxfId="0" priority="247">
      <formula>$A1120&lt;&gt;""</formula>
    </cfRule>
    <cfRule type="expression" priority="248">
      <formula>$A1120&lt;&gt;""</formula>
    </cfRule>
    <cfRule type="expression" priority="249">
      <formula>$A$2</formula>
    </cfRule>
  </conditionalFormatting>
  <conditionalFormatting sqref="A1115">
    <cfRule type="expression" dxfId="0" priority="70">
      <formula>$A1123&lt;&gt;""</formula>
    </cfRule>
    <cfRule type="expression" priority="71">
      <formula>$A1123&lt;&gt;""</formula>
    </cfRule>
    <cfRule type="expression" priority="72">
      <formula>$A$2</formula>
    </cfRule>
  </conditionalFormatting>
  <conditionalFormatting sqref="B1115">
    <cfRule type="expression" dxfId="0" priority="244">
      <formula>$A1123&lt;&gt;""</formula>
    </cfRule>
    <cfRule type="expression" priority="245">
      <formula>$A1123&lt;&gt;""</formula>
    </cfRule>
    <cfRule type="expression" priority="246">
      <formula>$A$2</formula>
    </cfRule>
  </conditionalFormatting>
  <conditionalFormatting sqref="A1118">
    <cfRule type="expression" dxfId="0" priority="67">
      <formula>$A1126&lt;&gt;""</formula>
    </cfRule>
    <cfRule type="expression" priority="68">
      <formula>$A1126&lt;&gt;""</formula>
    </cfRule>
    <cfRule type="expression" priority="69">
      <formula>$A$2</formula>
    </cfRule>
  </conditionalFormatting>
  <conditionalFormatting sqref="B1118">
    <cfRule type="expression" dxfId="0" priority="241">
      <formula>$A1126&lt;&gt;""</formula>
    </cfRule>
    <cfRule type="expression" priority="242">
      <formula>$A1126&lt;&gt;""</formula>
    </cfRule>
    <cfRule type="expression" priority="243">
      <formula>$A$2</formula>
    </cfRule>
  </conditionalFormatting>
  <conditionalFormatting sqref="A1121">
    <cfRule type="expression" dxfId="0" priority="64">
      <formula>$A1129&lt;&gt;""</formula>
    </cfRule>
    <cfRule type="expression" priority="65">
      <formula>$A1129&lt;&gt;""</formula>
    </cfRule>
    <cfRule type="expression" priority="66">
      <formula>$A$2</formula>
    </cfRule>
  </conditionalFormatting>
  <conditionalFormatting sqref="B1121">
    <cfRule type="expression" dxfId="0" priority="238">
      <formula>$A1129&lt;&gt;""</formula>
    </cfRule>
    <cfRule type="expression" priority="239">
      <formula>$A1129&lt;&gt;""</formula>
    </cfRule>
    <cfRule type="expression" priority="240">
      <formula>$A$2</formula>
    </cfRule>
  </conditionalFormatting>
  <conditionalFormatting sqref="A1124">
    <cfRule type="expression" dxfId="0" priority="61">
      <formula>$A1132&lt;&gt;""</formula>
    </cfRule>
    <cfRule type="expression" priority="62">
      <formula>$A1132&lt;&gt;""</formula>
    </cfRule>
    <cfRule type="expression" priority="63">
      <formula>$A$2</formula>
    </cfRule>
  </conditionalFormatting>
  <conditionalFormatting sqref="B1124">
    <cfRule type="expression" dxfId="0" priority="235">
      <formula>$A1132&lt;&gt;""</formula>
    </cfRule>
    <cfRule type="expression" priority="236">
      <formula>$A1132&lt;&gt;""</formula>
    </cfRule>
    <cfRule type="expression" priority="237">
      <formula>$A$2</formula>
    </cfRule>
  </conditionalFormatting>
  <conditionalFormatting sqref="A1127">
    <cfRule type="expression" dxfId="0" priority="58">
      <formula>$A1137&lt;&gt;""</formula>
    </cfRule>
    <cfRule type="expression" priority="59">
      <formula>$A1137&lt;&gt;""</formula>
    </cfRule>
    <cfRule type="expression" priority="60">
      <formula>$A$2</formula>
    </cfRule>
  </conditionalFormatting>
  <conditionalFormatting sqref="B1127">
    <cfRule type="expression" dxfId="0" priority="232">
      <formula>$A1137&lt;&gt;""</formula>
    </cfRule>
    <cfRule type="expression" priority="233">
      <formula>$A1137&lt;&gt;""</formula>
    </cfRule>
    <cfRule type="expression" priority="234">
      <formula>$A$2</formula>
    </cfRule>
  </conditionalFormatting>
  <conditionalFormatting sqref="A1130">
    <cfRule type="expression" dxfId="0" priority="55">
      <formula>$A1140&lt;&gt;""</formula>
    </cfRule>
    <cfRule type="expression" priority="56">
      <formula>$A1140&lt;&gt;""</formula>
    </cfRule>
    <cfRule type="expression" priority="57">
      <formula>$A$2</formula>
    </cfRule>
  </conditionalFormatting>
  <conditionalFormatting sqref="B1130">
    <cfRule type="expression" dxfId="0" priority="229">
      <formula>$A1140&lt;&gt;""</formula>
    </cfRule>
    <cfRule type="expression" priority="230">
      <formula>$A1140&lt;&gt;""</formula>
    </cfRule>
    <cfRule type="expression" priority="231">
      <formula>$A$2</formula>
    </cfRule>
  </conditionalFormatting>
  <conditionalFormatting sqref="A1133">
    <cfRule type="expression" dxfId="0" priority="25">
      <formula>$A1143&lt;&gt;""</formula>
    </cfRule>
    <cfRule type="expression" priority="26">
      <formula>$A1143&lt;&gt;""</formula>
    </cfRule>
    <cfRule type="expression" priority="27">
      <formula>$A$2</formula>
    </cfRule>
  </conditionalFormatting>
  <conditionalFormatting sqref="B1133">
    <cfRule type="expression" dxfId="0" priority="28">
      <formula>$A1143&lt;&gt;""</formula>
    </cfRule>
    <cfRule type="expression" priority="29">
      <formula>$A1143&lt;&gt;""</formula>
    </cfRule>
    <cfRule type="expression" priority="30">
      <formula>$A$2</formula>
    </cfRule>
  </conditionalFormatting>
  <conditionalFormatting sqref="G1136">
    <cfRule type="expression" dxfId="0" priority="22">
      <formula>#REF!&lt;&gt;""</formula>
    </cfRule>
    <cfRule type="expression" priority="23">
      <formula>#REF!&lt;&gt;""</formula>
    </cfRule>
    <cfRule type="expression" priority="24">
      <formula>$A$2</formula>
    </cfRule>
  </conditionalFormatting>
  <conditionalFormatting sqref="H1136">
    <cfRule type="expression" dxfId="0" priority="19">
      <formula>$A1137&lt;&gt;""</formula>
    </cfRule>
    <cfRule type="expression" priority="20">
      <formula>$A1137&lt;&gt;""</formula>
    </cfRule>
    <cfRule type="expression" priority="21">
      <formula>$A$2</formula>
    </cfRule>
  </conditionalFormatting>
  <conditionalFormatting sqref="C902:C904">
    <cfRule type="expression" dxfId="0" priority="1036">
      <formula>#REF!&lt;&gt;""</formula>
    </cfRule>
    <cfRule type="expression" priority="1037">
      <formula>#REF!&lt;&gt;""</formula>
    </cfRule>
    <cfRule type="expression" priority="1038">
      <formula>$A$2</formula>
    </cfRule>
  </conditionalFormatting>
  <conditionalFormatting sqref="C905:C907">
    <cfRule type="expression" dxfId="0" priority="1090">
      <formula>#REF!&lt;&gt;""</formula>
    </cfRule>
    <cfRule type="expression" priority="1091">
      <formula>#REF!&lt;&gt;""</formula>
    </cfRule>
    <cfRule type="expression" priority="1092">
      <formula>$A$2</formula>
    </cfRule>
  </conditionalFormatting>
  <conditionalFormatting sqref="C909:C910">
    <cfRule type="expression" dxfId="0" priority="1030">
      <formula>#REF!&lt;&gt;""</formula>
    </cfRule>
    <cfRule type="expression" priority="1031">
      <formula>#REF!&lt;&gt;""</formula>
    </cfRule>
    <cfRule type="expression" priority="1032">
      <formula>$A$2</formula>
    </cfRule>
  </conditionalFormatting>
  <conditionalFormatting sqref="C912:C914">
    <cfRule type="expression" dxfId="0" priority="1096">
      <formula>#REF!&lt;&gt;""</formula>
    </cfRule>
    <cfRule type="expression" priority="1097">
      <formula>#REF!&lt;&gt;""</formula>
    </cfRule>
    <cfRule type="expression" priority="1098">
      <formula>$A$2</formula>
    </cfRule>
  </conditionalFormatting>
  <conditionalFormatting sqref="C915:C917">
    <cfRule type="expression" dxfId="0" priority="1150">
      <formula>$A950&lt;&gt;""</formula>
    </cfRule>
    <cfRule type="expression" priority="1151">
      <formula>$A950&lt;&gt;""</formula>
    </cfRule>
    <cfRule type="expression" priority="1152">
      <formula>$A$2</formula>
    </cfRule>
  </conditionalFormatting>
  <conditionalFormatting sqref="C918:C943">
    <cfRule type="expression" dxfId="0" priority="1210">
      <formula>$A960&lt;&gt;""</formula>
    </cfRule>
    <cfRule type="expression" priority="1211">
      <formula>$A960&lt;&gt;""</formula>
    </cfRule>
    <cfRule type="expression" priority="1212">
      <formula>$A$2</formula>
    </cfRule>
  </conditionalFormatting>
  <conditionalFormatting sqref="C945:C949">
    <cfRule type="expression" dxfId="0" priority="1045">
      <formula>$A978&lt;&gt;""</formula>
    </cfRule>
    <cfRule type="expression" priority="1046">
      <formula>$A978&lt;&gt;""</formula>
    </cfRule>
    <cfRule type="expression" priority="1047">
      <formula>$A$2</formula>
    </cfRule>
  </conditionalFormatting>
  <conditionalFormatting sqref="E911:E912">
    <cfRule type="expression" dxfId="0" priority="1144">
      <formula>$A951&lt;&gt;""</formula>
    </cfRule>
    <cfRule type="expression" priority="1145">
      <formula>$A951&lt;&gt;""</formula>
    </cfRule>
    <cfRule type="expression" priority="1146">
      <formula>$A$2</formula>
    </cfRule>
  </conditionalFormatting>
  <conditionalFormatting sqref="E913:E943">
    <cfRule type="expression" dxfId="0" priority="1222">
      <formula>$A960&lt;&gt;""</formula>
    </cfRule>
    <cfRule type="expression" priority="1223">
      <formula>$A960&lt;&gt;""</formula>
    </cfRule>
    <cfRule type="expression" priority="1224">
      <formula>$A$2</formula>
    </cfRule>
  </conditionalFormatting>
  <conditionalFormatting sqref="E945:E946">
    <cfRule type="expression" dxfId="0" priority="1018">
      <formula>$A983&lt;&gt;""</formula>
    </cfRule>
    <cfRule type="expression" priority="1019">
      <formula>$A983&lt;&gt;""</formula>
    </cfRule>
    <cfRule type="expression" priority="1020">
      <formula>$A$2</formula>
    </cfRule>
  </conditionalFormatting>
  <conditionalFormatting sqref="F909:F913">
    <cfRule type="expression" dxfId="0" priority="499">
      <formula>#REF!&lt;&gt;""</formula>
    </cfRule>
    <cfRule type="expression" priority="500">
      <formula>#REF!&lt;&gt;""</formula>
    </cfRule>
    <cfRule type="expression" priority="501">
      <formula>$A$2</formula>
    </cfRule>
  </conditionalFormatting>
  <conditionalFormatting sqref="F1133:F1135">
    <cfRule type="expression" dxfId="0" priority="34">
      <formula>#REF!&lt;&gt;""</formula>
    </cfRule>
    <cfRule type="expression" priority="35">
      <formula>#REF!&lt;&gt;""</formula>
    </cfRule>
    <cfRule type="expression" priority="36">
      <formula>$A$2</formula>
    </cfRule>
  </conditionalFormatting>
  <conditionalFormatting sqref="G914:G919">
    <cfRule type="expression" dxfId="0" priority="478">
      <formula>#REF!&lt;&gt;""</formula>
    </cfRule>
    <cfRule type="expression" priority="479">
      <formula>#REF!&lt;&gt;""</formula>
    </cfRule>
    <cfRule type="expression" priority="480">
      <formula>$A$2</formula>
    </cfRule>
  </conditionalFormatting>
  <conditionalFormatting sqref="G921:G931">
    <cfRule type="expression" dxfId="0" priority="472">
      <formula>#REF!&lt;&gt;""</formula>
    </cfRule>
    <cfRule type="expression" priority="473">
      <formula>#REF!&lt;&gt;""</formula>
    </cfRule>
    <cfRule type="expression" priority="474">
      <formula>$A$2</formula>
    </cfRule>
  </conditionalFormatting>
  <conditionalFormatting sqref="G932:G940">
    <cfRule type="expression" dxfId="0" priority="469">
      <formula>#REF!&lt;&gt;""</formula>
    </cfRule>
    <cfRule type="expression" priority="470">
      <formula>#REF!&lt;&gt;""</formula>
    </cfRule>
    <cfRule type="expression" priority="471">
      <formula>$A$2</formula>
    </cfRule>
  </conditionalFormatting>
  <conditionalFormatting sqref="G941:G949">
    <cfRule type="expression" dxfId="0" priority="466">
      <formula>#REF!&lt;&gt;""</formula>
    </cfRule>
    <cfRule type="expression" priority="467">
      <formula>#REF!&lt;&gt;""</formula>
    </cfRule>
    <cfRule type="expression" priority="468">
      <formula>$A$2</formula>
    </cfRule>
  </conditionalFormatting>
  <conditionalFormatting sqref="G950:G955">
    <cfRule type="expression" dxfId="0" priority="463">
      <formula>#REF!&lt;&gt;""</formula>
    </cfRule>
    <cfRule type="expression" priority="464">
      <formula>#REF!&lt;&gt;""</formula>
    </cfRule>
    <cfRule type="expression" priority="465">
      <formula>$A$2</formula>
    </cfRule>
  </conditionalFormatting>
  <conditionalFormatting sqref="G956:G961">
    <cfRule type="expression" dxfId="0" priority="460">
      <formula>#REF!&lt;&gt;""</formula>
    </cfRule>
    <cfRule type="expression" priority="461">
      <formula>#REF!&lt;&gt;""</formula>
    </cfRule>
    <cfRule type="expression" priority="462">
      <formula>$A$2</formula>
    </cfRule>
  </conditionalFormatting>
  <conditionalFormatting sqref="G962:G970">
    <cfRule type="expression" dxfId="0" priority="454">
      <formula>#REF!&lt;&gt;""</formula>
    </cfRule>
    <cfRule type="expression" priority="455">
      <formula>#REF!&lt;&gt;""</formula>
    </cfRule>
    <cfRule type="expression" priority="456">
      <formula>$A$2</formula>
    </cfRule>
  </conditionalFormatting>
  <conditionalFormatting sqref="G971:G979">
    <cfRule type="expression" dxfId="0" priority="451">
      <formula>#REF!&lt;&gt;""</formula>
    </cfRule>
    <cfRule type="expression" priority="452">
      <formula>#REF!&lt;&gt;""</formula>
    </cfRule>
    <cfRule type="expression" priority="453">
      <formula>$A$2</formula>
    </cfRule>
  </conditionalFormatting>
  <conditionalFormatting sqref="G980:G987">
    <cfRule type="expression" dxfId="0" priority="448">
      <formula>#REF!&lt;&gt;""</formula>
    </cfRule>
    <cfRule type="expression" priority="449">
      <formula>#REF!&lt;&gt;""</formula>
    </cfRule>
    <cfRule type="expression" priority="450">
      <formula>$A$2</formula>
    </cfRule>
  </conditionalFormatting>
  <conditionalFormatting sqref="G988:G997">
    <cfRule type="expression" dxfId="0" priority="445">
      <formula>#REF!&lt;&gt;""</formula>
    </cfRule>
    <cfRule type="expression" priority="446">
      <formula>#REF!&lt;&gt;""</formula>
    </cfRule>
    <cfRule type="expression" priority="447">
      <formula>$A$2</formula>
    </cfRule>
  </conditionalFormatting>
  <conditionalFormatting sqref="G998:G1010">
    <cfRule type="expression" dxfId="0" priority="442">
      <formula>#REF!&lt;&gt;""</formula>
    </cfRule>
    <cfRule type="expression" priority="443">
      <formula>#REF!&lt;&gt;""</formula>
    </cfRule>
    <cfRule type="expression" priority="444">
      <formula>$A$2</formula>
    </cfRule>
  </conditionalFormatting>
  <conditionalFormatting sqref="G1011:G1017">
    <cfRule type="expression" dxfId="0" priority="439">
      <formula>#REF!&lt;&gt;""</formula>
    </cfRule>
    <cfRule type="expression" priority="440">
      <formula>#REF!&lt;&gt;""</formula>
    </cfRule>
    <cfRule type="expression" priority="441">
      <formula>$A$2</formula>
    </cfRule>
  </conditionalFormatting>
  <conditionalFormatting sqref="G1018:G1029">
    <cfRule type="expression" dxfId="0" priority="436">
      <formula>#REF!&lt;&gt;""</formula>
    </cfRule>
    <cfRule type="expression" priority="437">
      <formula>#REF!&lt;&gt;""</formula>
    </cfRule>
    <cfRule type="expression" priority="438">
      <formula>$A$2</formula>
    </cfRule>
  </conditionalFormatting>
  <conditionalFormatting sqref="G1030:G1099">
    <cfRule type="expression" dxfId="0" priority="433">
      <formula>#REF!&lt;&gt;""</formula>
    </cfRule>
    <cfRule type="expression" priority="434">
      <formula>#REF!&lt;&gt;""</formula>
    </cfRule>
    <cfRule type="expression" priority="435">
      <formula>$A$2</formula>
    </cfRule>
  </conditionalFormatting>
  <conditionalFormatting sqref="G1100:G1108">
    <cfRule type="expression" dxfId="0" priority="430">
      <formula>#REF!&lt;&gt;""</formula>
    </cfRule>
    <cfRule type="expression" priority="431">
      <formula>#REF!&lt;&gt;""</formula>
    </cfRule>
    <cfRule type="expression" priority="432">
      <formula>$A$2</formula>
    </cfRule>
  </conditionalFormatting>
  <conditionalFormatting sqref="G1109:G1115">
    <cfRule type="expression" dxfId="0" priority="427">
      <formula>#REF!&lt;&gt;""</formula>
    </cfRule>
    <cfRule type="expression" priority="428">
      <formula>#REF!&lt;&gt;""</formula>
    </cfRule>
    <cfRule type="expression" priority="429">
      <formula>$A$2</formula>
    </cfRule>
  </conditionalFormatting>
  <conditionalFormatting sqref="G1116:G1121">
    <cfRule type="expression" dxfId="0" priority="424">
      <formula>#REF!&lt;&gt;""</formula>
    </cfRule>
    <cfRule type="expression" priority="425">
      <formula>#REF!&lt;&gt;""</formula>
    </cfRule>
    <cfRule type="expression" priority="426">
      <formula>$A$2</formula>
    </cfRule>
  </conditionalFormatting>
  <conditionalFormatting sqref="G1122:G1132">
    <cfRule type="expression" dxfId="0" priority="421">
      <formula>#REF!&lt;&gt;""</formula>
    </cfRule>
    <cfRule type="expression" priority="422">
      <formula>#REF!&lt;&gt;""</formula>
    </cfRule>
    <cfRule type="expression" priority="423">
      <formula>$A$2</formula>
    </cfRule>
  </conditionalFormatting>
  <conditionalFormatting sqref="G1133:G1135">
    <cfRule type="expression" dxfId="0" priority="31">
      <formula>#REF!&lt;&gt;""</formula>
    </cfRule>
    <cfRule type="expression" priority="32">
      <formula>#REF!&lt;&gt;""</formula>
    </cfRule>
    <cfRule type="expression" priority="33">
      <formula>$A$2</formula>
    </cfRule>
  </conditionalFormatting>
  <conditionalFormatting sqref="H956:H1132">
    <cfRule type="expression" dxfId="0" priority="520">
      <formula>$A957&lt;&gt;""</formula>
    </cfRule>
    <cfRule type="expression" priority="521">
      <formula>$A957&lt;&gt;""</formula>
    </cfRule>
    <cfRule type="expression" priority="522">
      <formula>$A$2</formula>
    </cfRule>
  </conditionalFormatting>
  <conditionalFormatting sqref="H1133:H1135">
    <cfRule type="expression" dxfId="0" priority="37">
      <formula>$A1134&lt;&gt;""</formula>
    </cfRule>
    <cfRule type="expression" priority="38">
      <formula>$A1134&lt;&gt;""</formula>
    </cfRule>
    <cfRule type="expression" priority="39">
      <formula>$A$2</formula>
    </cfRule>
  </conditionalFormatting>
  <conditionalFormatting sqref="K952:K959">
    <cfRule type="expression" dxfId="0" priority="1234">
      <formula>$A960&lt;&gt;""</formula>
    </cfRule>
    <cfRule type="expression" priority="1235">
      <formula>$A960&lt;&gt;""</formula>
    </cfRule>
    <cfRule type="expression" priority="1236">
      <formula>$A$2</formula>
    </cfRule>
  </conditionalFormatting>
  <conditionalFormatting sqref="K1133:K1135">
    <cfRule type="expression" dxfId="0" priority="43">
      <formula>$A1134&lt;&gt;""</formula>
    </cfRule>
    <cfRule type="expression" priority="44">
      <formula>$A1134&lt;&gt;""</formula>
    </cfRule>
    <cfRule type="expression" priority="45">
      <formula>$A$2</formula>
    </cfRule>
  </conditionalFormatting>
  <conditionalFormatting sqref="A1 BC1:XFD1 $A2:$XFD2 $A5:$XFD5 C6:XFD7 B8:XFD13 $A14:$XFD18 A19 C19:H19 A20:H23 A24:A25 C24:H25 A26:H26 A27:A28 C27:H28 A29:H29 A30:A31 C30:H31 A32:H32 A33:A34 C33:H34 A35:H35 A36:A37 C36:H37 A38:H38 A39:A40 C39:H40 A41:H41 A42:A43 C42:H43 A44:H44 A45:A46 C45:H46 A47:H47 A48:A49 C48:H49 A50:H50 A51:A52 C51:H52 A53:H53 A54:A55 C54:H55 A56:H56 A57:A58 C57:H58 A59:H59 A60:A61 C60:H61 A62:H62 A63:A64 C63:H64 A65:H65 A66:A67 C66:H67 A68:H68 A69:A70 C69:H70 A71:H71 A72:A73 C72:H73 A74:H74 A75:A76 C75:H76 A77:H77 A78:A79 C78:H79 A80:H80 A81:A82 C81:H82 A83:H83 A84:A85 C84:H85 A86:H86 A87:A88 C87:H88 A89:H89 A90:A91 C90:H91 A92:H92 A93:A94 C93:H94 A95:H95 A96:A97 C96:H97 A98:H98 A99:A100 C99:H100 A101:H101 A102:A103 C102:H103 A104:H104 A105:A106 C105:H106 A107:H107 A108:A109 C108:H109 A110:H110 A111:A112 C111:H112 A113:H113 A114:A115 C114:H115 A116:H116 A117:A118 C117:H118 A119:H119 A120:A121 C120:H121 A122:H122 A123:A124 C123:H124 A125:H125 A126:A127 C126:H127 A128:H128 A129:A130 C129:H130 A131:H131 A132:A133 C132:H133 A134:H134 A135:A136 C135:H136 A137:H137 A138:A139 C138:H139 A140:H140 A141:A142 C141:H142 A143:H143 A144:A145 C144:H145 A146:H146 A147:A148 C147:H148 A149:H149 A150:A151 C150:H151 A152:H152 A153:A154 C153:H154 A155:H155 A156:A157 C156:H157 A158:H158 A159:A160 C159:H160 A161:H161 A162:A163 C162:H163 A164:H164 A165:A166 C165:H166 A167:H167 A168:A169 C168:H169 A170:H170 A171:A172 C171:H172 A173:H173 A174:A175 C174:H175 A176:H176 A177:A178 C177:H178 A179:H179 A180:A181 C180:H181 A182:H182 A183:A184 C183:H184 A185:H185 A186:A187 C186:H187 A188:H188 A189:A190 C189:H190 A191:H191 A192:A193 C192:H193 A194:H194 A197 C197:H197 A198:H198 A199:A200 C199:H200 A201:H201 A202:A203 C202:H203 A204:H204 A205:A206 C205:H206 A207:H207 A208:A209 C208:H209 A210:H210 A211:A212 C211:H212 A213:H213 A214:A215 C214:H215 A216:H216 A217:A218 C217:H218 A219:H219 A220:A221 C220:H221 A222:H222 A223:A224 C223:H224 A225:H225 A226:A227 C226:H227 A228:H228 A229:A230 C229:H230 A231:H231 A232:A233 C232:H233 A234:H234 A235:A236 C235:H236 A237:H237 A238:A239 C238:H239 A240:H240 A241:A242 C241:H242 A243:H243 A244:A245 C244:H245 A246:H246 A247:A248 C247:H248 A249:H249 A250:A251 C250:H251 A252:H252 A253:A254 C253:H254 A255:H255 A256:A257 C256:H257 A258:H258 A259:A260 C259:H260 A261:H261 A262:A263 C262:H263 A264:H264 A265:A266 C265:H266 A267:H267 A268:A269 C268:H269 A270:H270 A271:A272 C271:H272 A273:H273 A274:A275 C274:H275 A276:H276 A277:A278 C277:H278 A279:H279 A280:A281 C280:H281 A282:H282 A283:A284 C283:H284 A285:H285 A286:A287 C286:H287 A288:H288 A289:A290 C289:H290 A291:H291 A292:A293 C292:H293 A294:H294 A295:A296 C295:H296 A297:H297 A298:A299 C298:H299 A300:H300 A301:A302 C301:H302 A303:H303 A304:A305 C304:H305 A306:H306 A307:A308 C307:H308 A309:H309 A310:A311 C310:H311 A312:H312 A313:A314 C313:H314 A315:H315 A316:A317 C316:H317 A318:H318 A319:A320 C319:H320 A321:H321 A322:A323 C322:H323 A324:H324 A325:A326 C325:H326 A327:H327 A328:A329 C328:H329 A330:H330 A331:A332 C331:H332 A333:H333 A334:A335 C334:H335 A336:H336 A337:A338 C337:H338 A339:H339 A340:A341 C340:H341 A342:H342 A343:A344 C343:H344 A345:H345 A346:A347 C346:H347 A348:H348 A349:A350 C349:H350 A351:H351 A352:A353 C352:H353 A354:H354 A355:A356 C355:H356 A357:H357 C358:H358 A361:H361 A362:A363 C362:H363 A364:H364 A365:A366 C365:H366 A367:H367 A368:A369 C368:H369 A370:H370 A371:A372 C371:H372 A373:H373 A374:A375 C374:H375 A376:H376 A377:A378 C377:H378 A379:H379 A380:A381 C380:H381 A382:H382 A383 C383:H383 A386:A388 C386:H388 A389:H389 A390:A391 C390:H391 A392:H392 A393:A394 C393:H394 A395:H395 A396:A397 C396:H397 A398:H398 A399:A400 C399:H400 A401:H401 A402:A403 C402:H403 A404:H404 A405:A406 C405:H406 A407:H407 A408:A409 C408:H409 A410:H410 A411:A412 C411:H412 A413:H413 A414:A415 C414:H415 A416:H416 A417:A418 C417:H418 A419:H419 A420:A421 C420:H421 A422:H422 A423:A424 C423:H424 A425:H425 A426:A427 C426:H427 A428:H428 A429:A430 C429:H430 A431:H431 A432:A433 C432:H433 A434:H434 A435:A436 C435:H436 A437:H437 A438:A439 C438:H439 A440:H440 A441:A442 C441:H442 A443:H443 A444:A445 C444:H445 A446:H446 A447:A448 C447:H448 A449:H449 A450:A451 C450:H451 A452:H452 A453:A454 C453:H454 A455:H455 A456:A457 C456:H457 A458:H458 A459:A460 C459:H460 A461:H461 A462:A463 C462:H463 A464:H464 A465:A466 C465:H466 A467:H467 A468:A469 C468:H469 A470:H470 A471:A472 C471:H472 A473:H473 A474:A475 C474:H475 A476:H476 A477:A478 C477:H478 A479:H479 A480:A481 C480:H481 A482:H482 A483:A484 C483:H484 A485:H485 A486:A487 C486:H487 A488:H488 A489:A490 C489:H490 A491:H491 A492:A493 C492:H493 A494:H494 A495:A496 C495:H496 A497:H497 A498:A499 C498:H499 A500:H500 A501:A502 C501:H502 A503:H503 A504:A505 C504:H505 A506:H506 A507:A508 C507:H508 A509:H509 A510:A511 C510:H511 A512:H512 A513:A514 C513:H514 A515:H515 A516:A517 C516:H517 A518:H518 A519:A520 C519:H520 A521:H521 A522:A523 C522:H523 A524:H524 A525:A526 C525:H526 A527:H527 A528:A529 C528:H529 A530:H530 A531:A532 C531:H532 A533:H533 A534:A535 C534:H535 A536:H536 A537:A538 C537:H538 A539:H539 A540:A541 C540:H541 A542:H542 A543:A544 C543:H544 A545:H545 A546:A547 C546:H547 A548:H548 A549:A550 C549:H550 A551:H551 A552:A553 C552:H553 A554:H554 A555:A556 C555:H556 A557:H557 A558:A559 C558:H559 A560:H560 A561:A562 C561:H562 A563:H563 A564:A565 C564:H565 A566:H566 A567:A568 C567:H568 A569:H569 A570:A571 C570:H571 A572:H572 A573:A574 C573:H574 A575:H575 A576:A577 C576:H577 A578:H578 A579:A580 C579:H580 A581:H581 A582:A583 C582:H583 A584:H584 A585:A586 C585:H586 A587:H587 A588:A589 C588:H589 A590:H590 A591:A592 C591:H592 A593:H593 A594:A595 C594:H595 A596:H596 A597:A598 C597:H598 A599:H599 A600:A601 C600:H601 A602:H602 A603:A604 C603:H604 A605:H605 A606:A607 C606:H607 A608:H608 A609:A610 C609:H610 A611:H611 A612:A613 C612:H613 A614:H614 A615:A616 C615:H616 A617:H617 A618:A619 C618:H619 A620:H620 A621:A622 C621:H622 A623:H623 A624:A625 C624:H625 A626:H626 A627:A628 C627:H628 A629:H629 A630:A631 C630:H631 A632:H632 A633:A634 C633:H634 A635:H635 A636:A637 C636:H637 A638:H638 A639:A640 C639:H640 A641:H641 A642:A643 C642:H643 A644:H644 A645:A646 C645:H646 A647:H647 A648:A649 C648:H649 A650:H650 A651:A652 C651:H652 A653:H653 A654:A897 C654:H897 A950:E950 H950:J950 C951:E951 H951:J951 C960:E961 I960:J961 C962:E964 I962:J964 C965:E967 I965:J967 C968:E970 I968:J970 C971:E973 I971:J973 C974:E974 I974:J974 C975:E976 I975:J976 C977:E979 I977:J979 C980:E982 I980:J982 C983:E985 I983:J985 C986:E987 I986:J987 C988:E988 I988:J988 C989:E991 I989:J991 C992:E994 I992:J994 C995:E997 I995:J997 C998:E1000 I998:J1000 C1001:E1003 I1001:J1003 C1004:E1006 I1004:J1006 C1007:E1009 I1007:J1009 C1010:E1010 I1010:J1010 C1011:E1012 I1011:J1012 C1013:E1015 I1013:J1015 C1016:E1017 I1016:J1017 C1018:E1018 I1018:J1018 C1019:E1021 I1019:J1021 C1022:E1024 I1022:J1024 C1025:E1027 I1025:J1027 C1028:E1029 I1028:J1029 C1030:E1030 I1030:J1030 C1031:E1033 I1031:J1033 C1034:E1036 I1034:J1036 C1037:E1039 I1037:J1039 C1040:E1042 I1040:J1042 C1043:E1045 I1043:J1045 C1046:E1048 I1046:J1048 C1049:E1050 I1049:J1050 C1052:E1054 I1052:J1054 C1055:E1057 I1055:J1057 C1058:E1060 I1058:J1060 C1061:E1063 I1061:J1063 C1064:E1066 I1064:J1066 C1067:E1069 I1067:J1069 C1070:E1072 I1070:J1072 C1073:E1075 I1073:J1075 C1076:E1078 I1076:J1078 C1079:E1081 I1079:J1081 C1082:E1084 I1082:J1084 C1085:E1087 I1085:J1087 C1088:E1090 I1088:J1090 C1091:E1093 I1091:J1093 C1094:E1096 I1094:J1096 C1097:E1099 I1097:J1099 C1100:E1102 I1100:J1102 C1103:E1105 I1103:J1105 C1106:E1108 I1106:J1108 C1109:E1111 I1109:J1111 C1112:E1114 I1112:J1114 C1115:E1115 I1115:J1115 C1116:E1117 I1116:J1117 C1118:E1120 I1118:J1120 C1121:E1121 I1121:J1121 C1122:E1123 I1122:J1123 C1124:E1126 I1124:J1126 C1127:E1129 I1127:J1129 C1130:E1132 I1130:J1132 A1136:E1136 I1136:J1136 A1137:J1048135">
    <cfRule type="expression" dxfId="0" priority="730">
      <formula>$A2&lt;&gt;""</formula>
    </cfRule>
    <cfRule type="expression" priority="731">
      <formula>$A2&lt;&gt;""</formula>
    </cfRule>
    <cfRule type="expression" priority="732">
      <formula>$A$2</formula>
    </cfRule>
  </conditionalFormatting>
  <conditionalFormatting sqref="I3:XFD4">
    <cfRule type="expression" dxfId="0" priority="997">
      <formula>$A5&lt;&gt;""</formula>
    </cfRule>
    <cfRule type="expression" priority="998">
      <formula>$A5&lt;&gt;""</formula>
    </cfRule>
    <cfRule type="expression" priority="999">
      <formula>$A$2</formula>
    </cfRule>
  </conditionalFormatting>
  <conditionalFormatting sqref="B25:B31 I25:XFD31 B32:B34 I32:XFD34 B35:B37 I35:XFD37 B38:B40 I38:XFD40 B41 I41:XFD41 B42:B43 I42:XFD43 B44 I44:XFD44 B45:B357 B361:B385 B389:B655">
    <cfRule type="expression" dxfId="0" priority="889">
      <formula>#REF!&lt;&gt;""</formula>
    </cfRule>
    <cfRule type="expression" priority="890">
      <formula>#REF!&lt;&gt;""</formula>
    </cfRule>
    <cfRule type="expression" priority="891">
      <formula>$A$2</formula>
    </cfRule>
  </conditionalFormatting>
  <conditionalFormatting sqref="I45:XFD112">
    <cfRule type="expression" dxfId="0" priority="925">
      <formula>#REF!&lt;&gt;""</formula>
    </cfRule>
    <cfRule type="expression" priority="926">
      <formula>#REF!&lt;&gt;""</formula>
    </cfRule>
    <cfRule type="expression" priority="927">
      <formula>$A$2</formula>
    </cfRule>
  </conditionalFormatting>
  <conditionalFormatting sqref="I113:XFD187">
    <cfRule type="expression" dxfId="0" priority="883">
      <formula>#REF!&lt;&gt;""</formula>
    </cfRule>
    <cfRule type="expression" priority="884">
      <formula>#REF!&lt;&gt;""</formula>
    </cfRule>
    <cfRule type="expression" priority="885">
      <formula>$A$2</formula>
    </cfRule>
  </conditionalFormatting>
  <conditionalFormatting sqref="I189:XFD191">
    <cfRule type="expression" dxfId="0" priority="1012">
      <formula>#REF!&lt;&gt;""</formula>
    </cfRule>
    <cfRule type="expression" priority="1013">
      <formula>#REF!&lt;&gt;""</formula>
    </cfRule>
    <cfRule type="expression" priority="1014">
      <formula>$A$2</formula>
    </cfRule>
  </conditionalFormatting>
  <conditionalFormatting sqref="I192:XFD194">
    <cfRule type="expression" dxfId="0" priority="1102">
      <formula>#REF!&lt;&gt;""</formula>
    </cfRule>
    <cfRule type="expression" priority="1103">
      <formula>#REF!&lt;&gt;""</formula>
    </cfRule>
    <cfRule type="expression" priority="1104">
      <formula>$A$2</formula>
    </cfRule>
  </conditionalFormatting>
  <conditionalFormatting sqref="A195 C195:H195 A196 C196:G196">
    <cfRule type="expression" dxfId="0" priority="1255">
      <formula>$A197&lt;&gt;""</formula>
    </cfRule>
    <cfRule type="expression" priority="1256">
      <formula>$A197&lt;&gt;""</formula>
    </cfRule>
    <cfRule type="expression" priority="1257">
      <formula>$A$2</formula>
    </cfRule>
  </conditionalFormatting>
  <conditionalFormatting sqref="I195:XFD196">
    <cfRule type="expression" dxfId="0" priority="1258">
      <formula>$A950&lt;&gt;""</formula>
    </cfRule>
    <cfRule type="expression" priority="1259">
      <formula>$A950&lt;&gt;""</formula>
    </cfRule>
    <cfRule type="expression" priority="1260">
      <formula>$A$2</formula>
    </cfRule>
  </conditionalFormatting>
  <conditionalFormatting sqref="I197:XFD198">
    <cfRule type="expression" dxfId="0" priority="1129">
      <formula>$A951&lt;&gt;""</formula>
    </cfRule>
    <cfRule type="expression" priority="1130">
      <formula>$A951&lt;&gt;""</formula>
    </cfRule>
    <cfRule type="expression" priority="1131">
      <formula>$A$2</formula>
    </cfRule>
  </conditionalFormatting>
  <conditionalFormatting sqref="I199:XFD290">
    <cfRule type="expression" dxfId="0" priority="1216">
      <formula>$A960&lt;&gt;""</formula>
    </cfRule>
    <cfRule type="expression" priority="1217">
      <formula>$A960&lt;&gt;""</formula>
    </cfRule>
    <cfRule type="expression" priority="1218">
      <formula>$A$2</formula>
    </cfRule>
  </conditionalFormatting>
  <conditionalFormatting sqref="I291:XFD316">
    <cfRule type="expression" dxfId="0" priority="961">
      <formula>#REF!&lt;&gt;""</formula>
    </cfRule>
    <cfRule type="expression" priority="962">
      <formula>#REF!&lt;&gt;""</formula>
    </cfRule>
    <cfRule type="expression" priority="963">
      <formula>$A$2</formula>
    </cfRule>
  </conditionalFormatting>
  <conditionalFormatting sqref="I317:XFD385 I386:X386 Z386:XFD386 I387:XFD390">
    <cfRule type="expression" dxfId="0" priority="898">
      <formula>#REF!&lt;&gt;""</formula>
    </cfRule>
    <cfRule type="expression" priority="899">
      <formula>#REF!&lt;&gt;""</formula>
    </cfRule>
    <cfRule type="expression" priority="900">
      <formula>$A$2</formula>
    </cfRule>
  </conditionalFormatting>
  <conditionalFormatting sqref="C359:G360">
    <cfRule type="expression" dxfId="0" priority="1294">
      <formula>$A361&lt;&gt;""</formula>
    </cfRule>
    <cfRule type="expression" priority="1295">
      <formula>$A361&lt;&gt;""</formula>
    </cfRule>
    <cfRule type="expression" priority="1296">
      <formula>$A$2</formula>
    </cfRule>
  </conditionalFormatting>
  <conditionalFormatting sqref="A384 C384:H384 A385 C385:E385">
    <cfRule type="expression" dxfId="0" priority="1249">
      <formula>$A386&lt;&gt;""</formula>
    </cfRule>
    <cfRule type="expression" priority="1250">
      <formula>$A386&lt;&gt;""</formula>
    </cfRule>
    <cfRule type="expression" priority="1251">
      <formula>$A$2</formula>
    </cfRule>
  </conditionalFormatting>
  <conditionalFormatting sqref="I392:XFD394">
    <cfRule type="expression" dxfId="0" priority="1015">
      <formula>#REF!&lt;&gt;""</formula>
    </cfRule>
    <cfRule type="expression" priority="1016">
      <formula>#REF!&lt;&gt;""</formula>
    </cfRule>
    <cfRule type="expression" priority="1017">
      <formula>$A$2</formula>
    </cfRule>
  </conditionalFormatting>
  <conditionalFormatting sqref="I395:XFD397">
    <cfRule type="expression" dxfId="0" priority="1105">
      <formula>#REF!&lt;&gt;""</formula>
    </cfRule>
    <cfRule type="expression" priority="1106">
      <formula>#REF!&lt;&gt;""</formula>
    </cfRule>
    <cfRule type="expression" priority="1107">
      <formula>$A$2</formula>
    </cfRule>
  </conditionalFormatting>
  <conditionalFormatting sqref="I398:XFD400">
    <cfRule type="expression" dxfId="0" priority="1132">
      <formula>$A950&lt;&gt;""</formula>
    </cfRule>
    <cfRule type="expression" priority="1133">
      <formula>$A950&lt;&gt;""</formula>
    </cfRule>
    <cfRule type="expression" priority="1134">
      <formula>$A$2</formula>
    </cfRule>
  </conditionalFormatting>
  <conditionalFormatting sqref="I401:XFD492">
    <cfRule type="expression" dxfId="0" priority="1219">
      <formula>$A960&lt;&gt;""</formula>
    </cfRule>
    <cfRule type="expression" priority="1220">
      <formula>$A960&lt;&gt;""</formula>
    </cfRule>
    <cfRule type="expression" priority="1221">
      <formula>$A$2</formula>
    </cfRule>
  </conditionalFormatting>
  <conditionalFormatting sqref="I493:XFD524">
    <cfRule type="expression" dxfId="0" priority="967">
      <formula>#REF!&lt;&gt;""</formula>
    </cfRule>
    <cfRule type="expression" priority="968">
      <formula>#REF!&lt;&gt;""</formula>
    </cfRule>
    <cfRule type="expression" priority="969">
      <formula>$A$2</formula>
    </cfRule>
  </conditionalFormatting>
  <conditionalFormatting sqref="I525:XFD606">
    <cfRule type="expression" dxfId="0" priority="970">
      <formula>$A1052&lt;&gt;""</formula>
    </cfRule>
    <cfRule type="expression" priority="971">
      <formula>$A1052&lt;&gt;""</formula>
    </cfRule>
    <cfRule type="expression" priority="972">
      <formula>$A$2</formula>
    </cfRule>
  </conditionalFormatting>
  <conditionalFormatting sqref="I607:XFD655 B656 I656:XFD658 B659:B660 I659:XFD660 B661 I661:XFD661 B662:B683 I662:XFD685 B686:B705 I686:XFD705 B707">
    <cfRule type="expression" dxfId="0" priority="1276">
      <formula>$A1136&lt;&gt;""</formula>
    </cfRule>
    <cfRule type="expression" priority="1277">
      <formula>$A1136&lt;&gt;""</formula>
    </cfRule>
    <cfRule type="expression" priority="1278">
      <formula>$A$2</formula>
    </cfRule>
  </conditionalFormatting>
  <conditionalFormatting sqref="I706:XFD709 B710 I710:XFD712 B713 I713:XFD715 B716 I716:XFD718 B719 I719:XFD721 B722 I722:XFD724">
    <cfRule type="expression" dxfId="0" priority="919">
      <formula>#REF!&lt;&gt;""</formula>
    </cfRule>
    <cfRule type="expression" priority="920">
      <formula>#REF!&lt;&gt;""</formula>
    </cfRule>
    <cfRule type="expression" priority="921">
      <formula>$A$2</formula>
    </cfRule>
  </conditionalFormatting>
  <conditionalFormatting sqref="B725 I725:XFD727 B728 I728:XFD730 B731 I731:XFD733 B734 I734:XFD806">
    <cfRule type="expression" dxfId="0" priority="1006">
      <formula>$A1052&lt;&gt;""</formula>
    </cfRule>
    <cfRule type="expression" priority="1007">
      <formula>$A1052&lt;&gt;""</formula>
    </cfRule>
    <cfRule type="expression" priority="1008">
      <formula>$A$2</formula>
    </cfRule>
  </conditionalFormatting>
  <conditionalFormatting sqref="I807:XFD900">
    <cfRule type="expression" dxfId="0" priority="1279">
      <formula>$A1136&lt;&gt;""</formula>
    </cfRule>
    <cfRule type="expression" priority="1280">
      <formula>$A1136&lt;&gt;""</formula>
    </cfRule>
    <cfRule type="expression" priority="1281">
      <formula>$A$2</formula>
    </cfRule>
  </conditionalFormatting>
  <conditionalFormatting sqref="A898 C898:H898">
    <cfRule type="expression" dxfId="0" priority="1060">
      <formula>#REF!&lt;&gt;""</formula>
    </cfRule>
    <cfRule type="expression" priority="1061">
      <formula>#REF!&lt;&gt;""</formula>
    </cfRule>
    <cfRule type="expression" priority="1062">
      <formula>$A$2</formula>
    </cfRule>
  </conditionalFormatting>
  <conditionalFormatting sqref="D901 I901:XFD901">
    <cfRule type="expression" dxfId="0" priority="973">
      <formula>$A1229&lt;&gt;""</formula>
    </cfRule>
    <cfRule type="expression" priority="974">
      <formula>$A1229&lt;&gt;""</formula>
    </cfRule>
    <cfRule type="expression" priority="975">
      <formula>$A$2</formula>
    </cfRule>
  </conditionalFormatting>
  <conditionalFormatting sqref="E901:H903">
    <cfRule type="expression" dxfId="0" priority="1039">
      <formula>#REF!&lt;&gt;""</formula>
    </cfRule>
    <cfRule type="expression" priority="1040">
      <formula>#REF!&lt;&gt;""</formula>
    </cfRule>
    <cfRule type="expression" priority="1041">
      <formula>$A$2</formula>
    </cfRule>
  </conditionalFormatting>
  <conditionalFormatting sqref="A902 I902:XFD902 A903 D903 I903:XFD903 A904 I904:XFD904">
    <cfRule type="expression" dxfId="0" priority="1042">
      <formula>#REF!&lt;&gt;""</formula>
    </cfRule>
    <cfRule type="expression" priority="1043">
      <formula>#REF!&lt;&gt;""</formula>
    </cfRule>
    <cfRule type="expression" priority="1044">
      <formula>$A$2</formula>
    </cfRule>
  </conditionalFormatting>
  <conditionalFormatting sqref="E904:H906">
    <cfRule type="expression" dxfId="0" priority="1108">
      <formula>#REF!&lt;&gt;""</formula>
    </cfRule>
    <cfRule type="expression" priority="1109">
      <formula>#REF!&lt;&gt;""</formula>
    </cfRule>
    <cfRule type="expression" priority="1110">
      <formula>$A$2</formula>
    </cfRule>
  </conditionalFormatting>
  <conditionalFormatting sqref="A905 D905 I905:XFD905 D906:D907 I906:XFD907">
    <cfRule type="expression" dxfId="0" priority="1111">
      <formula>#REF!&lt;&gt;""</formula>
    </cfRule>
    <cfRule type="expression" priority="1112">
      <formula>#REF!&lt;&gt;""</formula>
    </cfRule>
    <cfRule type="expression" priority="1113">
      <formula>$A$2</formula>
    </cfRule>
  </conditionalFormatting>
  <conditionalFormatting sqref="E907 G907:H907 E908 G908:H908">
    <cfRule type="expression" dxfId="0" priority="1135">
      <formula>$A950&lt;&gt;""</formula>
    </cfRule>
    <cfRule type="expression" priority="1136">
      <formula>$A950&lt;&gt;""</formula>
    </cfRule>
    <cfRule type="expression" priority="1137">
      <formula>$A$2</formula>
    </cfRule>
  </conditionalFormatting>
  <conditionalFormatting sqref="A908 D908 I908:XFD908">
    <cfRule type="expression" dxfId="0" priority="1138">
      <formula>$A950&lt;&gt;""</formula>
    </cfRule>
    <cfRule type="expression" priority="1139">
      <formula>$A950&lt;&gt;""</formula>
    </cfRule>
    <cfRule type="expression" priority="1140">
      <formula>$A$2</formula>
    </cfRule>
  </conditionalFormatting>
  <conditionalFormatting sqref="D909 I909:XFD909 D910 I910:XFD910">
    <cfRule type="expression" dxfId="0" priority="1033">
      <formula>#REF!&lt;&gt;""</formula>
    </cfRule>
    <cfRule type="expression" priority="1034">
      <formula>#REF!&lt;&gt;""</formula>
    </cfRule>
    <cfRule type="expression" priority="1035">
      <formula>$A$2</formula>
    </cfRule>
  </conditionalFormatting>
  <conditionalFormatting sqref="E909 G909:H909">
    <cfRule type="expression" dxfId="0" priority="1084">
      <formula>#REF!&lt;&gt;""</formula>
    </cfRule>
    <cfRule type="expression" priority="1085">
      <formula>#REF!&lt;&gt;""</formula>
    </cfRule>
    <cfRule type="expression" priority="1086">
      <formula>$A$2</formula>
    </cfRule>
  </conditionalFormatting>
  <conditionalFormatting sqref="E910 G910:H910">
    <cfRule type="expression" dxfId="0" priority="1117">
      <formula>#REF!&lt;&gt;""</formula>
    </cfRule>
    <cfRule type="expression" priority="1118">
      <formula>#REF!&lt;&gt;""</formula>
    </cfRule>
    <cfRule type="expression" priority="1119">
      <formula>$A$2</formula>
    </cfRule>
  </conditionalFormatting>
  <conditionalFormatting sqref="A911 D911 I911:K911">
    <cfRule type="expression" dxfId="0" priority="1087">
      <formula>#REF!&lt;&gt;""</formula>
    </cfRule>
    <cfRule type="expression" priority="1088">
      <formula>#REF!&lt;&gt;""</formula>
    </cfRule>
    <cfRule type="expression" priority="1089">
      <formula>$A$2</formula>
    </cfRule>
  </conditionalFormatting>
  <conditionalFormatting sqref="L911:XFD912">
    <cfRule type="expression" dxfId="0" priority="1114">
      <formula>#REF!&lt;&gt;""</formula>
    </cfRule>
    <cfRule type="expression" priority="1115">
      <formula>#REF!&lt;&gt;""</formula>
    </cfRule>
    <cfRule type="expression" priority="1116">
      <formula>$A$2</formula>
    </cfRule>
  </conditionalFormatting>
  <conditionalFormatting sqref="D912 I912:K912 D913:D914 I913:K914 L915:XFD917">
    <cfRule type="expression" dxfId="0" priority="1120">
      <formula>#REF!&lt;&gt;""</formula>
    </cfRule>
    <cfRule type="expression" priority="1121">
      <formula>#REF!&lt;&gt;""</formula>
    </cfRule>
    <cfRule type="expression" priority="1122">
      <formula>$A$2</formula>
    </cfRule>
  </conditionalFormatting>
  <conditionalFormatting sqref="L913:XFD914">
    <cfRule type="expression" dxfId="0" priority="1165">
      <formula>#REF!&lt;&gt;""</formula>
    </cfRule>
    <cfRule type="expression" priority="1166">
      <formula>#REF!&lt;&gt;""</formula>
    </cfRule>
    <cfRule type="expression" priority="1167">
      <formula>$A$2</formula>
    </cfRule>
  </conditionalFormatting>
  <conditionalFormatting sqref="D915 I915:K915 D916 I916:K916 D917 I917:K917">
    <cfRule type="expression" dxfId="0" priority="1147">
      <formula>$A950&lt;&gt;""</formula>
    </cfRule>
    <cfRule type="expression" priority="1148">
      <formula>$A950&lt;&gt;""</formula>
    </cfRule>
    <cfRule type="expression" priority="1149">
      <formula>$A$2</formula>
    </cfRule>
  </conditionalFormatting>
  <conditionalFormatting sqref="F917:F1132 F1136">
    <cfRule type="expression" dxfId="0" priority="490">
      <formula>#REF!&lt;&gt;""</formula>
    </cfRule>
    <cfRule type="expression" priority="491">
      <formula>#REF!&lt;&gt;""</formula>
    </cfRule>
    <cfRule type="expression" priority="492">
      <formula>$A$2</formula>
    </cfRule>
  </conditionalFormatting>
  <conditionalFormatting sqref="D918 I918:K918 D919:D934 I919:K934 D935:D943 I935:K943">
    <cfRule type="expression" dxfId="0" priority="1225">
      <formula>$A960&lt;&gt;""</formula>
    </cfRule>
    <cfRule type="expression" priority="1226">
      <formula>$A960&lt;&gt;""</formula>
    </cfRule>
    <cfRule type="expression" priority="1227">
      <formula>$A$2</formula>
    </cfRule>
  </conditionalFormatting>
  <conditionalFormatting sqref="L918:XFD920">
    <cfRule type="expression" dxfId="0" priority="1168">
      <formula>$A950&lt;&gt;""</formula>
    </cfRule>
    <cfRule type="expression" priority="1169">
      <formula>$A950&lt;&gt;""</formula>
    </cfRule>
    <cfRule type="expression" priority="1170">
      <formula>$A$2</formula>
    </cfRule>
  </conditionalFormatting>
  <conditionalFormatting sqref="L921:XFD946">
    <cfRule type="expression" dxfId="0" priority="1228">
      <formula>$A960&lt;&gt;""</formula>
    </cfRule>
    <cfRule type="expression" priority="1229">
      <formula>$A960&lt;&gt;""</formula>
    </cfRule>
    <cfRule type="expression" priority="1230">
      <formula>$A$2</formula>
    </cfRule>
  </conditionalFormatting>
  <conditionalFormatting sqref="A923 A926 A929 A932 A935 A938 A941">
    <cfRule type="expression" dxfId="0" priority="1231">
      <formula>$A960&lt;&gt;""</formula>
    </cfRule>
    <cfRule type="expression" priority="1232">
      <formula>$A960&lt;&gt;""</formula>
    </cfRule>
    <cfRule type="expression" priority="1233">
      <formula>$A$2</formula>
    </cfRule>
  </conditionalFormatting>
  <conditionalFormatting sqref="D944 I944:K944">
    <cfRule type="expression" dxfId="0" priority="1075">
      <formula>$A977&lt;&gt;""</formula>
    </cfRule>
    <cfRule type="expression" priority="1076">
      <formula>$A977&lt;&gt;""</formula>
    </cfRule>
    <cfRule type="expression" priority="1077">
      <formula>$A$2</formula>
    </cfRule>
  </conditionalFormatting>
  <conditionalFormatting sqref="D945:D946 I945:K946 D947:E947 I947:K947 D948:E948 I948:K948 D949:E949 I949:K949">
    <cfRule type="expression" dxfId="0" priority="1051">
      <formula>$A978&lt;&gt;""</formula>
    </cfRule>
    <cfRule type="expression" priority="1052">
      <formula>$A978&lt;&gt;""</formula>
    </cfRule>
    <cfRule type="expression" priority="1053">
      <formula>$A$2</formula>
    </cfRule>
  </conditionalFormatting>
  <conditionalFormatting sqref="L948:XFD948 L949:N949 P949:XFD949">
    <cfRule type="expression" dxfId="0" priority="1261">
      <formula>$A978&lt;&gt;""</formula>
    </cfRule>
    <cfRule type="expression" priority="1262">
      <formula>$A978&lt;&gt;""</formula>
    </cfRule>
    <cfRule type="expression" priority="1263">
      <formula>$A$2</formula>
    </cfRule>
  </conditionalFormatting>
  <conditionalFormatting sqref="K950:K951 K960:K1050 K1052:K1132 K1136:K1048135">
    <cfRule type="expression" dxfId="0" priority="1126">
      <formula>$A951&lt;&gt;""</formula>
    </cfRule>
    <cfRule type="expression" priority="1127">
      <formula>$A951&lt;&gt;""</formula>
    </cfRule>
    <cfRule type="expression" priority="1128">
      <formula>$A$2</formula>
    </cfRule>
  </conditionalFormatting>
  <conditionalFormatting sqref="L950:M959">
    <cfRule type="expression" dxfId="0" priority="1183">
      <formula>$A999&lt;&gt;""</formula>
    </cfRule>
    <cfRule type="expression" priority="1184">
      <formula>$A999&lt;&gt;""</formula>
    </cfRule>
    <cfRule type="expression" priority="1185">
      <formula>$A$2</formula>
    </cfRule>
  </conditionalFormatting>
  <conditionalFormatting sqref="N950:Q950 S950:AU950 N951:AU951 AV962:XFD964">
    <cfRule type="expression" dxfId="0" priority="1099">
      <formula>#REF!&lt;&gt;""</formula>
    </cfRule>
    <cfRule type="expression" priority="1100">
      <formula>#REF!&lt;&gt;""</formula>
    </cfRule>
    <cfRule type="expression" priority="1101">
      <formula>$A$2</formula>
    </cfRule>
  </conditionalFormatting>
  <conditionalFormatting sqref="C952:E952 I952:J952 A953:E953 I953:J953 C954:E954 I954:J954 C955:E955 I955:J955 A956:E956 I956:J956 C957:E958 I957:J958 C959:E959 I959:J959">
    <cfRule type="expression" dxfId="0" priority="1213">
      <formula>$A960&lt;&gt;""</formula>
    </cfRule>
    <cfRule type="expression" priority="1214">
      <formula>$A960&lt;&gt;""</formula>
    </cfRule>
    <cfRule type="expression" priority="1215">
      <formula>$A$2</formula>
    </cfRule>
  </conditionalFormatting>
  <conditionalFormatting sqref="N952:Z959 L962:Z1053 L1055:Z1132 L1138:Z1048138">
    <cfRule type="expression" dxfId="0" priority="1198">
      <formula>$A950&lt;&gt;""</formula>
    </cfRule>
    <cfRule type="expression" priority="1199">
      <formula>$A950&lt;&gt;""</formula>
    </cfRule>
    <cfRule type="expression" priority="1200">
      <formula>$A$2</formula>
    </cfRule>
  </conditionalFormatting>
  <conditionalFormatting sqref="AA952:AU959 AA962:AU1053 AA1055:AU1132 AA1138:AU1048138">
    <cfRule type="expression" dxfId="0" priority="1207">
      <formula>$A950&lt;&gt;""</formula>
    </cfRule>
    <cfRule type="expression" priority="1208">
      <formula>$A950&lt;&gt;""</formula>
    </cfRule>
    <cfRule type="expression" priority="1209">
      <formula>$A$2</formula>
    </cfRule>
  </conditionalFormatting>
  <conditionalFormatting sqref="AV952:XFD953">
    <cfRule type="expression" dxfId="0" priority="1264">
      <formula>#REF!&lt;&gt;""</formula>
    </cfRule>
    <cfRule type="expression" priority="1265">
      <formula>#REF!&lt;&gt;""</formula>
    </cfRule>
    <cfRule type="expression" priority="1266">
      <formula>$A$2</formula>
    </cfRule>
  </conditionalFormatting>
  <conditionalFormatting sqref="AV954:XFD959">
    <cfRule type="expression" dxfId="0" priority="1162">
      <formula>$A950&lt;&gt;""</formula>
    </cfRule>
    <cfRule type="expression" priority="1163">
      <formula>$A950&lt;&gt;""</formula>
    </cfRule>
    <cfRule type="expression" priority="1164">
      <formula>$A$2</formula>
    </cfRule>
  </conditionalFormatting>
  <conditionalFormatting sqref="L960:Z961">
    <cfRule type="expression" dxfId="0" priority="1237">
      <formula>$A951&lt;&gt;""</formula>
    </cfRule>
    <cfRule type="expression" priority="1238">
      <formula>$A951&lt;&gt;""</formula>
    </cfRule>
    <cfRule type="expression" priority="1239">
      <formula>$A$2</formula>
    </cfRule>
  </conditionalFormatting>
  <conditionalFormatting sqref="AA960:AU961">
    <cfRule type="expression" dxfId="0" priority="1240">
      <formula>$A951&lt;&gt;""</formula>
    </cfRule>
    <cfRule type="expression" priority="1241">
      <formula>$A951&lt;&gt;""</formula>
    </cfRule>
    <cfRule type="expression" priority="1242">
      <formula>$A$2</formula>
    </cfRule>
  </conditionalFormatting>
  <conditionalFormatting sqref="AV960:XFD961">
    <cfRule type="expression" dxfId="0" priority="1180">
      <formula>#REF!&lt;&gt;""</formula>
    </cfRule>
    <cfRule type="expression" priority="1181">
      <formula>#REF!&lt;&gt;""</formula>
    </cfRule>
    <cfRule type="expression" priority="1182">
      <formula>$A$2</formula>
    </cfRule>
  </conditionalFormatting>
  <conditionalFormatting sqref="AV965:XFD967">
    <cfRule type="expression" dxfId="0" priority="1243">
      <formula>$A950&lt;&gt;""</formula>
    </cfRule>
    <cfRule type="expression" priority="1244">
      <formula>$A950&lt;&gt;""</formula>
    </cfRule>
    <cfRule type="expression" priority="1245">
      <formula>$A$2</formula>
    </cfRule>
  </conditionalFormatting>
  <conditionalFormatting sqref="AV968:XFD1059 AV1061:XFD1132 AV1144:XFD1048144">
    <cfRule type="expression" dxfId="0" priority="1186">
      <formula>$A960&lt;&gt;""</formula>
    </cfRule>
    <cfRule type="expression" priority="1187">
      <formula>$A960&lt;&gt;""</formula>
    </cfRule>
    <cfRule type="expression" priority="1188">
      <formula>$A$2</formula>
    </cfRule>
  </conditionalFormatting>
  <conditionalFormatting sqref="C1051:E1051 I1051:K1051 L1054:AU1054 AV1060:XFD1060">
    <cfRule type="expression" dxfId="0" priority="958">
      <formula>#REF!&lt;&gt;""</formula>
    </cfRule>
    <cfRule type="expression" priority="959">
      <formula>#REF!&lt;&gt;""</formula>
    </cfRule>
    <cfRule type="expression" priority="960">
      <formula>$A$2</formula>
    </cfRule>
  </conditionalFormatting>
  <conditionalFormatting sqref="C1133:E1135 I1133:J1135">
    <cfRule type="expression" dxfId="0" priority="40">
      <formula>$A1134&lt;&gt;""</formula>
    </cfRule>
    <cfRule type="expression" priority="41">
      <formula>$A1134&lt;&gt;""</formula>
    </cfRule>
    <cfRule type="expression" priority="42">
      <formula>$A$2</formula>
    </cfRule>
  </conditionalFormatting>
  <conditionalFormatting sqref="L1133:Z1135">
    <cfRule type="expression" dxfId="0" priority="49">
      <formula>$A1131&lt;&gt;""</formula>
    </cfRule>
    <cfRule type="expression" priority="50">
      <formula>$A1131&lt;&gt;""</formula>
    </cfRule>
    <cfRule type="expression" priority="51">
      <formula>$A$2</formula>
    </cfRule>
  </conditionalFormatting>
  <conditionalFormatting sqref="AA1133:AU1135">
    <cfRule type="expression" dxfId="0" priority="52">
      <formula>$A1131&lt;&gt;""</formula>
    </cfRule>
    <cfRule type="expression" priority="53">
      <formula>$A1131&lt;&gt;""</formula>
    </cfRule>
    <cfRule type="expression" priority="54">
      <formula>$A$2</formula>
    </cfRule>
  </conditionalFormatting>
  <conditionalFormatting sqref="AV1133:XFD1135">
    <cfRule type="expression" dxfId="0" priority="46">
      <formula>$A1125&lt;&gt;""</formula>
    </cfRule>
    <cfRule type="expression" priority="47">
      <formula>$A1125&lt;&gt;""</formula>
    </cfRule>
    <cfRule type="expression" priority="48">
      <formula>$A$2</formula>
    </cfRule>
  </conditionalFormatting>
  <conditionalFormatting sqref="L1136:Z1137">
    <cfRule type="expression" dxfId="0" priority="1285">
      <formula>$A1132&lt;&gt;""</formula>
    </cfRule>
    <cfRule type="expression" priority="1286">
      <formula>$A1132&lt;&gt;""</formula>
    </cfRule>
    <cfRule type="expression" priority="1287">
      <formula>$A$2</formula>
    </cfRule>
  </conditionalFormatting>
  <conditionalFormatting sqref="AA1136:AU1137">
    <cfRule type="expression" dxfId="0" priority="1288">
      <formula>$A1132&lt;&gt;""</formula>
    </cfRule>
    <cfRule type="expression" priority="1289">
      <formula>$A1132&lt;&gt;""</formula>
    </cfRule>
    <cfRule type="expression" priority="1290">
      <formula>$A$2</formula>
    </cfRule>
  </conditionalFormatting>
  <conditionalFormatting sqref="AV1136:XFD1143">
    <cfRule type="expression" dxfId="0" priority="1291">
      <formula>$A1126&lt;&gt;""</formula>
    </cfRule>
    <cfRule type="expression" priority="1292">
      <formula>$A1126&lt;&gt;""</formula>
    </cfRule>
    <cfRule type="expression" priority="1293">
      <formula>$A$2</formula>
    </cfRule>
  </conditionalFormatting>
  <conditionalFormatting sqref="A1048136:K1048138 A1048139:AU1048144 $A1048145:$XFD1048576">
    <cfRule type="expression" dxfId="0" priority="916">
      <formula>#REF!&lt;&gt;""</formula>
    </cfRule>
    <cfRule type="expression" priority="917">
      <formula>#REF!&lt;&gt;""</formula>
    </cfRule>
    <cfRule type="expression" priority="918">
      <formula>$A$2</formula>
    </cfRule>
  </conditionalFormatting>
  <pageMargins left="0.75" right="0.75" top="1" bottom="1" header="0.5" footer="0.5"/>
  <pageSetup paperSize="25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B1048"/>
  <sheetViews>
    <sheetView tabSelected="1" workbookViewId="0">
      <selection activeCell="AL131" sqref="AL131"/>
    </sheetView>
  </sheetViews>
  <sheetFormatPr defaultColWidth="9" defaultRowHeight="18" customHeight="1"/>
  <cols>
    <col min="1" max="1" width="9" style="33"/>
    <col min="2" max="2" width="13" style="33" customWidth="1"/>
    <col min="3" max="7" width="9" style="33"/>
    <col min="8" max="8" width="8.77777777777778" style="33" customWidth="1"/>
    <col min="9" max="9" width="0.111111111111111" style="33" hidden="1" customWidth="1"/>
    <col min="10" max="10" width="0.222222222222222" style="33" hidden="1" customWidth="1"/>
    <col min="11" max="25" width="4.75" style="33" hidden="1" customWidth="1"/>
    <col min="26" max="26" width="6.55555555555556" style="33" hidden="1" customWidth="1"/>
    <col min="27" max="27" width="0.111111111111111" style="33" hidden="1" customWidth="1"/>
    <col min="28" max="28" width="9.66666666666667" style="33" hidden="1" customWidth="1"/>
    <col min="29" max="32" width="4.75" style="33" hidden="1" customWidth="1"/>
    <col min="33" max="33" width="0.111111111111111" style="33" hidden="1" customWidth="1"/>
    <col min="34" max="36" width="4.75" style="33" hidden="1" customWidth="1"/>
    <col min="37" max="45" width="4.75" style="33" customWidth="1"/>
    <col min="46" max="54" width="5.12962962962963" style="33" customWidth="1"/>
    <col min="55" max="16384" width="9" style="33"/>
  </cols>
  <sheetData>
    <row r="1" customHeight="1" spans="1:54">
      <c r="A1" s="34" t="s">
        <v>0</v>
      </c>
      <c r="B1" s="35"/>
      <c r="C1" s="35"/>
      <c r="D1" s="35"/>
      <c r="E1" s="35"/>
      <c r="F1" s="36"/>
      <c r="G1" s="35"/>
      <c r="H1" s="37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customHeight="1" spans="1:54">
      <c r="A2" s="38" t="s">
        <v>1</v>
      </c>
      <c r="B2" s="6" t="s">
        <v>335</v>
      </c>
      <c r="C2" s="38" t="s">
        <v>3</v>
      </c>
      <c r="D2" s="38" t="s">
        <v>4</v>
      </c>
      <c r="E2" s="38" t="s">
        <v>5</v>
      </c>
      <c r="F2" s="39" t="s">
        <v>6</v>
      </c>
      <c r="G2" s="38" t="s">
        <v>7</v>
      </c>
      <c r="H2" s="40" t="s">
        <v>8</v>
      </c>
      <c r="I2" s="41">
        <v>46120</v>
      </c>
      <c r="J2" s="41"/>
      <c r="K2" s="41">
        <v>46121</v>
      </c>
      <c r="L2" s="41"/>
      <c r="M2" s="41">
        <v>46122</v>
      </c>
      <c r="N2" s="41"/>
      <c r="O2" s="41">
        <v>46123</v>
      </c>
      <c r="P2" s="41"/>
      <c r="Q2" s="41">
        <v>46124</v>
      </c>
      <c r="R2" s="41"/>
      <c r="S2" s="41">
        <v>46125</v>
      </c>
      <c r="T2" s="41"/>
      <c r="U2" s="41">
        <v>46126</v>
      </c>
      <c r="V2" s="41"/>
      <c r="W2" s="41">
        <v>46127</v>
      </c>
      <c r="X2" s="41"/>
      <c r="Y2" s="41">
        <v>46128</v>
      </c>
      <c r="Z2" s="41"/>
      <c r="AA2" s="41">
        <v>46129</v>
      </c>
      <c r="AB2" s="41"/>
      <c r="AC2" s="41">
        <v>46130</v>
      </c>
      <c r="AD2" s="41"/>
      <c r="AE2" s="41">
        <v>46131</v>
      </c>
      <c r="AF2" s="41"/>
      <c r="AG2" s="41">
        <v>46132</v>
      </c>
      <c r="AH2" s="41"/>
      <c r="AI2" s="41">
        <v>46133</v>
      </c>
      <c r="AJ2" s="41"/>
      <c r="AK2" s="41">
        <v>46134</v>
      </c>
      <c r="AL2" s="41"/>
      <c r="AM2" s="41">
        <v>46135</v>
      </c>
      <c r="AN2" s="41"/>
      <c r="AO2" s="41">
        <v>46136</v>
      </c>
      <c r="AP2" s="41"/>
      <c r="AQ2" s="41">
        <v>46137</v>
      </c>
      <c r="AR2" s="41"/>
      <c r="AS2" s="41">
        <v>46138</v>
      </c>
      <c r="AT2" s="41"/>
      <c r="AU2" s="41">
        <v>46139</v>
      </c>
      <c r="AV2" s="41"/>
      <c r="AW2" s="41">
        <v>46140</v>
      </c>
      <c r="AX2" s="41"/>
      <c r="AY2" s="41">
        <v>46141</v>
      </c>
      <c r="AZ2" s="41"/>
      <c r="BA2" s="41">
        <v>46142</v>
      </c>
      <c r="BB2" s="41"/>
    </row>
    <row r="3" customHeight="1" spans="1:54">
      <c r="A3" s="42"/>
      <c r="B3" s="11"/>
      <c r="C3" s="42"/>
      <c r="D3" s="42"/>
      <c r="E3" s="42"/>
      <c r="F3" s="43"/>
      <c r="G3" s="42"/>
      <c r="H3" s="44"/>
      <c r="I3" s="45" t="s">
        <v>9</v>
      </c>
      <c r="J3" s="45" t="s">
        <v>10</v>
      </c>
      <c r="K3" s="45" t="s">
        <v>9</v>
      </c>
      <c r="L3" s="45" t="s">
        <v>10</v>
      </c>
      <c r="M3" s="45" t="s">
        <v>9</v>
      </c>
      <c r="N3" s="45" t="s">
        <v>10</v>
      </c>
      <c r="O3" s="45" t="s">
        <v>9</v>
      </c>
      <c r="P3" s="45" t="s">
        <v>10</v>
      </c>
      <c r="Q3" s="45" t="s">
        <v>9</v>
      </c>
      <c r="R3" s="45" t="s">
        <v>10</v>
      </c>
      <c r="S3" s="45" t="s">
        <v>9</v>
      </c>
      <c r="T3" s="45" t="s">
        <v>10</v>
      </c>
      <c r="U3" s="45" t="s">
        <v>9</v>
      </c>
      <c r="V3" s="45" t="s">
        <v>10</v>
      </c>
      <c r="W3" s="45" t="s">
        <v>9</v>
      </c>
      <c r="X3" s="45" t="s">
        <v>10</v>
      </c>
      <c r="Y3" s="45" t="s">
        <v>9</v>
      </c>
      <c r="Z3" s="45" t="s">
        <v>10</v>
      </c>
      <c r="AA3" s="45" t="s">
        <v>9</v>
      </c>
      <c r="AB3" s="45" t="s">
        <v>10</v>
      </c>
      <c r="AC3" s="45" t="s">
        <v>9</v>
      </c>
      <c r="AD3" s="45" t="s">
        <v>10</v>
      </c>
      <c r="AE3" s="45" t="s">
        <v>9</v>
      </c>
      <c r="AF3" s="45" t="s">
        <v>10</v>
      </c>
      <c r="AG3" s="45" t="s">
        <v>9</v>
      </c>
      <c r="AH3" s="45" t="s">
        <v>10</v>
      </c>
      <c r="AI3" s="45" t="s">
        <v>9</v>
      </c>
      <c r="AJ3" s="45" t="s">
        <v>10</v>
      </c>
      <c r="AK3" s="45" t="s">
        <v>9</v>
      </c>
      <c r="AL3" s="45" t="s">
        <v>10</v>
      </c>
      <c r="AM3" s="45" t="s">
        <v>9</v>
      </c>
      <c r="AN3" s="45" t="s">
        <v>10</v>
      </c>
      <c r="AO3" s="45" t="s">
        <v>9</v>
      </c>
      <c r="AP3" s="45" t="s">
        <v>10</v>
      </c>
      <c r="AQ3" s="45" t="s">
        <v>9</v>
      </c>
      <c r="AR3" s="45" t="s">
        <v>10</v>
      </c>
      <c r="AS3" s="45" t="s">
        <v>9</v>
      </c>
      <c r="AT3" s="45" t="s">
        <v>10</v>
      </c>
      <c r="AU3" s="45" t="s">
        <v>9</v>
      </c>
      <c r="AV3" s="45" t="s">
        <v>10</v>
      </c>
      <c r="AW3" s="45" t="s">
        <v>9</v>
      </c>
      <c r="AX3" s="45" t="s">
        <v>10</v>
      </c>
      <c r="AY3" s="45" t="s">
        <v>9</v>
      </c>
      <c r="AZ3" s="45" t="s">
        <v>10</v>
      </c>
      <c r="BA3" s="45" t="s">
        <v>9</v>
      </c>
      <c r="BB3" s="45" t="s">
        <v>10</v>
      </c>
    </row>
    <row r="4" ht="9" customHeight="1" spans="1:54">
      <c r="A4" s="42"/>
      <c r="B4" s="15"/>
      <c r="C4" s="46"/>
      <c r="D4" s="46"/>
      <c r="E4" s="46"/>
      <c r="F4" s="47"/>
      <c r="G4" s="46"/>
      <c r="H4" s="48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</row>
    <row r="5" hidden="1" customHeight="1" spans="1:54">
      <c r="A5" s="49">
        <f>ROW()-4</f>
        <v>1</v>
      </c>
      <c r="B5" s="45" t="s">
        <v>11</v>
      </c>
      <c r="C5" s="50" t="s">
        <v>12</v>
      </c>
      <c r="D5" s="45"/>
      <c r="E5" s="45">
        <v>0</v>
      </c>
      <c r="F5" s="36">
        <f>SUMIF(I3:$BB$3,"入库",I5:$BB5)</f>
        <v>8800</v>
      </c>
      <c r="G5" s="45">
        <f>SUMIF(J3:$BB$3,"出库",J5:$BB5)</f>
        <v>0</v>
      </c>
      <c r="H5" s="37">
        <f t="shared" ref="H5:H68" si="0">E5+F5-G5</f>
        <v>8800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>
        <v>8800</v>
      </c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</row>
    <row r="6" hidden="1" customHeight="1" spans="1:54">
      <c r="A6" s="51"/>
      <c r="B6" s="45"/>
      <c r="C6" s="52" t="s">
        <v>13</v>
      </c>
      <c r="D6" s="45"/>
      <c r="E6" s="45">
        <v>0</v>
      </c>
      <c r="F6" s="36">
        <f ca="1">SUMIF(I$3:$BB5,"入库",I6:$BB6)</f>
        <v>200</v>
      </c>
      <c r="G6" s="45">
        <f ca="1">SUMIF(J$3:$BB5,"出库",J6:$BB6)</f>
        <v>0</v>
      </c>
      <c r="H6" s="37">
        <f ca="1" t="shared" si="0"/>
        <v>200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>
        <v>200</v>
      </c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hidden="1" customHeight="1" spans="1:54">
      <c r="A7" s="53"/>
      <c r="B7" s="45"/>
      <c r="C7" s="45" t="s">
        <v>14</v>
      </c>
      <c r="D7" s="45"/>
      <c r="E7" s="45">
        <v>0</v>
      </c>
      <c r="F7" s="36">
        <f ca="1">SUMIF(I$3:$BB6,"入库",I7:$BB7)</f>
        <v>150</v>
      </c>
      <c r="G7" s="45">
        <f ca="1">SUMIF(J$3:$BB6,"出库",J7:$BB7)</f>
        <v>0</v>
      </c>
      <c r="H7" s="37">
        <f ca="1" t="shared" si="0"/>
        <v>150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>
        <v>150</v>
      </c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hidden="1" customHeight="1" spans="1:54">
      <c r="A8" s="49">
        <f>ROW()-6</f>
        <v>2</v>
      </c>
      <c r="B8" s="45" t="s">
        <v>15</v>
      </c>
      <c r="C8" s="50" t="s">
        <v>12</v>
      </c>
      <c r="D8" s="45"/>
      <c r="E8" s="45">
        <v>0</v>
      </c>
      <c r="F8" s="36">
        <f ca="1">SUMIF(I$3:$BB7,"入库",I8:$BB8)</f>
        <v>12000</v>
      </c>
      <c r="G8" s="45">
        <f ca="1">SUMIF(J$3:$BB7,"出库",J8:$BB8)</f>
        <v>0</v>
      </c>
      <c r="H8" s="37">
        <f ca="1" t="shared" si="0"/>
        <v>12000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>
        <v>12000</v>
      </c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hidden="1" customHeight="1" spans="1:54">
      <c r="A9" s="51"/>
      <c r="B9" s="45"/>
      <c r="C9" s="52" t="s">
        <v>13</v>
      </c>
      <c r="D9" s="45"/>
      <c r="E9" s="45">
        <v>0</v>
      </c>
      <c r="F9" s="36">
        <f ca="1">SUMIF(I$3:$BB8,"入库",I9:$BB9)</f>
        <v>550</v>
      </c>
      <c r="G9" s="45">
        <f ca="1">SUMIF(J$3:$BB8,"出库",J9:$BB9)</f>
        <v>0</v>
      </c>
      <c r="H9" s="37">
        <f ca="1" t="shared" si="0"/>
        <v>550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>
        <v>550</v>
      </c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hidden="1" customHeight="1" spans="1:54">
      <c r="A10" s="53"/>
      <c r="B10" s="45"/>
      <c r="C10" s="45" t="s">
        <v>14</v>
      </c>
      <c r="D10" s="45"/>
      <c r="E10" s="45">
        <v>0</v>
      </c>
      <c r="F10" s="36">
        <f ca="1">SUMIF(I$3:$BB9,"入库",I10:$BB10)</f>
        <v>1500</v>
      </c>
      <c r="G10" s="45">
        <f ca="1">SUMIF(J$3:$BB9,"出库",J10:$BB10)</f>
        <v>0</v>
      </c>
      <c r="H10" s="37">
        <f ca="1" t="shared" si="0"/>
        <v>1500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>
        <v>1500</v>
      </c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hidden="1" customHeight="1" spans="1:54">
      <c r="A11" s="49">
        <f>ROW()-8</f>
        <v>3</v>
      </c>
      <c r="B11" s="45" t="s">
        <v>16</v>
      </c>
      <c r="C11" s="50" t="s">
        <v>12</v>
      </c>
      <c r="D11" s="45"/>
      <c r="E11" s="45">
        <v>0</v>
      </c>
      <c r="F11" s="36">
        <f ca="1">SUMIF(I$3:$BB10,"入库",I11:$BB11)</f>
        <v>1250</v>
      </c>
      <c r="G11" s="45">
        <f ca="1">SUMIF(J$3:$BB10,"出库",J11:$BB11)</f>
        <v>200</v>
      </c>
      <c r="H11" s="37">
        <f ca="1" t="shared" si="0"/>
        <v>1050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>
        <v>1250</v>
      </c>
      <c r="AH11" s="45"/>
      <c r="AI11" s="45"/>
      <c r="AJ11" s="45">
        <v>200</v>
      </c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hidden="1" customHeight="1" spans="1:54">
      <c r="A12" s="51"/>
      <c r="B12" s="45"/>
      <c r="C12" s="52" t="s">
        <v>13</v>
      </c>
      <c r="D12" s="45"/>
      <c r="E12" s="45">
        <v>0</v>
      </c>
      <c r="F12" s="36">
        <f ca="1">SUMIF(I$3:$BB11,"入库",I12:$BB12)</f>
        <v>700</v>
      </c>
      <c r="G12" s="45">
        <f ca="1">SUMIF(J$3:$BB11,"出库",J12:$BB12)</f>
        <v>100</v>
      </c>
      <c r="H12" s="37">
        <f ca="1" t="shared" si="0"/>
        <v>600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>
        <v>700</v>
      </c>
      <c r="AH12" s="45"/>
      <c r="AI12" s="45"/>
      <c r="AJ12" s="45">
        <v>100</v>
      </c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hidden="1" customHeight="1" spans="1:54">
      <c r="A13" s="53"/>
      <c r="B13" s="45"/>
      <c r="C13" s="45" t="s">
        <v>14</v>
      </c>
      <c r="D13" s="45"/>
      <c r="E13" s="45">
        <v>0</v>
      </c>
      <c r="F13" s="36">
        <f ca="1">SUMIF(I$3:$BB12,"入库",I13:$BB13)</f>
        <v>160</v>
      </c>
      <c r="G13" s="45">
        <f ca="1">SUMIF(J$3:$BB12,"出库",J13:$BB13)</f>
        <v>0</v>
      </c>
      <c r="H13" s="37">
        <f ca="1" t="shared" si="0"/>
        <v>160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>
        <v>160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hidden="1" customHeight="1" spans="1:54">
      <c r="A14" s="49">
        <f>ROW()-9</f>
        <v>5</v>
      </c>
      <c r="B14" s="45" t="s">
        <v>17</v>
      </c>
      <c r="C14" s="50" t="s">
        <v>12</v>
      </c>
      <c r="D14" s="45"/>
      <c r="E14" s="45">
        <v>0</v>
      </c>
      <c r="F14" s="36">
        <f ca="1">SUMIF(I$3:$BB13,"入库",I14:$BB14)</f>
        <v>1250</v>
      </c>
      <c r="G14" s="45">
        <f ca="1">SUMIF(J$3:$BB13,"出库",J14:$BB14)</f>
        <v>10</v>
      </c>
      <c r="H14" s="37">
        <f ca="1" t="shared" si="0"/>
        <v>1240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>
        <v>1250</v>
      </c>
      <c r="AD14" s="45"/>
      <c r="AE14" s="45"/>
      <c r="AF14" s="45"/>
      <c r="AG14" s="45"/>
      <c r="AH14" s="45">
        <v>10</v>
      </c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hidden="1" customHeight="1" spans="1:54">
      <c r="A15" s="51"/>
      <c r="B15" s="45"/>
      <c r="C15" s="52" t="s">
        <v>13</v>
      </c>
      <c r="D15" s="45"/>
      <c r="E15" s="45">
        <v>0</v>
      </c>
      <c r="F15" s="36">
        <f ca="1">SUMIF(I$3:$BB14,"入库",I15:$BB15)</f>
        <v>260</v>
      </c>
      <c r="G15" s="45">
        <f ca="1">SUMIF(J$3:$BB14,"出库",J15:$BB15)</f>
        <v>0</v>
      </c>
      <c r="H15" s="37">
        <f ca="1" t="shared" si="0"/>
        <v>260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>
        <v>260</v>
      </c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hidden="1" customHeight="1" spans="1:54">
      <c r="A16" s="53"/>
      <c r="B16" s="45"/>
      <c r="C16" s="45" t="s">
        <v>14</v>
      </c>
      <c r="D16" s="45"/>
      <c r="E16" s="45">
        <v>0</v>
      </c>
      <c r="F16" s="36">
        <f ca="1">SUMIF(I$3:$BB15,"入库",I16:$BB16)</f>
        <v>1300</v>
      </c>
      <c r="G16" s="45">
        <f ca="1">SUMIF(J$3:$BB15,"出库",J16:$BB16)</f>
        <v>510</v>
      </c>
      <c r="H16" s="37">
        <f ca="1" t="shared" si="0"/>
        <v>790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>
        <v>1300</v>
      </c>
      <c r="AD16" s="45"/>
      <c r="AE16" s="45"/>
      <c r="AF16" s="45"/>
      <c r="AG16" s="45"/>
      <c r="AH16" s="45">
        <v>510</v>
      </c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hidden="1" customHeight="1" spans="1:54">
      <c r="A17" s="49">
        <f>ROW()-11</f>
        <v>6</v>
      </c>
      <c r="B17" s="45" t="s">
        <v>18</v>
      </c>
      <c r="C17" s="50" t="s">
        <v>12</v>
      </c>
      <c r="D17" s="45"/>
      <c r="E17" s="45">
        <v>0</v>
      </c>
      <c r="F17" s="36">
        <f ca="1">SUMIF(I$3:$BB16,"入库",I17:$BB17)</f>
        <v>4300</v>
      </c>
      <c r="G17" s="45">
        <f ca="1">SUMIF(J$3:$BB16,"出库",J17:$BB17)</f>
        <v>10</v>
      </c>
      <c r="H17" s="37">
        <f ca="1" t="shared" si="0"/>
        <v>4290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>
        <v>100</v>
      </c>
      <c r="AD17" s="45"/>
      <c r="AE17" s="45"/>
      <c r="AF17" s="45"/>
      <c r="AG17" s="45"/>
      <c r="AH17" s="45">
        <v>10</v>
      </c>
      <c r="AI17" s="45">
        <v>4200</v>
      </c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hidden="1" customHeight="1" spans="1:54">
      <c r="A18" s="51"/>
      <c r="B18" s="45"/>
      <c r="C18" s="52" t="s">
        <v>13</v>
      </c>
      <c r="D18" s="45"/>
      <c r="E18" s="45">
        <v>0</v>
      </c>
      <c r="F18" s="36">
        <f ca="1">SUMIF(I$3:$BB17,"入库",I18:$BB18)</f>
        <v>50</v>
      </c>
      <c r="G18" s="45">
        <f ca="1">SUMIF(J$3:$BB17,"出库",J18:$BB18)</f>
        <v>0</v>
      </c>
      <c r="H18" s="37">
        <f ca="1" t="shared" si="0"/>
        <v>50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>
        <v>50</v>
      </c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hidden="1" customHeight="1" spans="1:54">
      <c r="A19" s="53"/>
      <c r="B19" s="45"/>
      <c r="C19" s="45" t="s">
        <v>14</v>
      </c>
      <c r="D19" s="45"/>
      <c r="E19" s="45">
        <v>0</v>
      </c>
      <c r="F19" s="36">
        <f ca="1">SUMIF(I$3:$BB18,"入库",I19:$BB19)</f>
        <v>60</v>
      </c>
      <c r="G19" s="45">
        <f ca="1">SUMIF(J$3:$BB18,"出库",J19:$BB19)</f>
        <v>10</v>
      </c>
      <c r="H19" s="37">
        <f ca="1" t="shared" si="0"/>
        <v>50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>
        <v>60</v>
      </c>
      <c r="AD19" s="45"/>
      <c r="AE19" s="45"/>
      <c r="AF19" s="45"/>
      <c r="AG19" s="45"/>
      <c r="AH19" s="45">
        <v>10</v>
      </c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</row>
    <row r="20" hidden="1" customHeight="1" spans="1:54">
      <c r="A20" s="49">
        <f>ROW()-4</f>
        <v>16</v>
      </c>
      <c r="B20" s="45" t="s">
        <v>19</v>
      </c>
      <c r="C20" s="50" t="s">
        <v>12</v>
      </c>
      <c r="D20" s="45"/>
      <c r="E20" s="45">
        <v>0</v>
      </c>
      <c r="F20" s="36">
        <f ca="1">SUMIF(I$3:$BB19,"入库",I20:$BB20)</f>
        <v>0</v>
      </c>
      <c r="G20" s="45">
        <f ca="1">SUMIF(J$3:$BB19,"出库",J20:$BB20)</f>
        <v>0</v>
      </c>
      <c r="H20" s="37">
        <f ca="1" t="shared" si="0"/>
        <v>0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</row>
    <row r="21" hidden="1" customHeight="1" spans="1:54">
      <c r="A21" s="51"/>
      <c r="B21" s="45"/>
      <c r="C21" s="52" t="s">
        <v>13</v>
      </c>
      <c r="D21" s="45"/>
      <c r="E21" s="45">
        <v>0</v>
      </c>
      <c r="F21" s="36">
        <f ca="1">SUMIF(I$3:$BB20,"入库",I21:$BB21)</f>
        <v>0</v>
      </c>
      <c r="G21" s="45">
        <f ca="1">SUMIF(J$3:$BB20,"出库",J21:$BB21)</f>
        <v>0</v>
      </c>
      <c r="H21" s="37">
        <f ca="1" t="shared" si="0"/>
        <v>0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hidden="1" customHeight="1" spans="1:54">
      <c r="A22" s="53"/>
      <c r="B22" s="45"/>
      <c r="C22" s="45" t="s">
        <v>14</v>
      </c>
      <c r="D22" s="45"/>
      <c r="E22" s="45">
        <v>0</v>
      </c>
      <c r="F22" s="36">
        <f ca="1">SUMIF(I$3:$BB21,"入库",I22:$BB22)</f>
        <v>0</v>
      </c>
      <c r="G22" s="45">
        <f ca="1">SUMIF(J$3:$BB21,"出库",J22:$BB22)</f>
        <v>0</v>
      </c>
      <c r="H22" s="37">
        <f ca="1" t="shared" si="0"/>
        <v>0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hidden="1" customHeight="1" spans="1:54">
      <c r="A23" s="49">
        <f>ROW()-4</f>
        <v>19</v>
      </c>
      <c r="B23" s="45" t="s">
        <v>20</v>
      </c>
      <c r="C23" s="50" t="s">
        <v>12</v>
      </c>
      <c r="D23" s="45"/>
      <c r="E23" s="45">
        <v>0</v>
      </c>
      <c r="F23" s="36">
        <f ca="1">SUMIF(I$3:$BB22,"入库",I23:$BB23)</f>
        <v>9950</v>
      </c>
      <c r="G23" s="45">
        <f ca="1">SUMIF(J$3:$BB22,"出库",J23:$BB23)</f>
        <v>0</v>
      </c>
      <c r="H23" s="37">
        <f ca="1" t="shared" si="0"/>
        <v>9950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>
        <v>9950</v>
      </c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hidden="1" customHeight="1" spans="1:54">
      <c r="A24" s="51"/>
      <c r="B24" s="45"/>
      <c r="C24" s="52" t="s">
        <v>13</v>
      </c>
      <c r="D24" s="45"/>
      <c r="E24" s="45">
        <v>0</v>
      </c>
      <c r="F24" s="36">
        <f ca="1">SUMIF(I$3:$BB23,"入库",I24:$BB24)</f>
        <v>750</v>
      </c>
      <c r="G24" s="45">
        <f ca="1">SUMIF(J$3:$BB23,"出库",J24:$BB24)</f>
        <v>0</v>
      </c>
      <c r="H24" s="37">
        <f ca="1" t="shared" si="0"/>
        <v>750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>
        <v>750</v>
      </c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hidden="1" customHeight="1" spans="1:54">
      <c r="A25" s="53"/>
      <c r="B25" s="45"/>
      <c r="C25" s="45" t="s">
        <v>14</v>
      </c>
      <c r="D25" s="45"/>
      <c r="E25" s="45">
        <v>0</v>
      </c>
      <c r="F25" s="36">
        <f ca="1">SUMIF(I$3:$BB24,"入库",I25:$BB25)</f>
        <v>0</v>
      </c>
      <c r="G25" s="45">
        <f ca="1">SUMIF(J$3:$BB24,"出库",J25:$BB25)</f>
        <v>0</v>
      </c>
      <c r="H25" s="37">
        <f ca="1" t="shared" si="0"/>
        <v>0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hidden="1" customHeight="1" spans="1:54">
      <c r="A26" s="49">
        <f>ROW()-4</f>
        <v>22</v>
      </c>
      <c r="B26" s="45" t="s">
        <v>21</v>
      </c>
      <c r="C26" s="50" t="s">
        <v>12</v>
      </c>
      <c r="D26" s="45"/>
      <c r="E26" s="45">
        <v>0</v>
      </c>
      <c r="F26" s="36">
        <f ca="1">SUMIF(I$3:$BB25,"入库",I26:$BB26)</f>
        <v>7400</v>
      </c>
      <c r="G26" s="45">
        <f ca="1">SUMIF(J$3:$BB25,"出库",J26:$BB26)</f>
        <v>0</v>
      </c>
      <c r="H26" s="37">
        <f ca="1" t="shared" si="0"/>
        <v>7400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>
        <v>7400</v>
      </c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hidden="1" customHeight="1" spans="1:54">
      <c r="A27" s="51"/>
      <c r="B27" s="45"/>
      <c r="C27" s="52" t="s">
        <v>13</v>
      </c>
      <c r="D27" s="45"/>
      <c r="E27" s="45">
        <v>0</v>
      </c>
      <c r="F27" s="36">
        <f ca="1">SUMIF(I$3:$BB26,"入库",I27:$BB27)</f>
        <v>900</v>
      </c>
      <c r="G27" s="45">
        <f ca="1">SUMIF(J$3:$BB26,"出库",J27:$BB27)</f>
        <v>0</v>
      </c>
      <c r="H27" s="37">
        <f ca="1" t="shared" si="0"/>
        <v>900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>
        <v>900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hidden="1" customHeight="1" spans="1:54">
      <c r="A28" s="53"/>
      <c r="B28" s="45"/>
      <c r="C28" s="45" t="s">
        <v>14</v>
      </c>
      <c r="D28" s="45"/>
      <c r="E28" s="45">
        <v>0</v>
      </c>
      <c r="F28" s="36">
        <f ca="1">SUMIF(I$3:$BB27,"入库",I28:$BB28)</f>
        <v>350</v>
      </c>
      <c r="G28" s="45">
        <f ca="1">SUMIF(J$3:$BB27,"出库",J28:$BB28)</f>
        <v>1</v>
      </c>
      <c r="H28" s="37">
        <f ca="1" t="shared" si="0"/>
        <v>349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>
        <v>350</v>
      </c>
      <c r="AH28" s="45"/>
      <c r="AI28" s="45"/>
      <c r="AJ28" s="45">
        <v>1</v>
      </c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hidden="1" customHeight="1" spans="1:54">
      <c r="A29" s="49">
        <f>ROW()-4</f>
        <v>25</v>
      </c>
      <c r="B29" s="45" t="s">
        <v>22</v>
      </c>
      <c r="C29" s="50" t="s">
        <v>12</v>
      </c>
      <c r="D29" s="45"/>
      <c r="E29" s="45">
        <v>0</v>
      </c>
      <c r="F29" s="36">
        <f ca="1">SUMIF(I$3:$BB28,"入库",I29:$BB29)</f>
        <v>15150</v>
      </c>
      <c r="G29" s="45">
        <f ca="1">SUMIF(J$3:$BB28,"出库",J29:$BB29)</f>
        <v>0</v>
      </c>
      <c r="H29" s="37">
        <f ca="1" t="shared" si="0"/>
        <v>15150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>
        <v>15150</v>
      </c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hidden="1" customHeight="1" spans="1:54">
      <c r="A30" s="51"/>
      <c r="B30" s="45"/>
      <c r="C30" s="52" t="s">
        <v>13</v>
      </c>
      <c r="D30" s="45"/>
      <c r="E30" s="45">
        <v>0</v>
      </c>
      <c r="F30" s="36">
        <f ca="1">SUMIF(I$3:$BB29,"入库",I30:$BB30)</f>
        <v>250</v>
      </c>
      <c r="G30" s="45">
        <f ca="1">SUMIF(J$3:$BB29,"出库",J30:$BB30)</f>
        <v>0</v>
      </c>
      <c r="H30" s="37">
        <f ca="1" t="shared" si="0"/>
        <v>250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>
        <v>250</v>
      </c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hidden="1" customHeight="1" spans="1:54">
      <c r="A31" s="53"/>
      <c r="B31" s="45"/>
      <c r="C31" s="45" t="s">
        <v>14</v>
      </c>
      <c r="D31" s="45"/>
      <c r="E31" s="45">
        <v>0</v>
      </c>
      <c r="F31" s="36">
        <f ca="1">SUMIF(I$3:$BB30,"入库",I31:$BB31)</f>
        <v>260</v>
      </c>
      <c r="G31" s="45">
        <f ca="1">SUMIF(J$3:$BB30,"出库",J31:$BB31)</f>
        <v>50</v>
      </c>
      <c r="H31" s="37">
        <f ca="1" t="shared" si="0"/>
        <v>210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>
        <v>260</v>
      </c>
      <c r="AH31" s="45"/>
      <c r="AI31" s="45"/>
      <c r="AJ31" s="45">
        <v>50</v>
      </c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hidden="1" customHeight="1" spans="1:54">
      <c r="A32" s="49">
        <f>ROW()-4</f>
        <v>28</v>
      </c>
      <c r="B32" s="45" t="s">
        <v>23</v>
      </c>
      <c r="C32" s="50" t="s">
        <v>12</v>
      </c>
      <c r="D32" s="45"/>
      <c r="E32" s="45">
        <v>0</v>
      </c>
      <c r="F32" s="36">
        <f ca="1">SUMIF(I$3:$BB31,"入库",I32:$BB32)</f>
        <v>2450</v>
      </c>
      <c r="G32" s="45">
        <f ca="1">SUMIF(J$3:$BB31,"出库",J32:$BB32)</f>
        <v>0</v>
      </c>
      <c r="H32" s="37">
        <f ca="1" t="shared" si="0"/>
        <v>2450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>
        <v>2450</v>
      </c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hidden="1" customHeight="1" spans="1:54">
      <c r="A33" s="51"/>
      <c r="B33" s="45"/>
      <c r="C33" s="52" t="s">
        <v>13</v>
      </c>
      <c r="D33" s="45"/>
      <c r="E33" s="45">
        <v>0</v>
      </c>
      <c r="F33" s="36">
        <f ca="1">SUMIF(I$3:$BB32,"入库",I33:$BB33)</f>
        <v>2200</v>
      </c>
      <c r="G33" s="45">
        <f ca="1">SUMIF(J$3:$BB32,"出库",J33:$BB33)</f>
        <v>0</v>
      </c>
      <c r="H33" s="37">
        <f ca="1" t="shared" si="0"/>
        <v>2200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>
        <v>2200</v>
      </c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hidden="1" customHeight="1" spans="1:54">
      <c r="A34" s="53"/>
      <c r="B34" s="45"/>
      <c r="C34" s="45" t="s">
        <v>14</v>
      </c>
      <c r="D34" s="45"/>
      <c r="E34" s="45">
        <v>0</v>
      </c>
      <c r="F34" s="36">
        <f ca="1">SUMIF(I$3:$BB33,"入库",I34:$BB34)</f>
        <v>30</v>
      </c>
      <c r="G34" s="45">
        <f ca="1">SUMIF(J$3:$BB33,"出库",J34:$BB34)</f>
        <v>0</v>
      </c>
      <c r="H34" s="37">
        <f ca="1" t="shared" si="0"/>
        <v>30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>
        <v>30</v>
      </c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hidden="1" customHeight="1" spans="1:54">
      <c r="A35" s="49">
        <f>ROW()-4</f>
        <v>31</v>
      </c>
      <c r="B35" s="45" t="s">
        <v>24</v>
      </c>
      <c r="C35" s="50" t="s">
        <v>12</v>
      </c>
      <c r="D35" s="45"/>
      <c r="E35" s="45">
        <v>0</v>
      </c>
      <c r="F35" s="36">
        <f ca="1">SUMIF(I$3:$BB34,"入库",I35:$BB35)</f>
        <v>210</v>
      </c>
      <c r="G35" s="45">
        <f ca="1">SUMIF(J$3:$BB34,"出库",J35:$BB35)</f>
        <v>0</v>
      </c>
      <c r="H35" s="37">
        <f ca="1" t="shared" si="0"/>
        <v>210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>
        <v>210</v>
      </c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hidden="1" customHeight="1" spans="1:54">
      <c r="A36" s="51"/>
      <c r="B36" s="45"/>
      <c r="C36" s="52" t="s">
        <v>13</v>
      </c>
      <c r="D36" s="45"/>
      <c r="E36" s="45">
        <v>0</v>
      </c>
      <c r="F36" s="36">
        <f ca="1">SUMIF(I$3:$BB35,"入库",I36:$BB36)</f>
        <v>110</v>
      </c>
      <c r="G36" s="45">
        <f ca="1">SUMIF(J$3:$BB35,"出库",J36:$BB36)</f>
        <v>0</v>
      </c>
      <c r="H36" s="37">
        <f ca="1" t="shared" si="0"/>
        <v>110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>
        <v>110</v>
      </c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hidden="1" customHeight="1" spans="1:54">
      <c r="A37" s="53"/>
      <c r="B37" s="45"/>
      <c r="C37" s="45" t="s">
        <v>14</v>
      </c>
      <c r="D37" s="45"/>
      <c r="E37" s="45">
        <v>0</v>
      </c>
      <c r="F37" s="36">
        <f ca="1">SUMIF(I$3:$BB36,"入库",I37:$BB37)</f>
        <v>0</v>
      </c>
      <c r="G37" s="45">
        <f ca="1">SUMIF(J$3:$BB36,"出库",J37:$BB37)</f>
        <v>0</v>
      </c>
      <c r="H37" s="37">
        <f ca="1" t="shared" si="0"/>
        <v>0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hidden="1" customHeight="1" spans="1:54">
      <c r="A38" s="49">
        <f>ROW()-4</f>
        <v>34</v>
      </c>
      <c r="B38" s="45" t="s">
        <v>25</v>
      </c>
      <c r="C38" s="50" t="s">
        <v>12</v>
      </c>
      <c r="D38" s="45"/>
      <c r="E38" s="45">
        <v>0</v>
      </c>
      <c r="F38" s="36">
        <f ca="1">SUMIF(I$3:$BB37,"入库",I38:$BB38)</f>
        <v>2150</v>
      </c>
      <c r="G38" s="45">
        <f ca="1">SUMIF(J$3:$BB37,"出库",J38:$BB38)</f>
        <v>0</v>
      </c>
      <c r="H38" s="37">
        <f ca="1" t="shared" si="0"/>
        <v>2150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>
        <v>2150</v>
      </c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hidden="1" customHeight="1" spans="1:54">
      <c r="A39" s="51"/>
      <c r="B39" s="45"/>
      <c r="C39" s="52" t="s">
        <v>13</v>
      </c>
      <c r="D39" s="45"/>
      <c r="E39" s="45">
        <v>0</v>
      </c>
      <c r="F39" s="36">
        <f ca="1">SUMIF(I$3:$BB38,"入库",I39:$BB39)</f>
        <v>0</v>
      </c>
      <c r="G39" s="45">
        <f ca="1">SUMIF(J$3:$BB38,"出库",J39:$BB39)</f>
        <v>0</v>
      </c>
      <c r="H39" s="37">
        <f ca="1" t="shared" si="0"/>
        <v>0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hidden="1" customHeight="1" spans="1:54">
      <c r="A40" s="53"/>
      <c r="B40" s="45"/>
      <c r="C40" s="45" t="s">
        <v>14</v>
      </c>
      <c r="D40" s="45"/>
      <c r="E40" s="45">
        <v>0</v>
      </c>
      <c r="F40" s="36">
        <f ca="1">SUMIF(I$3:$BB39,"入库",I40:$BB40)</f>
        <v>0</v>
      </c>
      <c r="G40" s="45">
        <f ca="1">SUMIF(J$3:$BB39,"出库",J40:$BB40)</f>
        <v>0</v>
      </c>
      <c r="H40" s="37">
        <f ca="1" t="shared" si="0"/>
        <v>0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hidden="1" customHeight="1" spans="1:54">
      <c r="A41" s="49">
        <f>ROW()-4</f>
        <v>37</v>
      </c>
      <c r="B41" s="45" t="s">
        <v>26</v>
      </c>
      <c r="C41" s="50" t="s">
        <v>12</v>
      </c>
      <c r="D41" s="45"/>
      <c r="E41" s="45">
        <v>0</v>
      </c>
      <c r="F41" s="36">
        <f ca="1">SUMIF(I$3:$BB40,"入库",I41:$BB41)</f>
        <v>2600</v>
      </c>
      <c r="G41" s="45">
        <f ca="1">SUMIF(J$3:$BB40,"出库",J41:$BB41)</f>
        <v>0</v>
      </c>
      <c r="H41" s="37">
        <f ca="1" t="shared" si="0"/>
        <v>2600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>
        <v>2600</v>
      </c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hidden="1" customHeight="1" spans="1:54">
      <c r="A42" s="51"/>
      <c r="B42" s="45"/>
      <c r="C42" s="52" t="s">
        <v>13</v>
      </c>
      <c r="D42" s="45"/>
      <c r="E42" s="45">
        <v>0</v>
      </c>
      <c r="F42" s="36">
        <f ca="1">SUMIF(I$3:$BB41,"入库",I42:$BB42)</f>
        <v>150</v>
      </c>
      <c r="G42" s="45">
        <f ca="1">SUMIF(J$3:$BB41,"出库",J42:$BB42)</f>
        <v>0</v>
      </c>
      <c r="H42" s="37">
        <f ca="1" t="shared" si="0"/>
        <v>150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>
        <v>150</v>
      </c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hidden="1" customHeight="1" spans="1:54">
      <c r="A43" s="53"/>
      <c r="B43" s="45"/>
      <c r="C43" s="45" t="s">
        <v>14</v>
      </c>
      <c r="D43" s="45"/>
      <c r="E43" s="45">
        <v>0</v>
      </c>
      <c r="F43" s="36">
        <f ca="1">SUMIF(I$3:$BB42,"入库",I43:$BB43)</f>
        <v>250</v>
      </c>
      <c r="G43" s="45">
        <f ca="1">SUMIF(J$3:$BB42,"出库",J43:$BB43)</f>
        <v>0</v>
      </c>
      <c r="H43" s="37">
        <f ca="1" t="shared" si="0"/>
        <v>250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>
        <v>250</v>
      </c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hidden="1" customHeight="1" spans="1:54">
      <c r="A44" s="49">
        <f>ROW()-4</f>
        <v>40</v>
      </c>
      <c r="B44" s="45" t="s">
        <v>27</v>
      </c>
      <c r="C44" s="50" t="s">
        <v>12</v>
      </c>
      <c r="D44" s="45"/>
      <c r="E44" s="45">
        <v>0</v>
      </c>
      <c r="F44" s="36">
        <f ca="1">SUMIF(I$3:$BB43,"入库",I44:$BB44)</f>
        <v>3500</v>
      </c>
      <c r="G44" s="45">
        <f ca="1">SUMIF(J$3:$BB43,"出库",J44:$BB44)</f>
        <v>2100</v>
      </c>
      <c r="H44" s="37">
        <f ca="1" t="shared" si="0"/>
        <v>1400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>
        <v>3500</v>
      </c>
      <c r="AH44" s="45"/>
      <c r="AI44" s="45"/>
      <c r="AJ44" s="45">
        <v>2100</v>
      </c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hidden="1" customHeight="1" spans="1:54">
      <c r="A45" s="51"/>
      <c r="B45" s="45"/>
      <c r="C45" s="52" t="s">
        <v>13</v>
      </c>
      <c r="D45" s="45"/>
      <c r="E45" s="45">
        <v>0</v>
      </c>
      <c r="F45" s="36">
        <f ca="1">SUMIF(I$3:$BB44,"入库",I45:$BB45)</f>
        <v>10</v>
      </c>
      <c r="G45" s="45">
        <f ca="1">SUMIF(J$3:$BB44,"出库",J45:$BB45)</f>
        <v>0</v>
      </c>
      <c r="H45" s="37">
        <f ca="1" t="shared" si="0"/>
        <v>10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>
        <v>10</v>
      </c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hidden="1" customHeight="1" spans="1:54">
      <c r="A46" s="53"/>
      <c r="B46" s="45"/>
      <c r="C46" s="45" t="s">
        <v>14</v>
      </c>
      <c r="D46" s="45"/>
      <c r="E46" s="45">
        <v>0</v>
      </c>
      <c r="F46" s="36">
        <f ca="1">SUMIF(I$3:$BB45,"入库",I46:$BB46)</f>
        <v>100</v>
      </c>
      <c r="G46" s="45">
        <f ca="1">SUMIF(J$3:$BB45,"出库",J46:$BB46)</f>
        <v>0</v>
      </c>
      <c r="H46" s="37">
        <f ca="1" t="shared" si="0"/>
        <v>100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>
        <v>100</v>
      </c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hidden="1" customHeight="1" spans="1:54">
      <c r="A47" s="49">
        <f>ROW()-4</f>
        <v>43</v>
      </c>
      <c r="B47" s="45" t="s">
        <v>28</v>
      </c>
      <c r="C47" s="50" t="s">
        <v>12</v>
      </c>
      <c r="D47" s="45"/>
      <c r="E47" s="45">
        <v>0</v>
      </c>
      <c r="F47" s="36">
        <f ca="1">SUMIF(I$3:$BB46,"入库",I47:$BB47)</f>
        <v>5550</v>
      </c>
      <c r="G47" s="45">
        <f ca="1">SUMIF(J$3:$BB46,"出库",J47:$BB47)</f>
        <v>3000</v>
      </c>
      <c r="H47" s="37">
        <f ca="1" t="shared" si="0"/>
        <v>2550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>
        <v>5550</v>
      </c>
      <c r="AH47" s="45"/>
      <c r="AI47" s="45"/>
      <c r="AJ47" s="45"/>
      <c r="AK47" s="45"/>
      <c r="AL47" s="45">
        <v>3000</v>
      </c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</row>
    <row r="48" hidden="1" customHeight="1" spans="1:54">
      <c r="A48" s="51"/>
      <c r="B48" s="45"/>
      <c r="C48" s="52" t="s">
        <v>13</v>
      </c>
      <c r="D48" s="45"/>
      <c r="E48" s="45">
        <v>0</v>
      </c>
      <c r="F48" s="36">
        <f ca="1">SUMIF(I$3:$BB47,"入库",I48:$BB48)</f>
        <v>40</v>
      </c>
      <c r="G48" s="45">
        <f ca="1">SUMIF(J$3:$BB47,"出库",J48:$BB48)</f>
        <v>0</v>
      </c>
      <c r="H48" s="37">
        <f ca="1" t="shared" si="0"/>
        <v>40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>
        <v>40</v>
      </c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</row>
    <row r="49" hidden="1" customHeight="1" spans="1:54">
      <c r="A49" s="53"/>
      <c r="B49" s="45"/>
      <c r="C49" s="45" t="s">
        <v>14</v>
      </c>
      <c r="D49" s="45"/>
      <c r="E49" s="45">
        <v>0</v>
      </c>
      <c r="F49" s="36">
        <f ca="1">SUMIF(I$3:$BB48,"入库",I49:$BB49)</f>
        <v>20</v>
      </c>
      <c r="G49" s="45">
        <f ca="1">SUMIF(J$3:$BB48,"出库",J49:$BB49)</f>
        <v>0</v>
      </c>
      <c r="H49" s="37">
        <f ca="1" t="shared" si="0"/>
        <v>20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>
        <v>20</v>
      </c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</row>
    <row r="50" hidden="1" customHeight="1" spans="1:54">
      <c r="A50" s="49">
        <f>ROW()-4</f>
        <v>46</v>
      </c>
      <c r="B50" s="45" t="s">
        <v>29</v>
      </c>
      <c r="C50" s="50" t="s">
        <v>12</v>
      </c>
      <c r="D50" s="45"/>
      <c r="E50" s="45">
        <v>0</v>
      </c>
      <c r="F50" s="36">
        <f ca="1">SUMIF(I$3:$BB49,"入库",I50:$BB50)</f>
        <v>4100</v>
      </c>
      <c r="G50" s="45">
        <f ca="1">SUMIF(J$3:$BB49,"出库",J50:$BB50)</f>
        <v>6</v>
      </c>
      <c r="H50" s="37">
        <f ca="1" t="shared" si="0"/>
        <v>4094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>
        <v>4100</v>
      </c>
      <c r="AD50" s="45"/>
      <c r="AE50" s="45"/>
      <c r="AF50" s="45"/>
      <c r="AG50" s="45"/>
      <c r="AH50" s="45"/>
      <c r="AI50" s="45"/>
      <c r="AJ50" s="45">
        <v>6</v>
      </c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</row>
    <row r="51" hidden="1" customHeight="1" spans="1:54">
      <c r="A51" s="51"/>
      <c r="B51" s="45"/>
      <c r="C51" s="52" t="s">
        <v>13</v>
      </c>
      <c r="D51" s="45"/>
      <c r="E51" s="45">
        <v>0</v>
      </c>
      <c r="F51" s="36">
        <f ca="1">SUMIF(I$3:$BB50,"入库",I51:$BB51)</f>
        <v>200</v>
      </c>
      <c r="G51" s="45">
        <f ca="1">SUMIF(J$3:$BB50,"出库",J51:$BB51)</f>
        <v>200</v>
      </c>
      <c r="H51" s="37">
        <f ca="1" t="shared" si="0"/>
        <v>0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>
        <v>200</v>
      </c>
      <c r="AD51" s="45"/>
      <c r="AE51" s="45"/>
      <c r="AF51" s="45"/>
      <c r="AG51" s="45"/>
      <c r="AH51" s="45">
        <v>200</v>
      </c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</row>
    <row r="52" hidden="1" customHeight="1" spans="1:54">
      <c r="A52" s="53"/>
      <c r="B52" s="45"/>
      <c r="C52" s="45" t="s">
        <v>14</v>
      </c>
      <c r="D52" s="45"/>
      <c r="E52" s="45">
        <v>0</v>
      </c>
      <c r="F52" s="36">
        <f ca="1">SUMIF(I$3:$BB51,"入库",I52:$BB52)</f>
        <v>10</v>
      </c>
      <c r="G52" s="45">
        <f ca="1">SUMIF(J$3:$BB51,"出库",J52:$BB52)</f>
        <v>0</v>
      </c>
      <c r="H52" s="37">
        <f ca="1" t="shared" si="0"/>
        <v>10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>
        <v>10</v>
      </c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</row>
    <row r="53" hidden="1" customHeight="1" spans="1:54">
      <c r="A53" s="49">
        <f>ROW()-4</f>
        <v>49</v>
      </c>
      <c r="B53" s="45" t="s">
        <v>30</v>
      </c>
      <c r="C53" s="50" t="s">
        <v>12</v>
      </c>
      <c r="D53" s="45"/>
      <c r="E53" s="45">
        <v>0</v>
      </c>
      <c r="F53" s="36">
        <f ca="1">SUMIF(I$3:$BB52,"入库",I53:$BB53)</f>
        <v>900</v>
      </c>
      <c r="G53" s="45">
        <f ca="1">SUMIF(J$3:$BB52,"出库",J53:$BB53)</f>
        <v>600</v>
      </c>
      <c r="H53" s="37">
        <f ca="1" t="shared" si="0"/>
        <v>300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>
        <v>900</v>
      </c>
      <c r="AD53" s="45"/>
      <c r="AE53" s="45"/>
      <c r="AF53" s="45"/>
      <c r="AG53" s="45"/>
      <c r="AH53" s="45">
        <v>600</v>
      </c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</row>
    <row r="54" hidden="1" customHeight="1" spans="1:54">
      <c r="A54" s="51"/>
      <c r="B54" s="45"/>
      <c r="C54" s="52" t="s">
        <v>13</v>
      </c>
      <c r="D54" s="45"/>
      <c r="E54" s="45">
        <v>0</v>
      </c>
      <c r="F54" s="36">
        <f ca="1">SUMIF(I$3:$BB53,"入库",I54:$BB54)</f>
        <v>20</v>
      </c>
      <c r="G54" s="45">
        <f ca="1">SUMIF(J$3:$BB53,"出库",J54:$BB54)</f>
        <v>1</v>
      </c>
      <c r="H54" s="37">
        <f ca="1" t="shared" si="0"/>
        <v>19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>
        <v>20</v>
      </c>
      <c r="AD54" s="45"/>
      <c r="AE54" s="45"/>
      <c r="AF54" s="45"/>
      <c r="AG54" s="45"/>
      <c r="AH54" s="45">
        <v>1</v>
      </c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</row>
    <row r="55" hidden="1" customHeight="1" spans="1:54">
      <c r="A55" s="53"/>
      <c r="B55" s="45"/>
      <c r="C55" s="45" t="s">
        <v>14</v>
      </c>
      <c r="D55" s="45"/>
      <c r="E55" s="45">
        <v>0</v>
      </c>
      <c r="F55" s="36">
        <f ca="1">SUMIF(I$3:$BB54,"入库",I55:$BB55)</f>
        <v>200</v>
      </c>
      <c r="G55" s="45">
        <f ca="1">SUMIF(J$3:$BB54,"出库",J55:$BB55)</f>
        <v>0</v>
      </c>
      <c r="H55" s="37">
        <f ca="1" t="shared" si="0"/>
        <v>200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>
        <v>200</v>
      </c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</row>
    <row r="56" hidden="1" customHeight="1" spans="1:54">
      <c r="A56" s="49">
        <f>ROW()-4</f>
        <v>52</v>
      </c>
      <c r="B56" s="45" t="s">
        <v>31</v>
      </c>
      <c r="C56" s="50" t="s">
        <v>12</v>
      </c>
      <c r="D56" s="45"/>
      <c r="E56" s="45">
        <v>0</v>
      </c>
      <c r="F56" s="36">
        <f ca="1">SUMIF(I$3:$BB55,"入库",I56:$BB56)</f>
        <v>2300</v>
      </c>
      <c r="G56" s="45">
        <f ca="1">SUMIF(J$3:$BB55,"出库",J56:$BB56)</f>
        <v>125</v>
      </c>
      <c r="H56" s="37">
        <f ca="1" t="shared" si="0"/>
        <v>2175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>
        <v>2100</v>
      </c>
      <c r="AF56" s="45"/>
      <c r="AG56" s="45">
        <v>200</v>
      </c>
      <c r="AH56" s="45">
        <v>125</v>
      </c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</row>
    <row r="57" hidden="1" customHeight="1" spans="1:54">
      <c r="A57" s="51"/>
      <c r="B57" s="45"/>
      <c r="C57" s="52" t="s">
        <v>13</v>
      </c>
      <c r="D57" s="45"/>
      <c r="E57" s="45">
        <v>0</v>
      </c>
      <c r="F57" s="36">
        <f ca="1">SUMIF(I$3:$BB56,"入库",I57:$BB57)</f>
        <v>0</v>
      </c>
      <c r="G57" s="45">
        <f ca="1">SUMIF(J$3:$BB56,"出库",J57:$BB57)</f>
        <v>0</v>
      </c>
      <c r="H57" s="37">
        <f ca="1" t="shared" si="0"/>
        <v>0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</row>
    <row r="58" hidden="1" customHeight="1" spans="1:54">
      <c r="A58" s="53"/>
      <c r="B58" s="45"/>
      <c r="C58" s="45" t="s">
        <v>14</v>
      </c>
      <c r="D58" s="45"/>
      <c r="E58" s="45">
        <v>0</v>
      </c>
      <c r="F58" s="36">
        <f ca="1">SUMIF(I$3:$BB57,"入库",I58:$BB58)</f>
        <v>50</v>
      </c>
      <c r="G58" s="45">
        <f ca="1">SUMIF(J$3:$BB57,"出库",J58:$BB58)</f>
        <v>0</v>
      </c>
      <c r="H58" s="37">
        <f ca="1" t="shared" si="0"/>
        <v>50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>
        <v>50</v>
      </c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</row>
    <row r="59" hidden="1" customHeight="1" spans="1:54">
      <c r="A59" s="49">
        <f>ROW()-4</f>
        <v>55</v>
      </c>
      <c r="B59" s="45" t="s">
        <v>32</v>
      </c>
      <c r="C59" s="50" t="s">
        <v>12</v>
      </c>
      <c r="D59" s="45"/>
      <c r="E59" s="45">
        <v>0</v>
      </c>
      <c r="F59" s="36">
        <f ca="1">SUMIF(I$3:$BB58,"入库",I59:$BB59)</f>
        <v>1800</v>
      </c>
      <c r="G59" s="45">
        <f ca="1">SUMIF(J$3:$BB58,"出库",J59:$BB59)</f>
        <v>400</v>
      </c>
      <c r="H59" s="37">
        <f ca="1" t="shared" si="0"/>
        <v>1400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>
        <v>1800</v>
      </c>
      <c r="AB59" s="45">
        <v>100</v>
      </c>
      <c r="AC59" s="45"/>
      <c r="AD59" s="45"/>
      <c r="AE59" s="45"/>
      <c r="AF59" s="45"/>
      <c r="AG59" s="45"/>
      <c r="AH59" s="45">
        <v>300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</row>
    <row r="60" hidden="1" customHeight="1" spans="1:54">
      <c r="A60" s="51"/>
      <c r="B60" s="45"/>
      <c r="C60" s="52" t="s">
        <v>13</v>
      </c>
      <c r="D60" s="45"/>
      <c r="E60" s="45">
        <v>0</v>
      </c>
      <c r="F60" s="36">
        <f ca="1">SUMIF(I$3:$BB59,"入库",I60:$BB60)</f>
        <v>20</v>
      </c>
      <c r="G60" s="45">
        <f ca="1">SUMIF(J$3:$BB59,"出库",J60:$BB60)</f>
        <v>0</v>
      </c>
      <c r="H60" s="37">
        <f ca="1" t="shared" si="0"/>
        <v>20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>
        <v>20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</row>
    <row r="61" hidden="1" customHeight="1" spans="1:54">
      <c r="A61" s="53"/>
      <c r="B61" s="45"/>
      <c r="C61" s="45" t="s">
        <v>14</v>
      </c>
      <c r="D61" s="45"/>
      <c r="E61" s="45">
        <v>0</v>
      </c>
      <c r="F61" s="36">
        <f ca="1">SUMIF(I$3:$BB60,"入库",I61:$BB61)</f>
        <v>850</v>
      </c>
      <c r="G61" s="45">
        <f ca="1">SUMIF(J$3:$BB60,"出库",J61:$BB61)</f>
        <v>0</v>
      </c>
      <c r="H61" s="37">
        <f ca="1" t="shared" si="0"/>
        <v>850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>
        <v>850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</row>
    <row r="62" hidden="1" customHeight="1" spans="1:54">
      <c r="A62" s="49">
        <f>ROW()-4</f>
        <v>58</v>
      </c>
      <c r="B62" s="45" t="s">
        <v>33</v>
      </c>
      <c r="C62" s="50" t="s">
        <v>12</v>
      </c>
      <c r="D62" s="45"/>
      <c r="E62" s="45">
        <v>0</v>
      </c>
      <c r="F62" s="36">
        <f ca="1">SUMIF(I$3:$BB61,"入库",I62:$BB62)</f>
        <v>1300</v>
      </c>
      <c r="G62" s="45">
        <f ca="1">SUMIF(J$3:$BB61,"出库",J62:$BB62)</f>
        <v>305</v>
      </c>
      <c r="H62" s="37">
        <f ca="1" t="shared" si="0"/>
        <v>995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>
        <v>1300</v>
      </c>
      <c r="AJ62" s="45">
        <v>305</v>
      </c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</row>
    <row r="63" hidden="1" customHeight="1" spans="1:54">
      <c r="A63" s="51"/>
      <c r="B63" s="45"/>
      <c r="C63" s="52" t="s">
        <v>13</v>
      </c>
      <c r="D63" s="45"/>
      <c r="E63" s="45">
        <v>0</v>
      </c>
      <c r="F63" s="36">
        <f ca="1">SUMIF(I$3:$BB62,"入库",I63:$BB63)</f>
        <v>200</v>
      </c>
      <c r="G63" s="45">
        <f ca="1">SUMIF(J$3:$BB62,"出库",J63:$BB63)</f>
        <v>0</v>
      </c>
      <c r="H63" s="37">
        <f ca="1" t="shared" si="0"/>
        <v>200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>
        <v>200</v>
      </c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</row>
    <row r="64" hidden="1" customHeight="1" spans="1:54">
      <c r="A64" s="53"/>
      <c r="B64" s="45"/>
      <c r="C64" s="45" t="s">
        <v>14</v>
      </c>
      <c r="D64" s="45"/>
      <c r="E64" s="45">
        <v>0</v>
      </c>
      <c r="F64" s="36">
        <f ca="1">SUMIF(I$3:$BB63,"入库",I64:$BB64)</f>
        <v>3650</v>
      </c>
      <c r="G64" s="45">
        <f ca="1">SUMIF(J$3:$BB63,"出库",J64:$BB64)</f>
        <v>0</v>
      </c>
      <c r="H64" s="37">
        <f ca="1" t="shared" si="0"/>
        <v>3650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>
        <v>3650</v>
      </c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</row>
    <row r="65" hidden="1" customHeight="1" spans="1:54">
      <c r="A65" s="49">
        <f>ROW()-4</f>
        <v>61</v>
      </c>
      <c r="B65" s="45" t="s">
        <v>34</v>
      </c>
      <c r="C65" s="50" t="s">
        <v>12</v>
      </c>
      <c r="D65" s="45"/>
      <c r="E65" s="45">
        <v>0</v>
      </c>
      <c r="F65" s="36">
        <f ca="1">SUMIF(I$3:$BB64,"入库",I65:$BB65)</f>
        <v>1050</v>
      </c>
      <c r="G65" s="45">
        <f ca="1">SUMIF(J$3:$BB64,"出库",J65:$BB65)</f>
        <v>500</v>
      </c>
      <c r="H65" s="37">
        <f ca="1" t="shared" si="0"/>
        <v>550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>
        <v>1050</v>
      </c>
      <c r="AH65" s="45"/>
      <c r="AI65" s="45"/>
      <c r="AJ65" s="45">
        <v>500</v>
      </c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</row>
    <row r="66" hidden="1" customHeight="1" spans="1:54">
      <c r="A66" s="51"/>
      <c r="B66" s="45"/>
      <c r="C66" s="52" t="s">
        <v>13</v>
      </c>
      <c r="D66" s="45"/>
      <c r="E66" s="45">
        <v>0</v>
      </c>
      <c r="F66" s="36">
        <f ca="1">SUMIF(I$3:$BB65,"入库",I66:$BB66)</f>
        <v>30</v>
      </c>
      <c r="G66" s="45">
        <f ca="1">SUMIF(J$3:$BB65,"出库",J66:$BB66)</f>
        <v>0</v>
      </c>
      <c r="H66" s="37">
        <f ca="1" t="shared" si="0"/>
        <v>30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>
        <v>30</v>
      </c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</row>
    <row r="67" hidden="1" customHeight="1" spans="1:54">
      <c r="A67" s="53"/>
      <c r="B67" s="45"/>
      <c r="C67" s="45" t="s">
        <v>14</v>
      </c>
      <c r="D67" s="45"/>
      <c r="E67" s="45">
        <v>0</v>
      </c>
      <c r="F67" s="36">
        <f ca="1">SUMIF(I$3:$BB66,"入库",I67:$BB67)</f>
        <v>3050</v>
      </c>
      <c r="G67" s="45">
        <f ca="1">SUMIF(J$3:$BB66,"出库",J67:$BB67)</f>
        <v>0</v>
      </c>
      <c r="H67" s="37">
        <f ca="1" t="shared" si="0"/>
        <v>3050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>
        <v>3050</v>
      </c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</row>
    <row r="68" hidden="1" customHeight="1" spans="1:54">
      <c r="A68" s="49">
        <f>ROW()-4</f>
        <v>64</v>
      </c>
      <c r="B68" s="45" t="s">
        <v>35</v>
      </c>
      <c r="C68" s="50" t="s">
        <v>12</v>
      </c>
      <c r="D68" s="45"/>
      <c r="E68" s="45">
        <v>0</v>
      </c>
      <c r="F68" s="36">
        <f ca="1">SUMIF(I$3:$BB67,"入库",I68:$BB68)</f>
        <v>1400</v>
      </c>
      <c r="G68" s="45">
        <f ca="1">SUMIF(J$3:$BB67,"出库",J68:$BB68)</f>
        <v>0</v>
      </c>
      <c r="H68" s="37">
        <f ca="1" t="shared" si="0"/>
        <v>1400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>
        <v>1400</v>
      </c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</row>
    <row r="69" hidden="1" customHeight="1" spans="1:54">
      <c r="A69" s="51"/>
      <c r="B69" s="45"/>
      <c r="C69" s="52" t="s">
        <v>13</v>
      </c>
      <c r="D69" s="45"/>
      <c r="E69" s="45">
        <v>0</v>
      </c>
      <c r="F69" s="36">
        <f ca="1">SUMIF(I$3:$BB68,"入库",I69:$BB69)</f>
        <v>550</v>
      </c>
      <c r="G69" s="45">
        <f ca="1">SUMIF(J$3:$BB68,"出库",J69:$BB69)</f>
        <v>0</v>
      </c>
      <c r="H69" s="37">
        <f ca="1" t="shared" ref="H69:H132" si="1">E69+F69-G69</f>
        <v>550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>
        <v>550</v>
      </c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</row>
    <row r="70" hidden="1" customHeight="1" spans="1:54">
      <c r="A70" s="53"/>
      <c r="B70" s="45"/>
      <c r="C70" s="45" t="s">
        <v>14</v>
      </c>
      <c r="D70" s="45"/>
      <c r="E70" s="45">
        <v>0</v>
      </c>
      <c r="F70" s="36">
        <f ca="1">SUMIF(I$3:$BB69,"入库",I70:$BB70)</f>
        <v>100</v>
      </c>
      <c r="G70" s="45">
        <f ca="1">SUMIF(J$3:$BB69,"出库",J70:$BB70)</f>
        <v>0</v>
      </c>
      <c r="H70" s="37">
        <f ca="1" t="shared" si="1"/>
        <v>100</v>
      </c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>
        <v>100</v>
      </c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</row>
    <row r="71" hidden="1" customHeight="1" spans="1:54">
      <c r="A71" s="49">
        <f>ROW()-4</f>
        <v>67</v>
      </c>
      <c r="B71" s="45" t="s">
        <v>36</v>
      </c>
      <c r="C71" s="50" t="s">
        <v>12</v>
      </c>
      <c r="D71" s="45"/>
      <c r="E71" s="45">
        <v>0</v>
      </c>
      <c r="F71" s="36">
        <f ca="1">SUMIF(I$3:$BB70,"入库",I71:$BB71)</f>
        <v>1720</v>
      </c>
      <c r="G71" s="45">
        <f ca="1">SUMIF(J$3:$BB70,"出库",J71:$BB71)</f>
        <v>6</v>
      </c>
      <c r="H71" s="37">
        <f ca="1" t="shared" si="1"/>
        <v>1714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>
        <v>1720</v>
      </c>
      <c r="AD71" s="45"/>
      <c r="AE71" s="45"/>
      <c r="AF71" s="45"/>
      <c r="AG71" s="45"/>
      <c r="AH71" s="45"/>
      <c r="AI71" s="45"/>
      <c r="AJ71" s="45">
        <v>6</v>
      </c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</row>
    <row r="72" hidden="1" customHeight="1" spans="1:54">
      <c r="A72" s="51"/>
      <c r="B72" s="45"/>
      <c r="C72" s="52" t="s">
        <v>13</v>
      </c>
      <c r="D72" s="45"/>
      <c r="E72" s="45">
        <v>0</v>
      </c>
      <c r="F72" s="36">
        <f ca="1">SUMIF(I$3:$BB71,"入库",I72:$BB72)</f>
        <v>60</v>
      </c>
      <c r="G72" s="45">
        <f ca="1">SUMIF(J$3:$BB71,"出库",J72:$BB72)</f>
        <v>0</v>
      </c>
      <c r="H72" s="37">
        <f ca="1" t="shared" si="1"/>
        <v>60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>
        <v>60</v>
      </c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</row>
    <row r="73" hidden="1" customHeight="1" spans="1:54">
      <c r="A73" s="53"/>
      <c r="B73" s="45"/>
      <c r="C73" s="45" t="s">
        <v>14</v>
      </c>
      <c r="D73" s="45"/>
      <c r="E73" s="45">
        <v>0</v>
      </c>
      <c r="F73" s="36">
        <f ca="1">SUMIF(I$3:$BB72,"入库",I73:$BB73)</f>
        <v>280</v>
      </c>
      <c r="G73" s="45">
        <f ca="1">SUMIF(J$3:$BB72,"出库",J73:$BB73)</f>
        <v>0</v>
      </c>
      <c r="H73" s="37">
        <f ca="1" t="shared" si="1"/>
        <v>280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>
        <v>280</v>
      </c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</row>
    <row r="74" hidden="1" customHeight="1" spans="1:54">
      <c r="A74" s="49">
        <f>ROW()-4</f>
        <v>70</v>
      </c>
      <c r="B74" s="45" t="s">
        <v>37</v>
      </c>
      <c r="C74" s="50" t="s">
        <v>12</v>
      </c>
      <c r="D74" s="45"/>
      <c r="E74" s="45">
        <v>0</v>
      </c>
      <c r="F74" s="36">
        <f ca="1">SUMIF(I$3:$BB73,"入库",I74:$BB74)</f>
        <v>4000</v>
      </c>
      <c r="G74" s="45">
        <f ca="1">SUMIF(J$3:$BB73,"出库",J74:$BB74)</f>
        <v>840</v>
      </c>
      <c r="H74" s="37">
        <f ca="1" t="shared" si="1"/>
        <v>3160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>
        <v>4000</v>
      </c>
      <c r="AD74" s="45"/>
      <c r="AE74" s="45"/>
      <c r="AF74" s="45"/>
      <c r="AG74" s="45"/>
      <c r="AH74" s="45">
        <v>600</v>
      </c>
      <c r="AI74" s="45"/>
      <c r="AJ74" s="45">
        <v>240</v>
      </c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</row>
    <row r="75" hidden="1" customHeight="1" spans="1:54">
      <c r="A75" s="51"/>
      <c r="B75" s="45"/>
      <c r="C75" s="52" t="s">
        <v>13</v>
      </c>
      <c r="D75" s="45"/>
      <c r="E75" s="45">
        <v>0</v>
      </c>
      <c r="F75" s="36">
        <f ca="1">SUMIF(I$3:$BB74,"入库",I75:$BB75)</f>
        <v>60</v>
      </c>
      <c r="G75" s="45">
        <f ca="1">SUMIF(J$3:$BB74,"出库",J75:$BB75)</f>
        <v>0</v>
      </c>
      <c r="H75" s="37">
        <f ca="1" t="shared" si="1"/>
        <v>60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>
        <v>60</v>
      </c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</row>
    <row r="76" hidden="1" customHeight="1" spans="1:54">
      <c r="A76" s="53"/>
      <c r="B76" s="45"/>
      <c r="C76" s="45" t="s">
        <v>14</v>
      </c>
      <c r="D76" s="45"/>
      <c r="E76" s="45">
        <v>0</v>
      </c>
      <c r="F76" s="36">
        <f ca="1">SUMIF(I$3:$BB75,"入库",I76:$BB76)</f>
        <v>10</v>
      </c>
      <c r="G76" s="45">
        <f ca="1">SUMIF(J$3:$BB75,"出库",J76:$BB76)</f>
        <v>0</v>
      </c>
      <c r="H76" s="37">
        <f ca="1" t="shared" si="1"/>
        <v>10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>
        <v>10</v>
      </c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</row>
    <row r="77" hidden="1" customHeight="1" spans="1:54">
      <c r="A77" s="49">
        <f>ROW()-4</f>
        <v>73</v>
      </c>
      <c r="B77" s="45" t="s">
        <v>38</v>
      </c>
      <c r="C77" s="50" t="s">
        <v>12</v>
      </c>
      <c r="D77" s="45"/>
      <c r="E77" s="45">
        <v>0</v>
      </c>
      <c r="F77" s="36">
        <f ca="1">SUMIF(I$3:$BB76,"入库",I77:$BB77)</f>
        <v>3300</v>
      </c>
      <c r="G77" s="45">
        <f ca="1">SUMIF(J$3:$BB76,"出库",J77:$BB77)</f>
        <v>0</v>
      </c>
      <c r="H77" s="37">
        <f ca="1" t="shared" si="1"/>
        <v>3300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>
        <v>3300</v>
      </c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</row>
    <row r="78" hidden="1" customHeight="1" spans="1:54">
      <c r="A78" s="51"/>
      <c r="B78" s="45"/>
      <c r="C78" s="52" t="s">
        <v>13</v>
      </c>
      <c r="D78" s="45"/>
      <c r="E78" s="45">
        <v>0</v>
      </c>
      <c r="F78" s="36">
        <f ca="1">SUMIF(I$3:$BB77,"入库",I78:$BB78)</f>
        <v>100</v>
      </c>
      <c r="G78" s="45">
        <f ca="1">SUMIF(J$3:$BB77,"出库",J78:$BB78)</f>
        <v>0</v>
      </c>
      <c r="H78" s="37">
        <f ca="1" t="shared" si="1"/>
        <v>100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>
        <v>100</v>
      </c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</row>
    <row r="79" hidden="1" customHeight="1" spans="1:54">
      <c r="A79" s="53"/>
      <c r="B79" s="45"/>
      <c r="C79" s="45" t="s">
        <v>14</v>
      </c>
      <c r="D79" s="45"/>
      <c r="E79" s="45">
        <v>0</v>
      </c>
      <c r="F79" s="36">
        <f ca="1">SUMIF(I$3:$BB78,"入库",I79:$BB79)</f>
        <v>200</v>
      </c>
      <c r="G79" s="45">
        <f ca="1">SUMIF(J$3:$BB78,"出库",J79:$BB79)</f>
        <v>100</v>
      </c>
      <c r="H79" s="37">
        <f ca="1" t="shared" si="1"/>
        <v>100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>
        <v>200</v>
      </c>
      <c r="AF79" s="45"/>
      <c r="AG79" s="45"/>
      <c r="AH79" s="45"/>
      <c r="AI79" s="45"/>
      <c r="AJ79" s="45">
        <v>100</v>
      </c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</row>
    <row r="80" hidden="1" customHeight="1" spans="1:54">
      <c r="A80" s="49">
        <f>ROW()-4</f>
        <v>76</v>
      </c>
      <c r="B80" s="45" t="s">
        <v>39</v>
      </c>
      <c r="C80" s="50" t="s">
        <v>12</v>
      </c>
      <c r="D80" s="45"/>
      <c r="E80" s="45">
        <v>0</v>
      </c>
      <c r="F80" s="36">
        <f ca="1">SUMIF(I$3:$BB79,"入库",I80:$BB80)</f>
        <v>2300</v>
      </c>
      <c r="G80" s="45">
        <f ca="1">SUMIF(J$3:$BB79,"出库",J80:$BB80)</f>
        <v>50</v>
      </c>
      <c r="H80" s="37">
        <f ca="1" t="shared" si="1"/>
        <v>2250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>
        <v>2300</v>
      </c>
      <c r="AB80" s="45"/>
      <c r="AC80" s="45"/>
      <c r="AD80" s="45">
        <v>50</v>
      </c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</row>
    <row r="81" hidden="1" customHeight="1" spans="1:54">
      <c r="A81" s="51"/>
      <c r="B81" s="45"/>
      <c r="C81" s="52" t="s">
        <v>13</v>
      </c>
      <c r="D81" s="45"/>
      <c r="E81" s="45">
        <v>0</v>
      </c>
      <c r="F81" s="36">
        <f ca="1">SUMIF(I$3:$BB80,"入库",I81:$BB81)</f>
        <v>50</v>
      </c>
      <c r="G81" s="45">
        <f ca="1">SUMIF(J$3:$BB80,"出库",J81:$BB81)</f>
        <v>0</v>
      </c>
      <c r="H81" s="37">
        <f ca="1" t="shared" si="1"/>
        <v>50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>
        <v>50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</row>
    <row r="82" hidden="1" customHeight="1" spans="1:54">
      <c r="A82" s="53"/>
      <c r="B82" s="45"/>
      <c r="C82" s="45" t="s">
        <v>14</v>
      </c>
      <c r="D82" s="45"/>
      <c r="E82" s="45">
        <v>0</v>
      </c>
      <c r="F82" s="36">
        <f ca="1">SUMIF(I$3:$BB81,"入库",I82:$BB82)</f>
        <v>170</v>
      </c>
      <c r="G82" s="45">
        <f ca="1">SUMIF(J$3:$BB81,"出库",J82:$BB82)</f>
        <v>0</v>
      </c>
      <c r="H82" s="37">
        <f ca="1" t="shared" si="1"/>
        <v>170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>
        <v>170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</row>
    <row r="83" hidden="1" customHeight="1" spans="1:54">
      <c r="A83" s="49">
        <f>ROW()-4</f>
        <v>79</v>
      </c>
      <c r="B83" s="45" t="s">
        <v>40</v>
      </c>
      <c r="C83" s="50" t="s">
        <v>12</v>
      </c>
      <c r="D83" s="45"/>
      <c r="E83" s="45">
        <v>0</v>
      </c>
      <c r="F83" s="36">
        <f ca="1">SUMIF(I$3:$BB82,"入库",I83:$BB83)</f>
        <v>1300</v>
      </c>
      <c r="G83" s="45">
        <f ca="1">SUMIF(J$3:$BB82,"出库",J83:$BB83)</f>
        <v>0</v>
      </c>
      <c r="H83" s="37">
        <f ca="1" t="shared" si="1"/>
        <v>1300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>
        <v>1300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</row>
    <row r="84" hidden="1" customHeight="1" spans="1:54">
      <c r="A84" s="51"/>
      <c r="B84" s="45"/>
      <c r="C84" s="52" t="s">
        <v>13</v>
      </c>
      <c r="D84" s="45"/>
      <c r="E84" s="45">
        <v>0</v>
      </c>
      <c r="F84" s="36">
        <f ca="1">SUMIF(I$3:$BB83,"入库",I84:$BB84)</f>
        <v>80</v>
      </c>
      <c r="G84" s="45">
        <f ca="1">SUMIF(J$3:$BB83,"出库",J84:$BB84)</f>
        <v>0</v>
      </c>
      <c r="H84" s="37">
        <f ca="1" t="shared" si="1"/>
        <v>80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>
        <v>80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</row>
    <row r="85" hidden="1" customHeight="1" spans="1:54">
      <c r="A85" s="53"/>
      <c r="B85" s="45"/>
      <c r="C85" s="45" t="s">
        <v>14</v>
      </c>
      <c r="D85" s="45"/>
      <c r="E85" s="45">
        <v>0</v>
      </c>
      <c r="F85" s="36">
        <f ca="1">SUMIF(I$3:$BB84,"入库",I85:$BB85)</f>
        <v>50</v>
      </c>
      <c r="G85" s="45">
        <f ca="1">SUMIF(J$3:$BB84,"出库",J85:$BB85)</f>
        <v>0</v>
      </c>
      <c r="H85" s="37">
        <f ca="1" t="shared" si="1"/>
        <v>50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>
        <v>50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</row>
    <row r="86" hidden="1" customHeight="1" spans="1:54">
      <c r="A86" s="49">
        <f>ROW()-4</f>
        <v>82</v>
      </c>
      <c r="B86" s="45" t="s">
        <v>41</v>
      </c>
      <c r="C86" s="50" t="s">
        <v>12</v>
      </c>
      <c r="D86" s="45"/>
      <c r="E86" s="45">
        <v>0</v>
      </c>
      <c r="F86" s="36">
        <f ca="1">SUMIF(I$3:$BB85,"入库",I86:$BB86)</f>
        <v>12300</v>
      </c>
      <c r="G86" s="45">
        <f ca="1">SUMIF(J$3:$BB85,"出库",J86:$BB86)</f>
        <v>1</v>
      </c>
      <c r="H86" s="37">
        <f ca="1" t="shared" si="1"/>
        <v>12299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>
        <v>12300</v>
      </c>
      <c r="AJ86" s="45">
        <v>1</v>
      </c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</row>
    <row r="87" hidden="1" customHeight="1" spans="1:54">
      <c r="A87" s="51"/>
      <c r="B87" s="45"/>
      <c r="C87" s="52" t="s">
        <v>13</v>
      </c>
      <c r="D87" s="45"/>
      <c r="E87" s="45">
        <v>0</v>
      </c>
      <c r="F87" s="36">
        <f ca="1">SUMIF(I$3:$BB86,"入库",I87:$BB87)</f>
        <v>200</v>
      </c>
      <c r="G87" s="45">
        <f ca="1">SUMIF(J$3:$BB86,"出库",J87:$BB87)</f>
        <v>0</v>
      </c>
      <c r="H87" s="37">
        <f ca="1" t="shared" si="1"/>
        <v>200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>
        <v>200</v>
      </c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</row>
    <row r="88" hidden="1" customHeight="1" spans="1:54">
      <c r="A88" s="53"/>
      <c r="B88" s="45"/>
      <c r="C88" s="45" t="s">
        <v>14</v>
      </c>
      <c r="D88" s="45"/>
      <c r="E88" s="45">
        <v>0</v>
      </c>
      <c r="F88" s="36">
        <f ca="1">SUMIF(I$3:$BB87,"入库",I88:$BB88)</f>
        <v>20</v>
      </c>
      <c r="G88" s="45">
        <f ca="1">SUMIF(J$3:$BB87,"出库",J88:$BB88)</f>
        <v>0</v>
      </c>
      <c r="H88" s="37">
        <f ca="1" t="shared" si="1"/>
        <v>20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>
        <v>20</v>
      </c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</row>
    <row r="89" hidden="1" customHeight="1" spans="1:54">
      <c r="A89" s="49">
        <f>ROW()-4</f>
        <v>85</v>
      </c>
      <c r="B89" s="45" t="s">
        <v>42</v>
      </c>
      <c r="C89" s="50" t="s">
        <v>12</v>
      </c>
      <c r="D89" s="45"/>
      <c r="E89" s="45">
        <v>0</v>
      </c>
      <c r="F89" s="36">
        <f ca="1">SUMIF(I$3:$BB88,"入库",I89:$BB89)</f>
        <v>2020</v>
      </c>
      <c r="G89" s="45">
        <f ca="1">SUMIF(J$3:$BB88,"出库",J89:$BB89)</f>
        <v>230</v>
      </c>
      <c r="H89" s="37">
        <f ca="1" t="shared" si="1"/>
        <v>1790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>
        <v>2020</v>
      </c>
      <c r="AH89" s="45"/>
      <c r="AI89" s="45"/>
      <c r="AJ89" s="45">
        <v>230</v>
      </c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</row>
    <row r="90" hidden="1" customHeight="1" spans="1:54">
      <c r="A90" s="51"/>
      <c r="B90" s="45"/>
      <c r="C90" s="52" t="s">
        <v>13</v>
      </c>
      <c r="D90" s="45"/>
      <c r="E90" s="45">
        <v>0</v>
      </c>
      <c r="F90" s="36">
        <f ca="1">SUMIF(I$3:$BB89,"入库",I90:$BB90)</f>
        <v>500</v>
      </c>
      <c r="G90" s="45">
        <f ca="1">SUMIF(J$3:$BB89,"出库",J90:$BB90)</f>
        <v>500</v>
      </c>
      <c r="H90" s="37">
        <f ca="1" t="shared" si="1"/>
        <v>0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>
        <v>500</v>
      </c>
      <c r="AH90" s="45"/>
      <c r="AI90" s="45"/>
      <c r="AJ90" s="45">
        <v>500</v>
      </c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</row>
    <row r="91" hidden="1" customHeight="1" spans="1:54">
      <c r="A91" s="53"/>
      <c r="B91" s="45"/>
      <c r="C91" s="45" t="s">
        <v>14</v>
      </c>
      <c r="D91" s="45"/>
      <c r="E91" s="45">
        <v>0</v>
      </c>
      <c r="F91" s="36">
        <f ca="1">SUMIF(I$3:$BB90,"入库",I91:$BB91)</f>
        <v>30</v>
      </c>
      <c r="G91" s="45">
        <f ca="1">SUMIF(J$3:$BB90,"出库",J91:$BB91)</f>
        <v>0</v>
      </c>
      <c r="H91" s="37">
        <f ca="1" t="shared" si="1"/>
        <v>30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>
        <v>30</v>
      </c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</row>
    <row r="92" hidden="1" customHeight="1" spans="1:54">
      <c r="A92" s="49">
        <f>ROW()-4</f>
        <v>88</v>
      </c>
      <c r="B92" s="45" t="s">
        <v>43</v>
      </c>
      <c r="C92" s="50" t="s">
        <v>12</v>
      </c>
      <c r="D92" s="45"/>
      <c r="E92" s="45">
        <v>0</v>
      </c>
      <c r="F92" s="36">
        <f ca="1">SUMIF(I$3:$BB91,"入库",I92:$BB92)</f>
        <v>5000</v>
      </c>
      <c r="G92" s="45">
        <f ca="1">SUMIF(J$3:$BB91,"出库",J92:$BB92)</f>
        <v>165</v>
      </c>
      <c r="H92" s="37">
        <f ca="1" t="shared" si="1"/>
        <v>4835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>
        <v>5000</v>
      </c>
      <c r="AH92" s="45">
        <v>50</v>
      </c>
      <c r="AI92" s="45"/>
      <c r="AJ92" s="45">
        <v>100</v>
      </c>
      <c r="AK92" s="45"/>
      <c r="AL92" s="45">
        <v>15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</row>
    <row r="93" hidden="1" customHeight="1" spans="1:54">
      <c r="A93" s="51"/>
      <c r="B93" s="45"/>
      <c r="C93" s="52" t="s">
        <v>13</v>
      </c>
      <c r="D93" s="45"/>
      <c r="E93" s="45">
        <v>0</v>
      </c>
      <c r="F93" s="36">
        <f ca="1">SUMIF(I$3:$BB92,"入库",I93:$BB93)</f>
        <v>5</v>
      </c>
      <c r="G93" s="45">
        <f ca="1">SUMIF(J$3:$BB92,"出库",J93:$BB93)</f>
        <v>0</v>
      </c>
      <c r="H93" s="37">
        <f ca="1" t="shared" si="1"/>
        <v>5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>
        <v>5</v>
      </c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</row>
    <row r="94" hidden="1" customHeight="1" spans="1:54">
      <c r="A94" s="53"/>
      <c r="B94" s="45"/>
      <c r="C94" s="45" t="s">
        <v>14</v>
      </c>
      <c r="D94" s="45"/>
      <c r="E94" s="45">
        <v>0</v>
      </c>
      <c r="F94" s="36">
        <f ca="1">SUMIF(I$3:$BB93,"入库",I94:$BB94)</f>
        <v>0</v>
      </c>
      <c r="G94" s="45">
        <f ca="1">SUMIF(J$3:$BB93,"出库",J94:$BB94)</f>
        <v>0</v>
      </c>
      <c r="H94" s="37">
        <f ca="1" t="shared" si="1"/>
        <v>0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</row>
    <row r="95" hidden="1" customHeight="1" spans="1:54">
      <c r="A95" s="49">
        <f>ROW()-4</f>
        <v>91</v>
      </c>
      <c r="B95" s="45" t="s">
        <v>44</v>
      </c>
      <c r="C95" s="50" t="s">
        <v>12</v>
      </c>
      <c r="D95" s="45"/>
      <c r="E95" s="45">
        <v>0</v>
      </c>
      <c r="F95" s="36">
        <f ca="1">SUMIF(I$3:$BB94,"入库",I95:$BB95)</f>
        <v>5800</v>
      </c>
      <c r="G95" s="45">
        <f ca="1">SUMIF(J$3:$BB94,"出库",J95:$BB95)</f>
        <v>2502</v>
      </c>
      <c r="H95" s="37">
        <f ca="1" t="shared" si="1"/>
        <v>3298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>
        <v>5800</v>
      </c>
      <c r="AD95" s="45"/>
      <c r="AE95" s="45"/>
      <c r="AF95" s="45"/>
      <c r="AG95" s="45"/>
      <c r="AH95" s="45">
        <v>400</v>
      </c>
      <c r="AI95" s="45"/>
      <c r="AJ95" s="45">
        <v>2101</v>
      </c>
      <c r="AK95" s="45"/>
      <c r="AL95" s="45">
        <v>1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</row>
    <row r="96" hidden="1" customHeight="1" spans="1:54">
      <c r="A96" s="51"/>
      <c r="B96" s="45"/>
      <c r="C96" s="52" t="s">
        <v>13</v>
      </c>
      <c r="D96" s="45"/>
      <c r="E96" s="45">
        <v>0</v>
      </c>
      <c r="F96" s="36">
        <f ca="1">SUMIF(I$3:$BB95,"入库",I96:$BB96)</f>
        <v>0</v>
      </c>
      <c r="G96" s="45">
        <f ca="1">SUMIF(J$3:$BB95,"出库",J96:$BB96)</f>
        <v>0</v>
      </c>
      <c r="H96" s="37">
        <f ca="1" t="shared" si="1"/>
        <v>0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</row>
    <row r="97" hidden="1" customHeight="1" spans="1:54">
      <c r="A97" s="53"/>
      <c r="B97" s="45"/>
      <c r="C97" s="45" t="s">
        <v>14</v>
      </c>
      <c r="D97" s="45"/>
      <c r="E97" s="45">
        <v>0</v>
      </c>
      <c r="F97" s="36">
        <f ca="1">SUMIF(I$3:$BB96,"入库",I97:$BB97)</f>
        <v>20</v>
      </c>
      <c r="G97" s="45">
        <f ca="1">SUMIF(J$3:$BB96,"出库",J97:$BB97)</f>
        <v>0</v>
      </c>
      <c r="H97" s="37">
        <f ca="1" t="shared" si="1"/>
        <v>20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>
        <v>20</v>
      </c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</row>
    <row r="98" hidden="1" customHeight="1" spans="1:54">
      <c r="A98" s="49">
        <f>ROW()-4</f>
        <v>94</v>
      </c>
      <c r="B98" s="45" t="s">
        <v>45</v>
      </c>
      <c r="C98" s="50" t="s">
        <v>12</v>
      </c>
      <c r="D98" s="45"/>
      <c r="E98" s="45">
        <v>0</v>
      </c>
      <c r="F98" s="36">
        <f ca="1">SUMIF(I$3:$BB97,"入库",I98:$BB98)</f>
        <v>205</v>
      </c>
      <c r="G98" s="45">
        <f ca="1">SUMIF(J$3:$BB97,"出库",J98:$BB98)</f>
        <v>351</v>
      </c>
      <c r="H98" s="37">
        <f ca="1" t="shared" si="1"/>
        <v>-146</v>
      </c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>
        <v>205</v>
      </c>
      <c r="AD98" s="45"/>
      <c r="AE98" s="45"/>
      <c r="AF98" s="45"/>
      <c r="AG98" s="45"/>
      <c r="AH98" s="45">
        <v>150</v>
      </c>
      <c r="AI98" s="45"/>
      <c r="AJ98" s="45">
        <v>201</v>
      </c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</row>
    <row r="99" hidden="1" customHeight="1" spans="1:54">
      <c r="A99" s="51"/>
      <c r="B99" s="45"/>
      <c r="C99" s="52" t="s">
        <v>13</v>
      </c>
      <c r="D99" s="45"/>
      <c r="E99" s="45">
        <v>0</v>
      </c>
      <c r="F99" s="36">
        <f ca="1">SUMIF(I$3:$BB98,"入库",I99:$BB99)</f>
        <v>30</v>
      </c>
      <c r="G99" s="45">
        <f ca="1">SUMIF(J$3:$BB98,"出库",J99:$BB99)</f>
        <v>0</v>
      </c>
      <c r="H99" s="37">
        <f ca="1" t="shared" si="1"/>
        <v>30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>
        <v>30</v>
      </c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</row>
    <row r="100" hidden="1" customHeight="1" spans="1:54">
      <c r="A100" s="53"/>
      <c r="B100" s="45"/>
      <c r="C100" s="45" t="s">
        <v>14</v>
      </c>
      <c r="D100" s="45"/>
      <c r="E100" s="45">
        <v>0</v>
      </c>
      <c r="F100" s="36">
        <f ca="1">SUMIF(I$3:$BB99,"入库",I100:$BB100)</f>
        <v>0</v>
      </c>
      <c r="G100" s="45">
        <f ca="1">SUMIF(J$3:$BB99,"出库",J100:$BB100)</f>
        <v>0</v>
      </c>
      <c r="H100" s="37">
        <f ca="1" t="shared" si="1"/>
        <v>0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</row>
    <row r="101" hidden="1" customHeight="1" spans="1:54">
      <c r="A101" s="49">
        <f>ROW()-4</f>
        <v>97</v>
      </c>
      <c r="B101" s="45" t="s">
        <v>46</v>
      </c>
      <c r="C101" s="50" t="s">
        <v>12</v>
      </c>
      <c r="D101" s="45"/>
      <c r="E101" s="45">
        <v>0</v>
      </c>
      <c r="F101" s="36">
        <f ca="1">SUMIF(I$3:$BB100,"入库",I101:$BB101)</f>
        <v>5200</v>
      </c>
      <c r="G101" s="45">
        <f ca="1">SUMIF(J$3:$BB100,"出库",J101:$BB101)</f>
        <v>382</v>
      </c>
      <c r="H101" s="37">
        <f ca="1" t="shared" si="1"/>
        <v>4818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>
        <v>5200</v>
      </c>
      <c r="AD101" s="45">
        <v>300</v>
      </c>
      <c r="AE101" s="45"/>
      <c r="AF101" s="45"/>
      <c r="AG101" s="45"/>
      <c r="AH101" s="45">
        <v>60</v>
      </c>
      <c r="AI101" s="45"/>
      <c r="AJ101" s="45">
        <v>22</v>
      </c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</row>
    <row r="102" hidden="1" customHeight="1" spans="1:54">
      <c r="A102" s="51"/>
      <c r="B102" s="45"/>
      <c r="C102" s="52" t="s">
        <v>13</v>
      </c>
      <c r="D102" s="45"/>
      <c r="E102" s="45">
        <v>0</v>
      </c>
      <c r="F102" s="36">
        <f ca="1">SUMIF(I$3:$BB101,"入库",I102:$BB102)</f>
        <v>50</v>
      </c>
      <c r="G102" s="45">
        <f ca="1">SUMIF(J$3:$BB101,"出库",J102:$BB102)</f>
        <v>0</v>
      </c>
      <c r="H102" s="37">
        <f ca="1" t="shared" si="1"/>
        <v>50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>
        <v>50</v>
      </c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</row>
    <row r="103" hidden="1" customHeight="1" spans="1:54">
      <c r="A103" s="53"/>
      <c r="B103" s="45"/>
      <c r="C103" s="45" t="s">
        <v>14</v>
      </c>
      <c r="D103" s="45"/>
      <c r="E103" s="45">
        <v>0</v>
      </c>
      <c r="F103" s="36">
        <f ca="1">SUMIF(I$3:$BB102,"入库",I103:$BB103)</f>
        <v>10</v>
      </c>
      <c r="G103" s="45">
        <f ca="1">SUMIF(J$3:$BB102,"出库",J103:$BB103)</f>
        <v>0</v>
      </c>
      <c r="H103" s="37">
        <f ca="1" t="shared" si="1"/>
        <v>10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>
        <v>10</v>
      </c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</row>
    <row r="104" hidden="1" customHeight="1" spans="1:54">
      <c r="A104" s="49">
        <f>ROW()-4</f>
        <v>100</v>
      </c>
      <c r="B104" s="45" t="s">
        <v>47</v>
      </c>
      <c r="C104" s="50" t="s">
        <v>12</v>
      </c>
      <c r="D104" s="45"/>
      <c r="E104" s="45">
        <v>0</v>
      </c>
      <c r="F104" s="36">
        <f ca="1">SUMIF(I$3:$BB103,"入库",I104:$BB104)</f>
        <v>1200</v>
      </c>
      <c r="G104" s="45">
        <f ca="1">SUMIF(J$3:$BB103,"出库",J104:$BB104)</f>
        <v>506</v>
      </c>
      <c r="H104" s="37">
        <f ca="1" t="shared" si="1"/>
        <v>694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>
        <v>1200</v>
      </c>
      <c r="AB104" s="45">
        <v>370</v>
      </c>
      <c r="AC104" s="45"/>
      <c r="AD104" s="45"/>
      <c r="AE104" s="45"/>
      <c r="AF104" s="45"/>
      <c r="AG104" s="45"/>
      <c r="AH104" s="45">
        <v>130</v>
      </c>
      <c r="AI104" s="45"/>
      <c r="AJ104" s="45">
        <v>6</v>
      </c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</row>
    <row r="105" hidden="1" customHeight="1" spans="1:54">
      <c r="A105" s="51"/>
      <c r="B105" s="45"/>
      <c r="C105" s="52" t="s">
        <v>13</v>
      </c>
      <c r="D105" s="45"/>
      <c r="E105" s="45">
        <v>0</v>
      </c>
      <c r="F105" s="36">
        <f ca="1">SUMIF(I$3:$BB104,"入库",I105:$BB105)</f>
        <v>750</v>
      </c>
      <c r="G105" s="45">
        <f ca="1">SUMIF(J$3:$BB104,"出库",J105:$BB105)</f>
        <v>0</v>
      </c>
      <c r="H105" s="37">
        <f ca="1" t="shared" si="1"/>
        <v>750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>
        <v>750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</row>
    <row r="106" hidden="1" customHeight="1" spans="1:54">
      <c r="A106" s="53"/>
      <c r="B106" s="45"/>
      <c r="C106" s="45" t="s">
        <v>14</v>
      </c>
      <c r="D106" s="45"/>
      <c r="E106" s="45">
        <v>0</v>
      </c>
      <c r="F106" s="36">
        <f ca="1">SUMIF(I$3:$BB105,"入库",I106:$BB106)</f>
        <v>10</v>
      </c>
      <c r="G106" s="45">
        <f ca="1">SUMIF(J$3:$BB105,"出库",J106:$BB106)</f>
        <v>3</v>
      </c>
      <c r="H106" s="37">
        <f ca="1" t="shared" si="1"/>
        <v>7</v>
      </c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>
        <v>10</v>
      </c>
      <c r="AB106" s="45"/>
      <c r="AC106" s="45"/>
      <c r="AD106" s="45"/>
      <c r="AE106" s="45"/>
      <c r="AF106" s="45"/>
      <c r="AG106" s="45"/>
      <c r="AH106" s="45"/>
      <c r="AI106" s="45"/>
      <c r="AJ106" s="45">
        <v>3</v>
      </c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</row>
    <row r="107" hidden="1" customHeight="1" spans="1:54">
      <c r="A107" s="49">
        <f>ROW()-4</f>
        <v>103</v>
      </c>
      <c r="B107" s="45" t="s">
        <v>48</v>
      </c>
      <c r="C107" s="50" t="s">
        <v>12</v>
      </c>
      <c r="D107" s="45"/>
      <c r="E107" s="45">
        <v>0</v>
      </c>
      <c r="F107" s="36">
        <f ca="1">SUMIF(I$3:$BB106,"入库",I107:$BB107)</f>
        <v>1700</v>
      </c>
      <c r="G107" s="45">
        <f ca="1">SUMIF(J$3:$BB106,"出库",J107:$BB107)</f>
        <v>0</v>
      </c>
      <c r="H107" s="37">
        <f ca="1" t="shared" si="1"/>
        <v>1700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>
        <v>1700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</row>
    <row r="108" hidden="1" customHeight="1" spans="1:54">
      <c r="A108" s="51"/>
      <c r="B108" s="45"/>
      <c r="C108" s="52" t="s">
        <v>13</v>
      </c>
      <c r="D108" s="45"/>
      <c r="E108" s="45">
        <v>0</v>
      </c>
      <c r="F108" s="36">
        <f ca="1">SUMIF(I$3:$BB107,"入库",I108:$BB108)</f>
        <v>400</v>
      </c>
      <c r="G108" s="45">
        <f ca="1">SUMIF(J$3:$BB107,"出库",J108:$BB108)</f>
        <v>0</v>
      </c>
      <c r="H108" s="37">
        <f ca="1" t="shared" si="1"/>
        <v>400</v>
      </c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>
        <v>400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</row>
    <row r="109" hidden="1" customHeight="1" spans="1:54">
      <c r="A109" s="53"/>
      <c r="B109" s="45"/>
      <c r="C109" s="45" t="s">
        <v>14</v>
      </c>
      <c r="D109" s="45"/>
      <c r="E109" s="45">
        <v>0</v>
      </c>
      <c r="F109" s="36">
        <f ca="1">SUMIF(I$3:$BB108,"入库",I109:$BB109)</f>
        <v>10</v>
      </c>
      <c r="G109" s="45">
        <f ca="1">SUMIF(J$3:$BB108,"出库",J109:$BB109)</f>
        <v>0</v>
      </c>
      <c r="H109" s="37">
        <f ca="1" t="shared" si="1"/>
        <v>10</v>
      </c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>
        <v>10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</row>
    <row r="110" hidden="1" customHeight="1" spans="1:54">
      <c r="A110" s="49">
        <f>ROW()-4</f>
        <v>106</v>
      </c>
      <c r="B110" s="45" t="s">
        <v>49</v>
      </c>
      <c r="C110" s="50" t="s">
        <v>12</v>
      </c>
      <c r="D110" s="45"/>
      <c r="E110" s="45">
        <v>0</v>
      </c>
      <c r="F110" s="36">
        <f ca="1">SUMIF(I$3:$BB109,"入库",I110:$BB110)</f>
        <v>2400</v>
      </c>
      <c r="G110" s="45">
        <f ca="1">SUMIF(J$3:$BB109,"出库",J110:$BB110)</f>
        <v>300</v>
      </c>
      <c r="H110" s="37">
        <f ca="1" t="shared" si="1"/>
        <v>2100</v>
      </c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>
        <v>2400</v>
      </c>
      <c r="AB110" s="45"/>
      <c r="AC110" s="45"/>
      <c r="AD110" s="45">
        <v>300</v>
      </c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</row>
    <row r="111" hidden="1" customHeight="1" spans="1:54">
      <c r="A111" s="51"/>
      <c r="B111" s="45"/>
      <c r="C111" s="52" t="s">
        <v>13</v>
      </c>
      <c r="D111" s="45"/>
      <c r="E111" s="45">
        <v>0</v>
      </c>
      <c r="F111" s="36">
        <f ca="1">SUMIF(I$3:$BB110,"入库",I111:$BB111)</f>
        <v>0</v>
      </c>
      <c r="G111" s="45">
        <f ca="1">SUMIF(J$3:$BB110,"出库",J111:$BB111)</f>
        <v>0</v>
      </c>
      <c r="H111" s="37">
        <f ca="1" t="shared" si="1"/>
        <v>0</v>
      </c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</row>
    <row r="112" hidden="1" customHeight="1" spans="1:54">
      <c r="A112" s="53"/>
      <c r="B112" s="45"/>
      <c r="C112" s="45" t="s">
        <v>14</v>
      </c>
      <c r="D112" s="45"/>
      <c r="E112" s="45">
        <v>0</v>
      </c>
      <c r="F112" s="36">
        <f ca="1">SUMIF(I$3:$BB111,"入库",I112:$BB112)</f>
        <v>0</v>
      </c>
      <c r="G112" s="45">
        <f ca="1">SUMIF(J$3:$BB111,"出库",J112:$BB112)</f>
        <v>0</v>
      </c>
      <c r="H112" s="37">
        <f ca="1" t="shared" si="1"/>
        <v>0</v>
      </c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</row>
    <row r="113" hidden="1" customHeight="1" spans="1:54">
      <c r="A113" s="49">
        <f>ROW()-4</f>
        <v>109</v>
      </c>
      <c r="B113" s="45" t="s">
        <v>50</v>
      </c>
      <c r="C113" s="50" t="s">
        <v>12</v>
      </c>
      <c r="D113" s="45"/>
      <c r="E113" s="45">
        <v>0</v>
      </c>
      <c r="F113" s="36">
        <f ca="1">SUMIF(I$3:$BB112,"入库",I113:$BB113)</f>
        <v>5750</v>
      </c>
      <c r="G113" s="45">
        <f ca="1">SUMIF(J$3:$BB112,"出库",J113:$BB113)</f>
        <v>1</v>
      </c>
      <c r="H113" s="37">
        <f ca="1" t="shared" si="1"/>
        <v>5749</v>
      </c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>
        <v>5750</v>
      </c>
      <c r="AJ113" s="45">
        <v>1</v>
      </c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</row>
    <row r="114" hidden="1" customHeight="1" spans="1:54">
      <c r="A114" s="51"/>
      <c r="B114" s="45"/>
      <c r="C114" s="52" t="s">
        <v>13</v>
      </c>
      <c r="D114" s="45"/>
      <c r="E114" s="45">
        <v>0</v>
      </c>
      <c r="F114" s="36">
        <f ca="1">SUMIF(I$3:$BB113,"入库",I114:$BB114)</f>
        <v>100</v>
      </c>
      <c r="G114" s="45">
        <f ca="1">SUMIF(J$3:$BB113,"出库",J114:$BB114)</f>
        <v>0</v>
      </c>
      <c r="H114" s="37">
        <f ca="1" t="shared" si="1"/>
        <v>100</v>
      </c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>
        <v>100</v>
      </c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</row>
    <row r="115" hidden="1" customHeight="1" spans="1:54">
      <c r="A115" s="53"/>
      <c r="B115" s="45"/>
      <c r="C115" s="45" t="s">
        <v>14</v>
      </c>
      <c r="D115" s="45"/>
      <c r="E115" s="45">
        <v>0</v>
      </c>
      <c r="F115" s="36">
        <f ca="1">SUMIF(I$3:$BB114,"入库",I115:$BB115)</f>
        <v>60</v>
      </c>
      <c r="G115" s="45">
        <f ca="1">SUMIF(J$3:$BB114,"出库",J115:$BB115)</f>
        <v>0</v>
      </c>
      <c r="H115" s="37">
        <f ca="1" t="shared" si="1"/>
        <v>60</v>
      </c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>
        <v>60</v>
      </c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</row>
    <row r="116" hidden="1" customHeight="1" spans="1:54">
      <c r="A116" s="49">
        <f>ROW()-4</f>
        <v>112</v>
      </c>
      <c r="B116" s="45" t="s">
        <v>51</v>
      </c>
      <c r="C116" s="50" t="s">
        <v>12</v>
      </c>
      <c r="D116" s="45"/>
      <c r="E116" s="45">
        <v>0</v>
      </c>
      <c r="F116" s="36">
        <f ca="1">SUMIF(I$3:$BB115,"入库",I116:$BB116)</f>
        <v>4500</v>
      </c>
      <c r="G116" s="45">
        <f ca="1">SUMIF(J$3:$BB115,"出库",J116:$BB116)</f>
        <v>150</v>
      </c>
      <c r="H116" s="37">
        <f ca="1" t="shared" si="1"/>
        <v>4350</v>
      </c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>
        <v>4500</v>
      </c>
      <c r="AH116" s="45"/>
      <c r="AI116" s="45"/>
      <c r="AJ116" s="45">
        <v>150</v>
      </c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</row>
    <row r="117" hidden="1" customHeight="1" spans="1:54">
      <c r="A117" s="51"/>
      <c r="B117" s="45"/>
      <c r="C117" s="52" t="s">
        <v>13</v>
      </c>
      <c r="D117" s="45"/>
      <c r="E117" s="45">
        <v>0</v>
      </c>
      <c r="F117" s="36">
        <f ca="1">SUMIF(I$3:$BB116,"入库",I117:$BB117)</f>
        <v>100</v>
      </c>
      <c r="G117" s="45">
        <f ca="1">SUMIF(J$3:$BB116,"出库",J117:$BB117)</f>
        <v>0</v>
      </c>
      <c r="H117" s="37">
        <f ca="1" t="shared" si="1"/>
        <v>100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>
        <v>100</v>
      </c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</row>
    <row r="118" hidden="1" customHeight="1" spans="1:54">
      <c r="A118" s="53"/>
      <c r="B118" s="45"/>
      <c r="C118" s="45" t="s">
        <v>14</v>
      </c>
      <c r="D118" s="45"/>
      <c r="E118" s="45">
        <v>0</v>
      </c>
      <c r="F118" s="36">
        <f ca="1">SUMIF(I$3:$BB117,"入库",I118:$BB118)</f>
        <v>0</v>
      </c>
      <c r="G118" s="45">
        <f ca="1">SUMIF(J$3:$BB117,"出库",J118:$BB118)</f>
        <v>0</v>
      </c>
      <c r="H118" s="37">
        <f ca="1" t="shared" si="1"/>
        <v>0</v>
      </c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</row>
    <row r="119" hidden="1" customHeight="1" spans="1:54">
      <c r="A119" s="49">
        <f>ROW()-4</f>
        <v>115</v>
      </c>
      <c r="B119" s="45" t="s">
        <v>52</v>
      </c>
      <c r="C119" s="50" t="s">
        <v>12</v>
      </c>
      <c r="D119" s="45"/>
      <c r="E119" s="45">
        <v>0</v>
      </c>
      <c r="F119" s="36">
        <f ca="1">SUMIF(I$3:$BB118,"入库",I119:$BB119)</f>
        <v>8700</v>
      </c>
      <c r="G119" s="45">
        <f ca="1">SUMIF(J$3:$BB118,"出库",J119:$BB119)</f>
        <v>5</v>
      </c>
      <c r="H119" s="37">
        <f ca="1" t="shared" si="1"/>
        <v>8695</v>
      </c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>
        <v>3500</v>
      </c>
      <c r="AH119" s="45"/>
      <c r="AI119" s="45">
        <v>5200</v>
      </c>
      <c r="AJ119" s="45">
        <v>5</v>
      </c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</row>
    <row r="120" hidden="1" customHeight="1" spans="1:54">
      <c r="A120" s="51"/>
      <c r="B120" s="45"/>
      <c r="C120" s="52" t="s">
        <v>13</v>
      </c>
      <c r="D120" s="45"/>
      <c r="E120" s="45">
        <v>0</v>
      </c>
      <c r="F120" s="36">
        <f ca="1">SUMIF(I$3:$BB119,"入库",I120:$BB120)</f>
        <v>40</v>
      </c>
      <c r="G120" s="45">
        <f ca="1">SUMIF(J$3:$BB119,"出库",J120:$BB120)</f>
        <v>0</v>
      </c>
      <c r="H120" s="37">
        <f ca="1" t="shared" si="1"/>
        <v>40</v>
      </c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>
        <v>40</v>
      </c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</row>
    <row r="121" hidden="1" customHeight="1" spans="1:54">
      <c r="A121" s="53"/>
      <c r="B121" s="45"/>
      <c r="C121" s="45" t="s">
        <v>14</v>
      </c>
      <c r="D121" s="45"/>
      <c r="E121" s="45">
        <v>0</v>
      </c>
      <c r="F121" s="36">
        <f ca="1">SUMIF(I$3:$BB120,"入库",I121:$BB121)</f>
        <v>0</v>
      </c>
      <c r="G121" s="45">
        <f ca="1">SUMIF(J$3:$BB120,"出库",J121:$BB121)</f>
        <v>0</v>
      </c>
      <c r="H121" s="37">
        <f ca="1" t="shared" si="1"/>
        <v>0</v>
      </c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</row>
    <row r="122" hidden="1" customHeight="1" spans="1:54">
      <c r="A122" s="49">
        <f>ROW()-4</f>
        <v>118</v>
      </c>
      <c r="B122" s="45" t="s">
        <v>53</v>
      </c>
      <c r="C122" s="50" t="s">
        <v>12</v>
      </c>
      <c r="D122" s="45"/>
      <c r="E122" s="45">
        <v>0</v>
      </c>
      <c r="F122" s="36">
        <f ca="1">SUMIF(I$3:$BB121,"入库",I122:$BB122)</f>
        <v>3850</v>
      </c>
      <c r="G122" s="45">
        <f ca="1">SUMIF(J$3:$BB121,"出库",J122:$BB122)</f>
        <v>350</v>
      </c>
      <c r="H122" s="37">
        <f ca="1" t="shared" si="1"/>
        <v>3500</v>
      </c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>
        <v>3850</v>
      </c>
      <c r="AD122" s="45"/>
      <c r="AE122" s="45"/>
      <c r="AF122" s="45"/>
      <c r="AG122" s="45"/>
      <c r="AH122" s="45">
        <v>50</v>
      </c>
      <c r="AI122" s="45"/>
      <c r="AJ122" s="45">
        <v>300</v>
      </c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</row>
    <row r="123" hidden="1" customHeight="1" spans="1:54">
      <c r="A123" s="51"/>
      <c r="B123" s="45"/>
      <c r="C123" s="52" t="s">
        <v>13</v>
      </c>
      <c r="D123" s="45"/>
      <c r="E123" s="45">
        <v>0</v>
      </c>
      <c r="F123" s="36">
        <f ca="1">SUMIF(I$3:$BB122,"入库",I123:$BB123)</f>
        <v>4</v>
      </c>
      <c r="G123" s="45">
        <f ca="1">SUMIF(J$3:$BB122,"出库",J123:$BB123)</f>
        <v>0</v>
      </c>
      <c r="H123" s="37">
        <f ca="1" t="shared" si="1"/>
        <v>4</v>
      </c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>
        <v>4</v>
      </c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</row>
    <row r="124" hidden="1" customHeight="1" spans="1:54">
      <c r="A124" s="53"/>
      <c r="B124" s="45"/>
      <c r="C124" s="45" t="s">
        <v>14</v>
      </c>
      <c r="D124" s="45"/>
      <c r="E124" s="45">
        <v>0</v>
      </c>
      <c r="F124" s="36">
        <f ca="1">SUMIF(I$3:$BB123,"入库",I124:$BB124)</f>
        <v>0</v>
      </c>
      <c r="G124" s="45">
        <f ca="1">SUMIF(J$3:$BB123,"出库",J124:$BB124)</f>
        <v>0</v>
      </c>
      <c r="H124" s="37">
        <f ca="1" t="shared" si="1"/>
        <v>0</v>
      </c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</row>
    <row r="125" hidden="1" customHeight="1" spans="1:54">
      <c r="A125" s="49">
        <f>ROW()-4</f>
        <v>121</v>
      </c>
      <c r="B125" s="45" t="s">
        <v>54</v>
      </c>
      <c r="C125" s="50" t="s">
        <v>12</v>
      </c>
      <c r="D125" s="45"/>
      <c r="E125" s="45">
        <v>0</v>
      </c>
      <c r="F125" s="36">
        <f ca="1">SUMIF(I$3:$BB124,"入库",I125:$BB125)</f>
        <v>3800</v>
      </c>
      <c r="G125" s="45">
        <f ca="1">SUMIF(J$3:$BB124,"出库",J125:$BB125)</f>
        <v>270</v>
      </c>
      <c r="H125" s="37">
        <f ca="1" t="shared" si="1"/>
        <v>3530</v>
      </c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>
        <v>3800</v>
      </c>
      <c r="AD125" s="45"/>
      <c r="AE125" s="45"/>
      <c r="AF125" s="45"/>
      <c r="AG125" s="45"/>
      <c r="AH125" s="45">
        <v>270</v>
      </c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</row>
    <row r="126" hidden="1" customHeight="1" spans="1:54">
      <c r="A126" s="51"/>
      <c r="B126" s="45"/>
      <c r="C126" s="52" t="s">
        <v>13</v>
      </c>
      <c r="D126" s="45"/>
      <c r="E126" s="45">
        <v>0</v>
      </c>
      <c r="F126" s="36">
        <f ca="1">SUMIF(I$3:$BB125,"入库",I126:$BB126)</f>
        <v>0</v>
      </c>
      <c r="G126" s="45">
        <f ca="1">SUMIF(J$3:$BB125,"出库",J126:$BB126)</f>
        <v>0</v>
      </c>
      <c r="H126" s="37">
        <f ca="1" t="shared" si="1"/>
        <v>0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</row>
    <row r="127" hidden="1" customHeight="1" spans="1:54">
      <c r="A127" s="53"/>
      <c r="B127" s="45"/>
      <c r="C127" s="45" t="s">
        <v>14</v>
      </c>
      <c r="D127" s="45"/>
      <c r="E127" s="45">
        <v>0</v>
      </c>
      <c r="F127" s="36">
        <f ca="1">SUMIF(I$3:$BB126,"入库",I127:$BB127)</f>
        <v>30</v>
      </c>
      <c r="G127" s="45">
        <f ca="1">SUMIF(J$3:$BB126,"出库",J127:$BB127)</f>
        <v>0</v>
      </c>
      <c r="H127" s="37">
        <f ca="1" t="shared" si="1"/>
        <v>30</v>
      </c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>
        <v>30</v>
      </c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</row>
    <row r="128" hidden="1" customHeight="1" spans="1:54">
      <c r="A128" s="49">
        <f>ROW()-4</f>
        <v>124</v>
      </c>
      <c r="B128" s="45" t="s">
        <v>55</v>
      </c>
      <c r="C128" s="50" t="s">
        <v>12</v>
      </c>
      <c r="D128" s="45"/>
      <c r="E128" s="45">
        <v>0</v>
      </c>
      <c r="F128" s="36">
        <f ca="1">SUMIF(I$3:$BB127,"入库",I128:$BB128)</f>
        <v>1500</v>
      </c>
      <c r="G128" s="45">
        <f ca="1">SUMIF(J$3:$BB127,"出库",J128:$BB128)</f>
        <v>351</v>
      </c>
      <c r="H128" s="37">
        <f ca="1" t="shared" si="1"/>
        <v>1149</v>
      </c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>
        <v>1500</v>
      </c>
      <c r="AF128" s="45"/>
      <c r="AG128" s="45"/>
      <c r="AH128" s="45">
        <v>350</v>
      </c>
      <c r="AI128" s="45"/>
      <c r="AJ128" s="45">
        <v>1</v>
      </c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</row>
    <row r="129" hidden="1" customHeight="1" spans="1:54">
      <c r="A129" s="51"/>
      <c r="B129" s="45"/>
      <c r="C129" s="52" t="s">
        <v>13</v>
      </c>
      <c r="D129" s="45"/>
      <c r="E129" s="45">
        <v>0</v>
      </c>
      <c r="F129" s="36">
        <f ca="1">SUMIF(I$3:$BB128,"入库",I129:$BB129)</f>
        <v>0</v>
      </c>
      <c r="G129" s="45">
        <f ca="1">SUMIF(J$3:$BB128,"出库",J129:$BB129)</f>
        <v>0</v>
      </c>
      <c r="H129" s="37">
        <f ca="1" t="shared" si="1"/>
        <v>0</v>
      </c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</row>
    <row r="130" hidden="1" customHeight="1" spans="1:54">
      <c r="A130" s="53"/>
      <c r="B130" s="45"/>
      <c r="C130" s="45" t="s">
        <v>14</v>
      </c>
      <c r="D130" s="45"/>
      <c r="E130" s="45">
        <v>0</v>
      </c>
      <c r="F130" s="36">
        <f ca="1">SUMIF(I$3:$BB129,"入库",I130:$BB130)</f>
        <v>0</v>
      </c>
      <c r="G130" s="45">
        <f ca="1">SUMIF(J$3:$BB129,"出库",J130:$BB130)</f>
        <v>0</v>
      </c>
      <c r="H130" s="37">
        <f ca="1" t="shared" si="1"/>
        <v>0</v>
      </c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</row>
    <row r="131" hidden="1" customHeight="1" spans="1:54">
      <c r="A131" s="49">
        <f>ROW()-4</f>
        <v>127</v>
      </c>
      <c r="B131" s="45" t="s">
        <v>56</v>
      </c>
      <c r="C131" s="50" t="s">
        <v>12</v>
      </c>
      <c r="D131" s="45"/>
      <c r="E131" s="45">
        <v>0</v>
      </c>
      <c r="F131" s="36">
        <f ca="1">SUMIF(I$3:$BB130,"入库",I131:$BB131)</f>
        <v>1500</v>
      </c>
      <c r="G131" s="45">
        <f ca="1">SUMIF(J$3:$BB130,"出库",J131:$BB131)</f>
        <v>400</v>
      </c>
      <c r="H131" s="37">
        <f ca="1" t="shared" si="1"/>
        <v>1100</v>
      </c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>
        <v>1500</v>
      </c>
      <c r="AB131" s="45"/>
      <c r="AC131" s="45"/>
      <c r="AD131" s="45"/>
      <c r="AE131" s="45"/>
      <c r="AF131" s="45"/>
      <c r="AG131" s="45"/>
      <c r="AH131" s="45">
        <v>100</v>
      </c>
      <c r="AI131" s="45"/>
      <c r="AJ131" s="45"/>
      <c r="AK131" s="45"/>
      <c r="AL131" s="45">
        <v>300</v>
      </c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</row>
    <row r="132" hidden="1" customHeight="1" spans="1:54">
      <c r="A132" s="51"/>
      <c r="B132" s="45"/>
      <c r="C132" s="52" t="s">
        <v>13</v>
      </c>
      <c r="D132" s="45"/>
      <c r="E132" s="45">
        <v>0</v>
      </c>
      <c r="F132" s="36">
        <f ca="1">SUMIF(I$3:$BB131,"入库",I132:$BB132)</f>
        <v>5</v>
      </c>
      <c r="G132" s="45">
        <f ca="1">SUMIF(J$3:$BB131,"出库",J132:$BB132)</f>
        <v>0</v>
      </c>
      <c r="H132" s="37">
        <f ca="1" t="shared" si="1"/>
        <v>5</v>
      </c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>
        <v>5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</row>
    <row r="133" hidden="1" customHeight="1" spans="1:54">
      <c r="A133" s="53"/>
      <c r="B133" s="45"/>
      <c r="C133" s="45" t="s">
        <v>14</v>
      </c>
      <c r="D133" s="45"/>
      <c r="E133" s="45">
        <v>0</v>
      </c>
      <c r="F133" s="36">
        <f ca="1">SUMIF(I$3:$BB132,"入库",I133:$BB133)</f>
        <v>10</v>
      </c>
      <c r="G133" s="45">
        <f ca="1">SUMIF(J$3:$BB132,"出库",J133:$BB133)</f>
        <v>0</v>
      </c>
      <c r="H133" s="37">
        <f ca="1" t="shared" ref="H133:H196" si="2">E133+F133-G133</f>
        <v>10</v>
      </c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>
        <v>10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</row>
    <row r="134" hidden="1" customHeight="1" spans="1:54">
      <c r="A134" s="49">
        <f>ROW()-4</f>
        <v>130</v>
      </c>
      <c r="B134" s="45" t="s">
        <v>57</v>
      </c>
      <c r="C134" s="50" t="s">
        <v>12</v>
      </c>
      <c r="D134" s="45"/>
      <c r="E134" s="45">
        <v>0</v>
      </c>
      <c r="F134" s="36">
        <f ca="1">SUMIF(I$3:$BB133,"入库",I134:$BB134)</f>
        <v>2400</v>
      </c>
      <c r="G134" s="45">
        <f ca="1">SUMIF(J$3:$BB133,"出库",J134:$BB134)</f>
        <v>250</v>
      </c>
      <c r="H134" s="37">
        <f ca="1" t="shared" si="2"/>
        <v>2150</v>
      </c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>
        <v>2400</v>
      </c>
      <c r="AB134" s="45"/>
      <c r="AC134" s="45"/>
      <c r="AD134" s="45">
        <v>50</v>
      </c>
      <c r="AE134" s="45"/>
      <c r="AF134" s="45"/>
      <c r="AG134" s="45"/>
      <c r="AH134" s="45">
        <v>200</v>
      </c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</row>
    <row r="135" hidden="1" customHeight="1" spans="1:54">
      <c r="A135" s="51"/>
      <c r="B135" s="45"/>
      <c r="C135" s="52" t="s">
        <v>13</v>
      </c>
      <c r="D135" s="45"/>
      <c r="E135" s="45">
        <v>0</v>
      </c>
      <c r="F135" s="36">
        <f ca="1">SUMIF(I$3:$BB134,"入库",I135:$BB135)</f>
        <v>0</v>
      </c>
      <c r="G135" s="45">
        <f ca="1">SUMIF(J$3:$BB134,"出库",J135:$BB135)</f>
        <v>0</v>
      </c>
      <c r="H135" s="37">
        <f ca="1" t="shared" si="2"/>
        <v>0</v>
      </c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</row>
    <row r="136" hidden="1" customHeight="1" spans="1:54">
      <c r="A136" s="53"/>
      <c r="B136" s="45"/>
      <c r="C136" s="45" t="s">
        <v>14</v>
      </c>
      <c r="D136" s="45"/>
      <c r="E136" s="45">
        <v>0</v>
      </c>
      <c r="F136" s="36">
        <f ca="1">SUMIF(I$3:$BB135,"入库",I136:$BB136)</f>
        <v>0</v>
      </c>
      <c r="G136" s="45">
        <f ca="1">SUMIF(J$3:$BB135,"出库",J136:$BB136)</f>
        <v>0</v>
      </c>
      <c r="H136" s="37">
        <f ca="1" t="shared" si="2"/>
        <v>0</v>
      </c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</row>
    <row r="137" hidden="1" customHeight="1" spans="1:54">
      <c r="A137" s="49">
        <f>ROW()-4</f>
        <v>133</v>
      </c>
      <c r="B137" s="45" t="s">
        <v>58</v>
      </c>
      <c r="C137" s="50" t="s">
        <v>12</v>
      </c>
      <c r="D137" s="45"/>
      <c r="E137" s="45">
        <v>0</v>
      </c>
      <c r="F137" s="36">
        <f ca="1">SUMIF(I$3:$BB136,"入库",I137:$BB137)</f>
        <v>2600</v>
      </c>
      <c r="G137" s="45">
        <f ca="1">SUMIF(J$3:$BB136,"出库",J137:$BB137)</f>
        <v>50</v>
      </c>
      <c r="H137" s="37">
        <f ca="1" t="shared" si="2"/>
        <v>2550</v>
      </c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>
        <v>2600</v>
      </c>
      <c r="AB137" s="45">
        <v>50</v>
      </c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</row>
    <row r="138" hidden="1" customHeight="1" spans="1:54">
      <c r="A138" s="51"/>
      <c r="B138" s="45"/>
      <c r="C138" s="52" t="s">
        <v>13</v>
      </c>
      <c r="D138" s="45"/>
      <c r="E138" s="45">
        <v>0</v>
      </c>
      <c r="F138" s="36">
        <f ca="1">SUMIF(I$3:$BB137,"入库",I138:$BB138)</f>
        <v>30</v>
      </c>
      <c r="G138" s="45">
        <f ca="1">SUMIF(J$3:$BB137,"出库",J138:$BB138)</f>
        <v>0</v>
      </c>
      <c r="H138" s="37">
        <f ca="1" t="shared" si="2"/>
        <v>30</v>
      </c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>
        <v>30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</row>
    <row r="139" hidden="1" customHeight="1" spans="1:54">
      <c r="A139" s="53"/>
      <c r="B139" s="45"/>
      <c r="C139" s="45" t="s">
        <v>14</v>
      </c>
      <c r="D139" s="45"/>
      <c r="E139" s="45">
        <v>0</v>
      </c>
      <c r="F139" s="36">
        <f ca="1">SUMIF(I$3:$BB138,"入库",I139:$BB139)</f>
        <v>120</v>
      </c>
      <c r="G139" s="45">
        <f ca="1">SUMIF(J$3:$BB138,"出库",J139:$BB139)</f>
        <v>0</v>
      </c>
      <c r="H139" s="37">
        <f ca="1" t="shared" si="2"/>
        <v>120</v>
      </c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>
        <v>120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</row>
    <row r="140" hidden="1" customHeight="1" spans="1:54">
      <c r="A140" s="49">
        <f>ROW()-4</f>
        <v>136</v>
      </c>
      <c r="B140" s="45" t="s">
        <v>59</v>
      </c>
      <c r="C140" s="50" t="s">
        <v>12</v>
      </c>
      <c r="D140" s="45"/>
      <c r="E140" s="45">
        <v>0</v>
      </c>
      <c r="F140" s="36">
        <f ca="1">SUMIF(I$3:$BB139,"入库",I140:$BB140)</f>
        <v>4600</v>
      </c>
      <c r="G140" s="45">
        <f ca="1">SUMIF(J$3:$BB139,"出库",J140:$BB140)</f>
        <v>80</v>
      </c>
      <c r="H140" s="37">
        <f ca="1" t="shared" si="2"/>
        <v>4520</v>
      </c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>
        <v>4600</v>
      </c>
      <c r="AJ140" s="45">
        <v>80</v>
      </c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</row>
    <row r="141" hidden="1" customHeight="1" spans="1:54">
      <c r="A141" s="51"/>
      <c r="B141" s="45"/>
      <c r="C141" s="52" t="s">
        <v>13</v>
      </c>
      <c r="D141" s="45"/>
      <c r="E141" s="45">
        <v>0</v>
      </c>
      <c r="F141" s="36">
        <f ca="1">SUMIF(I$3:$BB140,"入库",I141:$BB141)</f>
        <v>0</v>
      </c>
      <c r="G141" s="45">
        <f ca="1">SUMIF(J$3:$BB140,"出库",J141:$BB141)</f>
        <v>0</v>
      </c>
      <c r="H141" s="37">
        <f ca="1" t="shared" si="2"/>
        <v>0</v>
      </c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</row>
    <row r="142" hidden="1" customHeight="1" spans="1:54">
      <c r="A142" s="53"/>
      <c r="B142" s="45"/>
      <c r="C142" s="45" t="s">
        <v>14</v>
      </c>
      <c r="D142" s="45"/>
      <c r="E142" s="45">
        <v>0</v>
      </c>
      <c r="F142" s="36">
        <f ca="1">SUMIF(I$3:$BB141,"入库",I142:$BB142)</f>
        <v>50</v>
      </c>
      <c r="G142" s="45">
        <f ca="1">SUMIF(J$3:$BB141,"出库",J142:$BB142)</f>
        <v>0</v>
      </c>
      <c r="H142" s="37">
        <f ca="1" t="shared" si="2"/>
        <v>50</v>
      </c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>
        <v>50</v>
      </c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</row>
    <row r="143" hidden="1" customHeight="1" spans="1:54">
      <c r="A143" s="49">
        <f>ROW()-4</f>
        <v>139</v>
      </c>
      <c r="B143" s="45" t="s">
        <v>60</v>
      </c>
      <c r="C143" s="50" t="s">
        <v>12</v>
      </c>
      <c r="D143" s="45"/>
      <c r="E143" s="45">
        <v>0</v>
      </c>
      <c r="F143" s="36">
        <f ca="1">SUMIF(I$3:$BB142,"入库",I143:$BB143)</f>
        <v>1850</v>
      </c>
      <c r="G143" s="45">
        <f ca="1">SUMIF(J$3:$BB142,"出库",J143:$BB143)</f>
        <v>1</v>
      </c>
      <c r="H143" s="37">
        <f ca="1" t="shared" si="2"/>
        <v>1849</v>
      </c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>
        <v>1850</v>
      </c>
      <c r="AH143" s="45"/>
      <c r="AI143" s="45"/>
      <c r="AJ143" s="45">
        <v>1</v>
      </c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</row>
    <row r="144" hidden="1" customHeight="1" spans="1:54">
      <c r="A144" s="51"/>
      <c r="B144" s="45"/>
      <c r="C144" s="52" t="s">
        <v>13</v>
      </c>
      <c r="D144" s="45"/>
      <c r="E144" s="45">
        <v>0</v>
      </c>
      <c r="F144" s="36">
        <f ca="1">SUMIF(I$3:$BB143,"入库",I144:$BB144)</f>
        <v>30</v>
      </c>
      <c r="G144" s="45">
        <f ca="1">SUMIF(J$3:$BB143,"出库",J144:$BB144)</f>
        <v>0</v>
      </c>
      <c r="H144" s="37">
        <f ca="1" t="shared" si="2"/>
        <v>30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>
        <v>30</v>
      </c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</row>
    <row r="145" hidden="1" customHeight="1" spans="1:54">
      <c r="A145" s="53"/>
      <c r="B145" s="45"/>
      <c r="C145" s="45" t="s">
        <v>14</v>
      </c>
      <c r="D145" s="45"/>
      <c r="E145" s="45">
        <v>0</v>
      </c>
      <c r="F145" s="36">
        <f ca="1">SUMIF(I$3:$BB144,"入库",I145:$BB145)</f>
        <v>460</v>
      </c>
      <c r="G145" s="45">
        <f ca="1">SUMIF(J$3:$BB144,"出库",J145:$BB145)</f>
        <v>0</v>
      </c>
      <c r="H145" s="37">
        <f ca="1" t="shared" si="2"/>
        <v>460</v>
      </c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>
        <v>460</v>
      </c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</row>
    <row r="146" hidden="1" customHeight="1" spans="1:54">
      <c r="A146" s="49">
        <f>ROW()-4</f>
        <v>142</v>
      </c>
      <c r="B146" s="45" t="s">
        <v>61</v>
      </c>
      <c r="C146" s="50" t="s">
        <v>12</v>
      </c>
      <c r="D146" s="45"/>
      <c r="E146" s="45">
        <v>0</v>
      </c>
      <c r="F146" s="36">
        <f ca="1">SUMIF(I$3:$BB145,"入库",I146:$BB146)</f>
        <v>4550</v>
      </c>
      <c r="G146" s="45">
        <f ca="1">SUMIF(J$3:$BB145,"出库",J146:$BB146)</f>
        <v>105</v>
      </c>
      <c r="H146" s="37">
        <f ca="1" t="shared" si="2"/>
        <v>4445</v>
      </c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>
        <v>4550</v>
      </c>
      <c r="AH146" s="45"/>
      <c r="AI146" s="45"/>
      <c r="AJ146" s="45">
        <v>105</v>
      </c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</row>
    <row r="147" hidden="1" customHeight="1" spans="1:54">
      <c r="A147" s="51"/>
      <c r="B147" s="45"/>
      <c r="C147" s="52" t="s">
        <v>13</v>
      </c>
      <c r="D147" s="45"/>
      <c r="E147" s="45">
        <v>0</v>
      </c>
      <c r="F147" s="36">
        <f ca="1">SUMIF(I$3:$BB146,"入库",I147:$BB147)</f>
        <v>3</v>
      </c>
      <c r="G147" s="45">
        <f ca="1">SUMIF(J$3:$BB146,"出库",J147:$BB147)</f>
        <v>0</v>
      </c>
      <c r="H147" s="37">
        <f ca="1" t="shared" si="2"/>
        <v>3</v>
      </c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>
        <v>3</v>
      </c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</row>
    <row r="148" hidden="1" customHeight="1" spans="1:54">
      <c r="A148" s="53"/>
      <c r="B148" s="45"/>
      <c r="C148" s="45" t="s">
        <v>14</v>
      </c>
      <c r="D148" s="45"/>
      <c r="E148" s="45">
        <v>0</v>
      </c>
      <c r="F148" s="36">
        <f ca="1">SUMIF(I$3:$BB147,"入库",I148:$BB148)</f>
        <v>20</v>
      </c>
      <c r="G148" s="45">
        <f ca="1">SUMIF(J$3:$BB147,"出库",J148:$BB148)</f>
        <v>0</v>
      </c>
      <c r="H148" s="37">
        <f ca="1" t="shared" si="2"/>
        <v>20</v>
      </c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>
        <v>20</v>
      </c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</row>
    <row r="149" hidden="1" customHeight="1" spans="1:54">
      <c r="A149" s="49">
        <f>ROW()-4</f>
        <v>145</v>
      </c>
      <c r="B149" s="45" t="s">
        <v>62</v>
      </c>
      <c r="C149" s="50" t="s">
        <v>12</v>
      </c>
      <c r="D149" s="45"/>
      <c r="E149" s="45">
        <v>0</v>
      </c>
      <c r="F149" s="36">
        <f ca="1">SUMIF(I$3:$BB148,"入库",I149:$BB149)</f>
        <v>2900</v>
      </c>
      <c r="G149" s="45">
        <f ca="1">SUMIF(J$3:$BB148,"出库",J149:$BB149)</f>
        <v>1380</v>
      </c>
      <c r="H149" s="37">
        <f ca="1" t="shared" si="2"/>
        <v>1520</v>
      </c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>
        <v>2700</v>
      </c>
      <c r="AD149" s="45"/>
      <c r="AE149" s="45"/>
      <c r="AF149" s="45"/>
      <c r="AG149" s="45">
        <v>200</v>
      </c>
      <c r="AH149" s="45">
        <v>50</v>
      </c>
      <c r="AI149" s="45"/>
      <c r="AJ149" s="45">
        <v>1330</v>
      </c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</row>
    <row r="150" hidden="1" customHeight="1" spans="1:54">
      <c r="A150" s="51"/>
      <c r="B150" s="45"/>
      <c r="C150" s="52" t="s">
        <v>13</v>
      </c>
      <c r="D150" s="45"/>
      <c r="E150" s="45">
        <v>0</v>
      </c>
      <c r="F150" s="36">
        <f ca="1">SUMIF(I$3:$BB149,"入库",I150:$BB150)</f>
        <v>560</v>
      </c>
      <c r="G150" s="45">
        <f ca="1">SUMIF(J$3:$BB149,"出库",J150:$BB150)</f>
        <v>0</v>
      </c>
      <c r="H150" s="37">
        <f ca="1" t="shared" si="2"/>
        <v>560</v>
      </c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>
        <v>560</v>
      </c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</row>
    <row r="151" hidden="1" customHeight="1" spans="1:54">
      <c r="A151" s="53"/>
      <c r="B151" s="45"/>
      <c r="C151" s="45" t="s">
        <v>14</v>
      </c>
      <c r="D151" s="45"/>
      <c r="E151" s="45">
        <v>0</v>
      </c>
      <c r="F151" s="36">
        <f ca="1">SUMIF(I$3:$BB150,"入库",I151:$BB151)</f>
        <v>50</v>
      </c>
      <c r="G151" s="45">
        <f ca="1">SUMIF(J$3:$BB150,"出库",J151:$BB151)</f>
        <v>1</v>
      </c>
      <c r="H151" s="37">
        <f ca="1" t="shared" si="2"/>
        <v>49</v>
      </c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>
        <v>50</v>
      </c>
      <c r="AD151" s="45"/>
      <c r="AE151" s="45"/>
      <c r="AF151" s="45"/>
      <c r="AG151" s="45"/>
      <c r="AH151" s="45"/>
      <c r="AI151" s="45"/>
      <c r="AJ151" s="45"/>
      <c r="AK151" s="45"/>
      <c r="AL151" s="45">
        <v>1</v>
      </c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</row>
    <row r="152" hidden="1" customHeight="1" spans="1:54">
      <c r="A152" s="49">
        <f>ROW()-4</f>
        <v>148</v>
      </c>
      <c r="B152" s="45" t="s">
        <v>63</v>
      </c>
      <c r="C152" s="50" t="s">
        <v>12</v>
      </c>
      <c r="D152" s="45"/>
      <c r="E152" s="45">
        <v>0</v>
      </c>
      <c r="F152" s="36">
        <f ca="1">SUMIF(I$3:$BB151,"入库",I152:$BB152)</f>
        <v>4400</v>
      </c>
      <c r="G152" s="45">
        <f ca="1">SUMIF(J$3:$BB151,"出库",J152:$BB152)</f>
        <v>600</v>
      </c>
      <c r="H152" s="37">
        <f ca="1" t="shared" si="2"/>
        <v>3800</v>
      </c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>
        <v>4400</v>
      </c>
      <c r="AD152" s="45"/>
      <c r="AE152" s="45"/>
      <c r="AF152" s="45"/>
      <c r="AG152" s="45"/>
      <c r="AH152" s="45">
        <v>550</v>
      </c>
      <c r="AI152" s="45"/>
      <c r="AJ152" s="45">
        <v>50</v>
      </c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</row>
    <row r="153" hidden="1" customHeight="1" spans="1:54">
      <c r="A153" s="51"/>
      <c r="B153" s="45"/>
      <c r="C153" s="52" t="s">
        <v>13</v>
      </c>
      <c r="D153" s="45"/>
      <c r="E153" s="45">
        <v>0</v>
      </c>
      <c r="F153" s="36">
        <f ca="1">SUMIF(I$3:$BB152,"入库",I153:$BB153)</f>
        <v>5</v>
      </c>
      <c r="G153" s="45">
        <f ca="1">SUMIF(J$3:$BB152,"出库",J153:$BB153)</f>
        <v>0</v>
      </c>
      <c r="H153" s="37">
        <f ca="1" t="shared" si="2"/>
        <v>5</v>
      </c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>
        <v>5</v>
      </c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</row>
    <row r="154" hidden="1" customHeight="1" spans="1:54">
      <c r="A154" s="53"/>
      <c r="B154" s="45"/>
      <c r="C154" s="45" t="s">
        <v>14</v>
      </c>
      <c r="D154" s="45"/>
      <c r="E154" s="45">
        <v>0</v>
      </c>
      <c r="F154" s="36">
        <f ca="1">SUMIF(I$3:$BB153,"入库",I154:$BB154)</f>
        <v>30</v>
      </c>
      <c r="G154" s="45">
        <f ca="1">SUMIF(J$3:$BB153,"出库",J154:$BB154)</f>
        <v>0</v>
      </c>
      <c r="H154" s="37">
        <f ca="1" t="shared" si="2"/>
        <v>30</v>
      </c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>
        <v>30</v>
      </c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</row>
    <row r="155" hidden="1" customHeight="1" spans="1:54">
      <c r="A155" s="49">
        <f>ROW()-4</f>
        <v>151</v>
      </c>
      <c r="B155" s="45" t="s">
        <v>64</v>
      </c>
      <c r="C155" s="50" t="s">
        <v>12</v>
      </c>
      <c r="D155" s="45"/>
      <c r="E155" s="45">
        <v>0</v>
      </c>
      <c r="F155" s="36">
        <f ca="1">SUMIF(I$3:$BB154,"入库",I155:$BB155)</f>
        <v>1600</v>
      </c>
      <c r="G155" s="45">
        <f ca="1">SUMIF(J$3:$BB154,"出库",J155:$BB155)</f>
        <v>40</v>
      </c>
      <c r="H155" s="37">
        <f ca="1" t="shared" si="2"/>
        <v>1560</v>
      </c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>
        <v>1600</v>
      </c>
      <c r="AD155" s="45">
        <v>40</v>
      </c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</row>
    <row r="156" hidden="1" customHeight="1" spans="1:54">
      <c r="A156" s="51"/>
      <c r="B156" s="45"/>
      <c r="C156" s="52" t="s">
        <v>13</v>
      </c>
      <c r="D156" s="45"/>
      <c r="E156" s="45">
        <v>0</v>
      </c>
      <c r="F156" s="36">
        <f ca="1">SUMIF(I$3:$BB155,"入库",I156:$BB156)</f>
        <v>30</v>
      </c>
      <c r="G156" s="45">
        <f ca="1">SUMIF(J$3:$BB155,"出库",J156:$BB156)</f>
        <v>0</v>
      </c>
      <c r="H156" s="37">
        <f ca="1" t="shared" si="2"/>
        <v>30</v>
      </c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>
        <v>30</v>
      </c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</row>
    <row r="157" hidden="1" customHeight="1" spans="1:54">
      <c r="A157" s="53"/>
      <c r="B157" s="45"/>
      <c r="C157" s="45" t="s">
        <v>14</v>
      </c>
      <c r="D157" s="45"/>
      <c r="E157" s="45">
        <v>0</v>
      </c>
      <c r="F157" s="36">
        <f ca="1">SUMIF(I$3:$BB156,"入库",I157:$BB157)</f>
        <v>100</v>
      </c>
      <c r="G157" s="45">
        <f ca="1">SUMIF(J$3:$BB156,"出库",J157:$BB157)</f>
        <v>0</v>
      </c>
      <c r="H157" s="37">
        <f ca="1" t="shared" si="2"/>
        <v>100</v>
      </c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>
        <v>100</v>
      </c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</row>
    <row r="158" hidden="1" customHeight="1" spans="1:54">
      <c r="A158" s="49">
        <f>ROW()-4</f>
        <v>154</v>
      </c>
      <c r="B158" s="45" t="s">
        <v>65</v>
      </c>
      <c r="C158" s="50" t="s">
        <v>12</v>
      </c>
      <c r="D158" s="45"/>
      <c r="E158" s="45">
        <v>0</v>
      </c>
      <c r="F158" s="36">
        <f ca="1">SUMIF(I$3:$BB157,"入库",I158:$BB158)</f>
        <v>1650</v>
      </c>
      <c r="G158" s="45">
        <f ca="1">SUMIF(J$3:$BB157,"出库",J158:$BB158)</f>
        <v>600</v>
      </c>
      <c r="H158" s="37">
        <f ca="1" t="shared" si="2"/>
        <v>1050</v>
      </c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>
        <v>1650</v>
      </c>
      <c r="AB158" s="45"/>
      <c r="AC158" s="45"/>
      <c r="AD158" s="45">
        <v>200</v>
      </c>
      <c r="AE158" s="45"/>
      <c r="AF158" s="45"/>
      <c r="AG158" s="45"/>
      <c r="AH158" s="45">
        <v>400</v>
      </c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</row>
    <row r="159" hidden="1" customHeight="1" spans="1:54">
      <c r="A159" s="51"/>
      <c r="B159" s="45"/>
      <c r="C159" s="52" t="s">
        <v>13</v>
      </c>
      <c r="D159" s="45"/>
      <c r="E159" s="45">
        <v>0</v>
      </c>
      <c r="F159" s="36">
        <f ca="1">SUMIF(I$3:$BB158,"入库",I159:$BB159)</f>
        <v>50</v>
      </c>
      <c r="G159" s="45">
        <f ca="1">SUMIF(J$3:$BB158,"出库",J159:$BB159)</f>
        <v>0</v>
      </c>
      <c r="H159" s="37">
        <f ca="1" t="shared" si="2"/>
        <v>50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>
        <v>50</v>
      </c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</row>
    <row r="160" hidden="1" customHeight="1" spans="1:54">
      <c r="A160" s="53"/>
      <c r="B160" s="45"/>
      <c r="C160" s="45" t="s">
        <v>14</v>
      </c>
      <c r="D160" s="45"/>
      <c r="E160" s="45">
        <v>0</v>
      </c>
      <c r="F160" s="36">
        <f ca="1">SUMIF(I$3:$BB159,"入库",I160:$BB160)</f>
        <v>0</v>
      </c>
      <c r="G160" s="45">
        <f ca="1">SUMIF(J$3:$BB159,"出库",J160:$BB160)</f>
        <v>0</v>
      </c>
      <c r="H160" s="37">
        <f ca="1" t="shared" si="2"/>
        <v>0</v>
      </c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</row>
    <row r="161" hidden="1" customHeight="1" spans="1:54">
      <c r="A161" s="49">
        <f>ROW()-4</f>
        <v>157</v>
      </c>
      <c r="B161" s="45" t="s">
        <v>66</v>
      </c>
      <c r="C161" s="50" t="s">
        <v>12</v>
      </c>
      <c r="D161" s="45"/>
      <c r="E161" s="45">
        <v>0</v>
      </c>
      <c r="F161" s="36">
        <f ca="1">SUMIF(I$3:$BB160,"入库",I161:$BB161)</f>
        <v>1450</v>
      </c>
      <c r="G161" s="45">
        <f ca="1">SUMIF(J$3:$BB160,"出库",J161:$BB161)</f>
        <v>0</v>
      </c>
      <c r="H161" s="37">
        <f ca="1" t="shared" si="2"/>
        <v>1450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>
        <v>1450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</row>
    <row r="162" hidden="1" customHeight="1" spans="1:54">
      <c r="A162" s="51"/>
      <c r="B162" s="45"/>
      <c r="C162" s="52" t="s">
        <v>13</v>
      </c>
      <c r="D162" s="45"/>
      <c r="E162" s="45">
        <v>0</v>
      </c>
      <c r="F162" s="36">
        <f ca="1">SUMIF(I$3:$BB161,"入库",I162:$BB162)</f>
        <v>400</v>
      </c>
      <c r="G162" s="45">
        <f ca="1">SUMIF(J$3:$BB161,"出库",J162:$BB162)</f>
        <v>0</v>
      </c>
      <c r="H162" s="37">
        <f ca="1" t="shared" si="2"/>
        <v>400</v>
      </c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>
        <v>400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</row>
    <row r="163" hidden="1" customHeight="1" spans="1:54">
      <c r="A163" s="53"/>
      <c r="B163" s="45"/>
      <c r="C163" s="45" t="s">
        <v>14</v>
      </c>
      <c r="D163" s="45"/>
      <c r="E163" s="45">
        <v>0</v>
      </c>
      <c r="F163" s="36">
        <f ca="1">SUMIF(I$3:$BB162,"入库",I163:$BB163)</f>
        <v>10</v>
      </c>
      <c r="G163" s="45">
        <f ca="1">SUMIF(J$3:$BB162,"出库",J163:$BB163)</f>
        <v>0</v>
      </c>
      <c r="H163" s="37">
        <f ca="1" t="shared" si="2"/>
        <v>10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>
        <v>10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</row>
    <row r="164" hidden="1" customHeight="1" spans="1:54">
      <c r="A164" s="49">
        <f>ROW()-4</f>
        <v>160</v>
      </c>
      <c r="B164" s="45" t="s">
        <v>67</v>
      </c>
      <c r="C164" s="50" t="s">
        <v>12</v>
      </c>
      <c r="D164" s="45"/>
      <c r="E164" s="45">
        <v>0</v>
      </c>
      <c r="F164" s="36">
        <f ca="1">SUMIF(I$3:$BB163,"入库",I164:$BB164)</f>
        <v>2300</v>
      </c>
      <c r="G164" s="45">
        <f ca="1">SUMIF(J$3:$BB163,"出库",J164:$BB164)</f>
        <v>200</v>
      </c>
      <c r="H164" s="37">
        <f ca="1" t="shared" si="2"/>
        <v>2100</v>
      </c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>
        <v>2300</v>
      </c>
      <c r="AB164" s="45"/>
      <c r="AC164" s="45"/>
      <c r="AD164" s="45">
        <v>200</v>
      </c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</row>
    <row r="165" hidden="1" customHeight="1" spans="1:54">
      <c r="A165" s="51"/>
      <c r="B165" s="45"/>
      <c r="C165" s="52" t="s">
        <v>13</v>
      </c>
      <c r="D165" s="45"/>
      <c r="E165" s="45">
        <v>0</v>
      </c>
      <c r="F165" s="36">
        <f ca="1">SUMIF(I$3:$BB164,"入库",I165:$BB165)</f>
        <v>300</v>
      </c>
      <c r="G165" s="45">
        <f ca="1">SUMIF(J$3:$BB164,"出库",J165:$BB165)</f>
        <v>0</v>
      </c>
      <c r="H165" s="37">
        <f ca="1" t="shared" si="2"/>
        <v>300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>
        <v>300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</row>
    <row r="166" hidden="1" customHeight="1" spans="1:54">
      <c r="A166" s="53"/>
      <c r="B166" s="45"/>
      <c r="C166" s="45" t="s">
        <v>14</v>
      </c>
      <c r="D166" s="45"/>
      <c r="E166" s="45">
        <v>0</v>
      </c>
      <c r="F166" s="36">
        <f ca="1">SUMIF(I$3:$BB165,"入库",I166:$BB166)</f>
        <v>0</v>
      </c>
      <c r="G166" s="45">
        <f ca="1">SUMIF(J$3:$BB165,"出库",J166:$BB166)</f>
        <v>0</v>
      </c>
      <c r="H166" s="37">
        <f ca="1" t="shared" si="2"/>
        <v>0</v>
      </c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</row>
    <row r="167" hidden="1" customHeight="1" spans="1:54">
      <c r="A167" s="49">
        <f>ROW()-4</f>
        <v>163</v>
      </c>
      <c r="B167" s="45" t="s">
        <v>68</v>
      </c>
      <c r="C167" s="50" t="s">
        <v>12</v>
      </c>
      <c r="D167" s="45"/>
      <c r="E167" s="45">
        <v>0</v>
      </c>
      <c r="F167" s="36">
        <f ca="1">SUMIF(I$3:$BB166,"入库",I167:$BB167)</f>
        <v>10800</v>
      </c>
      <c r="G167" s="45">
        <f ca="1">SUMIF(J$3:$BB166,"出库",J167:$BB167)</f>
        <v>100</v>
      </c>
      <c r="H167" s="37">
        <f ca="1" t="shared" si="2"/>
        <v>10700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>
        <v>10800</v>
      </c>
      <c r="AJ167" s="45">
        <v>100</v>
      </c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</row>
    <row r="168" hidden="1" customHeight="1" spans="1:54">
      <c r="A168" s="51"/>
      <c r="B168" s="45"/>
      <c r="C168" s="52" t="s">
        <v>13</v>
      </c>
      <c r="D168" s="45"/>
      <c r="E168" s="45">
        <v>0</v>
      </c>
      <c r="F168" s="36">
        <f ca="1">SUMIF(I$3:$BB167,"入库",I168:$BB168)</f>
        <v>100</v>
      </c>
      <c r="G168" s="45">
        <f ca="1">SUMIF(J$3:$BB167,"出库",J168:$BB168)</f>
        <v>100</v>
      </c>
      <c r="H168" s="37">
        <f ca="1" t="shared" si="2"/>
        <v>0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>
        <v>100</v>
      </c>
      <c r="AJ168" s="45">
        <v>100</v>
      </c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</row>
    <row r="169" hidden="1" customHeight="1" spans="1:54">
      <c r="A169" s="53"/>
      <c r="B169" s="45"/>
      <c r="C169" s="45" t="s">
        <v>14</v>
      </c>
      <c r="D169" s="45"/>
      <c r="E169" s="45">
        <v>0</v>
      </c>
      <c r="F169" s="36">
        <f ca="1">SUMIF(I$3:$BB168,"入库",I169:$BB169)</f>
        <v>750</v>
      </c>
      <c r="G169" s="45">
        <f ca="1">SUMIF(J$3:$BB168,"出库",J169:$BB169)</f>
        <v>100</v>
      </c>
      <c r="H169" s="37">
        <f ca="1" t="shared" si="2"/>
        <v>650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>
        <v>750</v>
      </c>
      <c r="AJ169" s="45">
        <v>100</v>
      </c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</row>
    <row r="170" customHeight="1" spans="1:54">
      <c r="A170" s="49">
        <f>ROW()-4</f>
        <v>166</v>
      </c>
      <c r="B170" s="45" t="s">
        <v>69</v>
      </c>
      <c r="C170" s="50" t="s">
        <v>12</v>
      </c>
      <c r="D170" s="45"/>
      <c r="E170" s="45">
        <v>0</v>
      </c>
      <c r="F170" s="36">
        <f ca="1">SUMIF(I$3:$BB169,"入库",I170:$BB170)</f>
        <v>0</v>
      </c>
      <c r="G170" s="45">
        <f ca="1">SUMIF(J$3:$BB169,"出库",J170:$BB170)</f>
        <v>0</v>
      </c>
      <c r="H170" s="37">
        <f ca="1" t="shared" si="2"/>
        <v>0</v>
      </c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</row>
    <row r="171" customHeight="1" spans="1:54">
      <c r="A171" s="51"/>
      <c r="B171" s="45"/>
      <c r="C171" s="52" t="s">
        <v>13</v>
      </c>
      <c r="D171" s="45"/>
      <c r="E171" s="45">
        <v>0</v>
      </c>
      <c r="F171" s="36">
        <f ca="1">SUMIF(I$3:$BB170,"入库",I171:$BB171)</f>
        <v>0</v>
      </c>
      <c r="G171" s="45">
        <f ca="1">SUMIF(J$3:$BB170,"出库",J171:$BB171)</f>
        <v>0</v>
      </c>
      <c r="H171" s="37">
        <f ca="1" t="shared" si="2"/>
        <v>0</v>
      </c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</row>
    <row r="172" customHeight="1" spans="1:54">
      <c r="A172" s="53"/>
      <c r="B172" s="45"/>
      <c r="C172" s="45" t="s">
        <v>14</v>
      </c>
      <c r="D172" s="45"/>
      <c r="E172" s="45">
        <v>0</v>
      </c>
      <c r="F172" s="36">
        <f ca="1">SUMIF(I$3:$BB171,"入库",I172:$BB172)</f>
        <v>25</v>
      </c>
      <c r="G172" s="45">
        <f ca="1">SUMIF(J$3:$BB171,"出库",J172:$BB172)</f>
        <v>0</v>
      </c>
      <c r="H172" s="37">
        <f ca="1" t="shared" si="2"/>
        <v>25</v>
      </c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>
        <v>25</v>
      </c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</row>
    <row r="173" hidden="1" customHeight="1" spans="1:54">
      <c r="A173" s="49">
        <f>ROW()-4</f>
        <v>169</v>
      </c>
      <c r="B173" s="45" t="s">
        <v>70</v>
      </c>
      <c r="C173" s="50" t="s">
        <v>12</v>
      </c>
      <c r="D173" s="45"/>
      <c r="E173" s="45">
        <v>0</v>
      </c>
      <c r="F173" s="36">
        <f ca="1">SUMIF(I$3:$BB172,"入库",I173:$BB173)</f>
        <v>5150</v>
      </c>
      <c r="G173" s="45">
        <f ca="1">SUMIF(J$3:$BB172,"出库",J173:$BB173)</f>
        <v>5</v>
      </c>
      <c r="H173" s="37">
        <f ca="1" t="shared" si="2"/>
        <v>5145</v>
      </c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>
        <v>5150</v>
      </c>
      <c r="AH173" s="45"/>
      <c r="AI173" s="45"/>
      <c r="AJ173" s="45">
        <v>5</v>
      </c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</row>
    <row r="174" hidden="1" customHeight="1" spans="1:54">
      <c r="A174" s="51"/>
      <c r="B174" s="45"/>
      <c r="C174" s="52" t="s">
        <v>13</v>
      </c>
      <c r="D174" s="45"/>
      <c r="E174" s="45">
        <v>0</v>
      </c>
      <c r="F174" s="36">
        <f ca="1">SUMIF(I$3:$BB173,"入库",I174:$BB174)</f>
        <v>200</v>
      </c>
      <c r="G174" s="45">
        <f ca="1">SUMIF(J$3:$BB173,"出库",J174:$BB174)</f>
        <v>0</v>
      </c>
      <c r="H174" s="37">
        <f ca="1" t="shared" si="2"/>
        <v>200</v>
      </c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>
        <v>200</v>
      </c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</row>
    <row r="175" hidden="1" customHeight="1" spans="1:54">
      <c r="A175" s="53"/>
      <c r="B175" s="45"/>
      <c r="C175" s="45" t="s">
        <v>14</v>
      </c>
      <c r="D175" s="45"/>
      <c r="E175" s="45">
        <v>0</v>
      </c>
      <c r="F175" s="36">
        <f ca="1">SUMIF(I$3:$BB174,"入库",I175:$BB175)</f>
        <v>0</v>
      </c>
      <c r="G175" s="45">
        <f ca="1">SUMIF(J$3:$BB174,"出库",J175:$BB175)</f>
        <v>0</v>
      </c>
      <c r="H175" s="37">
        <f ca="1" t="shared" si="2"/>
        <v>0</v>
      </c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</row>
    <row r="176" hidden="1" customHeight="1" spans="1:54">
      <c r="A176" s="49">
        <f>ROW()-4</f>
        <v>172</v>
      </c>
      <c r="B176" s="45" t="s">
        <v>71</v>
      </c>
      <c r="C176" s="50" t="s">
        <v>12</v>
      </c>
      <c r="D176" s="45"/>
      <c r="E176" s="45">
        <v>0</v>
      </c>
      <c r="F176" s="36">
        <f ca="1">SUMIF(I$3:$BB175,"入库",I176:$BB176)</f>
        <v>7000</v>
      </c>
      <c r="G176" s="45">
        <f ca="1">SUMIF(J$3:$BB175,"出库",J176:$BB176)</f>
        <v>0</v>
      </c>
      <c r="H176" s="37">
        <f ca="1" t="shared" si="2"/>
        <v>7000</v>
      </c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>
        <v>7000</v>
      </c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</row>
    <row r="177" hidden="1" customHeight="1" spans="1:54">
      <c r="A177" s="51"/>
      <c r="B177" s="45"/>
      <c r="C177" s="52" t="s">
        <v>13</v>
      </c>
      <c r="D177" s="45"/>
      <c r="E177" s="45">
        <v>0</v>
      </c>
      <c r="F177" s="36">
        <f ca="1">SUMIF(I$3:$BB176,"入库",I177:$BB177)</f>
        <v>40</v>
      </c>
      <c r="G177" s="45">
        <f ca="1">SUMIF(J$3:$BB176,"出库",J177:$BB177)</f>
        <v>0</v>
      </c>
      <c r="H177" s="37">
        <f ca="1" t="shared" si="2"/>
        <v>40</v>
      </c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>
        <v>40</v>
      </c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</row>
    <row r="178" hidden="1" customHeight="1" spans="1:54">
      <c r="A178" s="53"/>
      <c r="B178" s="45"/>
      <c r="C178" s="45" t="s">
        <v>14</v>
      </c>
      <c r="D178" s="45"/>
      <c r="E178" s="45">
        <v>0</v>
      </c>
      <c r="F178" s="36">
        <f ca="1">SUMIF(I$3:$BB177,"入库",I178:$BB178)</f>
        <v>0</v>
      </c>
      <c r="G178" s="45">
        <f ca="1">SUMIF(J$3:$BB177,"出库",J178:$BB178)</f>
        <v>0</v>
      </c>
      <c r="H178" s="37">
        <f ca="1" t="shared" si="2"/>
        <v>0</v>
      </c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</row>
    <row r="179" hidden="1" customHeight="1" spans="1:54">
      <c r="A179" s="49">
        <f>ROW()-4</f>
        <v>175</v>
      </c>
      <c r="B179" s="45" t="s">
        <v>72</v>
      </c>
      <c r="C179" s="50" t="s">
        <v>12</v>
      </c>
      <c r="D179" s="45"/>
      <c r="E179" s="45">
        <v>0</v>
      </c>
      <c r="F179" s="36">
        <f ca="1">SUMIF(I$3:$BB178,"入库",I179:$BB179)</f>
        <v>1550</v>
      </c>
      <c r="G179" s="45">
        <f ca="1">SUMIF(J$3:$BB178,"出库",J179:$BB179)</f>
        <v>150</v>
      </c>
      <c r="H179" s="37">
        <f ca="1" t="shared" si="2"/>
        <v>1400</v>
      </c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>
        <v>1550</v>
      </c>
      <c r="AD179" s="45"/>
      <c r="AE179" s="45"/>
      <c r="AF179" s="45"/>
      <c r="AG179" s="45"/>
      <c r="AH179" s="45">
        <v>150</v>
      </c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</row>
    <row r="180" hidden="1" customHeight="1" spans="1:54">
      <c r="A180" s="51"/>
      <c r="B180" s="45"/>
      <c r="C180" s="52" t="s">
        <v>13</v>
      </c>
      <c r="D180" s="45"/>
      <c r="E180" s="45">
        <v>0</v>
      </c>
      <c r="F180" s="36">
        <f ca="1">SUMIF(I$3:$BB179,"入库",I180:$BB180)</f>
        <v>20</v>
      </c>
      <c r="G180" s="45">
        <f ca="1">SUMIF(J$3:$BB179,"出库",J180:$BB180)</f>
        <v>0</v>
      </c>
      <c r="H180" s="37">
        <f ca="1" t="shared" si="2"/>
        <v>20</v>
      </c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>
        <v>20</v>
      </c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</row>
    <row r="181" hidden="1" customHeight="1" spans="1:54">
      <c r="A181" s="53"/>
      <c r="B181" s="45"/>
      <c r="C181" s="45" t="s">
        <v>14</v>
      </c>
      <c r="D181" s="45"/>
      <c r="E181" s="45">
        <v>0</v>
      </c>
      <c r="F181" s="36">
        <f ca="1">SUMIF(I$3:$BB180,"入库",I181:$BB181)</f>
        <v>40</v>
      </c>
      <c r="G181" s="45">
        <f ca="1">SUMIF(J$3:$BB180,"出库",J181:$BB181)</f>
        <v>0</v>
      </c>
      <c r="H181" s="37">
        <f ca="1" t="shared" si="2"/>
        <v>40</v>
      </c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>
        <v>40</v>
      </c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</row>
    <row r="182" hidden="1" customHeight="1" spans="1:54">
      <c r="A182" s="49">
        <f>ROW()-4</f>
        <v>178</v>
      </c>
      <c r="B182" s="45" t="s">
        <v>73</v>
      </c>
      <c r="C182" s="50" t="s">
        <v>12</v>
      </c>
      <c r="D182" s="45"/>
      <c r="E182" s="45">
        <v>0</v>
      </c>
      <c r="F182" s="36">
        <f ca="1">SUMIF(I$3:$BB181,"入库",I182:$BB182)</f>
        <v>4200</v>
      </c>
      <c r="G182" s="45">
        <f ca="1">SUMIF(J$3:$BB181,"出库",J182:$BB182)</f>
        <v>101</v>
      </c>
      <c r="H182" s="37">
        <f ca="1" t="shared" si="2"/>
        <v>4099</v>
      </c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>
        <v>4200</v>
      </c>
      <c r="AF182" s="45"/>
      <c r="AG182" s="45"/>
      <c r="AH182" s="45"/>
      <c r="AI182" s="45"/>
      <c r="AJ182" s="45">
        <v>101</v>
      </c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</row>
    <row r="183" hidden="1" customHeight="1" spans="1:54">
      <c r="A183" s="51"/>
      <c r="B183" s="45"/>
      <c r="C183" s="52" t="s">
        <v>13</v>
      </c>
      <c r="D183" s="45"/>
      <c r="E183" s="45">
        <v>0</v>
      </c>
      <c r="F183" s="36">
        <f ca="1">SUMIF(I$3:$BB182,"入库",I183:$BB183)</f>
        <v>0</v>
      </c>
      <c r="G183" s="45">
        <f ca="1">SUMIF(J$3:$BB182,"出库",J183:$BB183)</f>
        <v>0</v>
      </c>
      <c r="H183" s="37">
        <f ca="1" t="shared" si="2"/>
        <v>0</v>
      </c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</row>
    <row r="184" hidden="1" customHeight="1" spans="1:54">
      <c r="A184" s="53"/>
      <c r="B184" s="45"/>
      <c r="C184" s="45" t="s">
        <v>14</v>
      </c>
      <c r="D184" s="45"/>
      <c r="E184" s="45">
        <v>0</v>
      </c>
      <c r="F184" s="36">
        <f ca="1">SUMIF(I$3:$BB183,"入库",I184:$BB184)</f>
        <v>50</v>
      </c>
      <c r="G184" s="45">
        <f ca="1">SUMIF(J$3:$BB183,"出库",J184:$BB184)</f>
        <v>0</v>
      </c>
      <c r="H184" s="37">
        <f ca="1" t="shared" si="2"/>
        <v>50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>
        <v>50</v>
      </c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</row>
    <row r="185" hidden="1" customHeight="1" spans="1:54">
      <c r="A185" s="49">
        <f>ROW()-4</f>
        <v>181</v>
      </c>
      <c r="B185" s="45" t="s">
        <v>74</v>
      </c>
      <c r="C185" s="50" t="s">
        <v>12</v>
      </c>
      <c r="D185" s="45"/>
      <c r="E185" s="45">
        <v>0</v>
      </c>
      <c r="F185" s="36">
        <f ca="1">SUMIF(I$3:$BB184,"入库",I185:$BB185)</f>
        <v>1500</v>
      </c>
      <c r="G185" s="45">
        <f ca="1">SUMIF(J$3:$BB184,"出库",J185:$BB185)</f>
        <v>100</v>
      </c>
      <c r="H185" s="37">
        <f ca="1" t="shared" si="2"/>
        <v>1400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>
        <v>1500</v>
      </c>
      <c r="AB185" s="45"/>
      <c r="AC185" s="45"/>
      <c r="AD185" s="45"/>
      <c r="AE185" s="45"/>
      <c r="AF185" s="45"/>
      <c r="AG185" s="45"/>
      <c r="AH185" s="45">
        <v>100</v>
      </c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</row>
    <row r="186" hidden="1" customHeight="1" spans="1:54">
      <c r="A186" s="51"/>
      <c r="B186" s="45"/>
      <c r="C186" s="52" t="s">
        <v>13</v>
      </c>
      <c r="D186" s="45"/>
      <c r="E186" s="45">
        <v>0</v>
      </c>
      <c r="F186" s="36">
        <f ca="1">SUMIF(I$3:$BB185,"入库",I186:$BB186)</f>
        <v>20</v>
      </c>
      <c r="G186" s="45">
        <f ca="1">SUMIF(J$3:$BB185,"出库",J186:$BB186)</f>
        <v>0</v>
      </c>
      <c r="H186" s="37">
        <f ca="1" t="shared" si="2"/>
        <v>20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>
        <v>20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</row>
    <row r="187" hidden="1" customHeight="1" spans="1:54">
      <c r="A187" s="53"/>
      <c r="B187" s="45"/>
      <c r="C187" s="45" t="s">
        <v>14</v>
      </c>
      <c r="D187" s="45"/>
      <c r="E187" s="45">
        <v>0</v>
      </c>
      <c r="F187" s="36">
        <f ca="1">SUMIF(I$3:$BB186,"入库",I187:$BB187)</f>
        <v>500</v>
      </c>
      <c r="G187" s="45">
        <f ca="1">SUMIF(J$3:$BB186,"出库",J187:$BB187)</f>
        <v>0</v>
      </c>
      <c r="H187" s="37">
        <f ca="1" t="shared" si="2"/>
        <v>500</v>
      </c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>
        <v>500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</row>
    <row r="188" hidden="1" customHeight="1" spans="1:54">
      <c r="A188" s="49">
        <f>ROW()-4</f>
        <v>184</v>
      </c>
      <c r="B188" s="45" t="s">
        <v>75</v>
      </c>
      <c r="C188" s="50" t="s">
        <v>12</v>
      </c>
      <c r="D188" s="45"/>
      <c r="E188" s="45">
        <v>0</v>
      </c>
      <c r="F188" s="36">
        <f ca="1">SUMIF(I$3:$BB187,"入库",I188:$BB188)</f>
        <v>3810</v>
      </c>
      <c r="G188" s="45">
        <f ca="1">SUMIF(J$3:$BB187,"出库",J188:$BB188)</f>
        <v>21</v>
      </c>
      <c r="H188" s="37">
        <f ca="1" t="shared" si="2"/>
        <v>3789</v>
      </c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>
        <v>3810</v>
      </c>
      <c r="AB188" s="45"/>
      <c r="AC188" s="45"/>
      <c r="AD188" s="45">
        <v>21</v>
      </c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</row>
    <row r="189" hidden="1" customHeight="1" spans="1:54">
      <c r="A189" s="51"/>
      <c r="B189" s="45"/>
      <c r="C189" s="52" t="s">
        <v>13</v>
      </c>
      <c r="D189" s="45"/>
      <c r="E189" s="45">
        <v>0</v>
      </c>
      <c r="F189" s="36">
        <f ca="1">SUMIF(I$3:$BB188,"入库",I189:$BB189)</f>
        <v>20</v>
      </c>
      <c r="G189" s="45">
        <f ca="1">SUMIF(J$3:$BB188,"出库",J189:$BB189)</f>
        <v>0</v>
      </c>
      <c r="H189" s="37">
        <f ca="1" t="shared" si="2"/>
        <v>20</v>
      </c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>
        <v>20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</row>
    <row r="190" hidden="1" customHeight="1" spans="1:54">
      <c r="A190" s="53"/>
      <c r="B190" s="45"/>
      <c r="C190" s="45" t="s">
        <v>14</v>
      </c>
      <c r="D190" s="45"/>
      <c r="E190" s="45">
        <v>0</v>
      </c>
      <c r="F190" s="36">
        <f ca="1">SUMIF(I$3:$BB189,"入库",I190:$BB190)</f>
        <v>930</v>
      </c>
      <c r="G190" s="45">
        <f ca="1">SUMIF(J$3:$BB189,"出库",J190:$BB190)</f>
        <v>0</v>
      </c>
      <c r="H190" s="37">
        <f ca="1" t="shared" si="2"/>
        <v>930</v>
      </c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>
        <v>930</v>
      </c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</row>
    <row r="191" hidden="1" customHeight="1" spans="1:54">
      <c r="A191" s="49">
        <f>ROW()-4</f>
        <v>187</v>
      </c>
      <c r="B191" s="45" t="s">
        <v>76</v>
      </c>
      <c r="C191" s="50" t="s">
        <v>12</v>
      </c>
      <c r="D191" s="45"/>
      <c r="E191" s="45">
        <v>0</v>
      </c>
      <c r="F191" s="36">
        <f ca="1">SUMIF(I$3:$BB190,"入库",I191:$BB191)</f>
        <v>800</v>
      </c>
      <c r="G191" s="45">
        <f ca="1">SUMIF(J$3:$BB190,"出库",J191:$BB191)</f>
        <v>400</v>
      </c>
      <c r="H191" s="37">
        <f ca="1" t="shared" si="2"/>
        <v>400</v>
      </c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>
        <v>800</v>
      </c>
      <c r="AB191" s="45"/>
      <c r="AC191" s="45"/>
      <c r="AD191" s="45">
        <v>200</v>
      </c>
      <c r="AE191" s="45"/>
      <c r="AF191" s="45"/>
      <c r="AG191" s="45"/>
      <c r="AH191" s="45">
        <v>200</v>
      </c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</row>
    <row r="192" hidden="1" customHeight="1" spans="1:54">
      <c r="A192" s="51"/>
      <c r="B192" s="45"/>
      <c r="C192" s="52" t="s">
        <v>13</v>
      </c>
      <c r="D192" s="45"/>
      <c r="E192" s="45">
        <v>0</v>
      </c>
      <c r="F192" s="36">
        <f ca="1">SUMIF(I$3:$BB191,"入库",I192:$BB192)</f>
        <v>0</v>
      </c>
      <c r="G192" s="45">
        <f ca="1">SUMIF(J$3:$BB191,"出库",J192:$BB192)</f>
        <v>0</v>
      </c>
      <c r="H192" s="37">
        <f ca="1" t="shared" si="2"/>
        <v>0</v>
      </c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</row>
    <row r="193" hidden="1" customHeight="1" spans="1:54">
      <c r="A193" s="53"/>
      <c r="B193" s="45"/>
      <c r="C193" s="45" t="s">
        <v>14</v>
      </c>
      <c r="D193" s="45"/>
      <c r="E193" s="45">
        <v>0</v>
      </c>
      <c r="F193" s="36">
        <f ca="1">SUMIF(I$3:$BB192,"入库",I193:$BB193)</f>
        <v>140</v>
      </c>
      <c r="G193" s="45">
        <f ca="1">SUMIF(J$3:$BB192,"出库",J193:$BB193)</f>
        <v>0</v>
      </c>
      <c r="H193" s="37">
        <f ca="1" t="shared" si="2"/>
        <v>140</v>
      </c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>
        <v>140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</row>
    <row r="194" hidden="1" customHeight="1" spans="1:54">
      <c r="A194" s="49">
        <f>ROW()-4</f>
        <v>190</v>
      </c>
      <c r="B194" s="45" t="s">
        <v>77</v>
      </c>
      <c r="C194" s="50" t="s">
        <v>12</v>
      </c>
      <c r="D194" s="45"/>
      <c r="E194" s="45">
        <v>0</v>
      </c>
      <c r="F194" s="36">
        <f ca="1">SUMIF(I$3:$BB193,"入库",I194:$BB194)</f>
        <v>3550</v>
      </c>
      <c r="G194" s="45">
        <f ca="1">SUMIF(J$3:$BB193,"出库",J194:$BB194)</f>
        <v>100</v>
      </c>
      <c r="H194" s="37">
        <f ca="1" t="shared" si="2"/>
        <v>3450</v>
      </c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>
        <v>3550</v>
      </c>
      <c r="AJ194" s="45">
        <v>100</v>
      </c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</row>
    <row r="195" hidden="1" customHeight="1" spans="1:54">
      <c r="A195" s="51"/>
      <c r="B195" s="45"/>
      <c r="C195" s="52" t="s">
        <v>13</v>
      </c>
      <c r="D195" s="45"/>
      <c r="E195" s="45">
        <v>0</v>
      </c>
      <c r="F195" s="36">
        <f ca="1">SUMIF(I$3:$BB194,"入库",I195:$BB195)</f>
        <v>4030</v>
      </c>
      <c r="G195" s="45">
        <f ca="1">SUMIF(J$3:$BB194,"出库",J195:$BB195)</f>
        <v>0</v>
      </c>
      <c r="H195" s="37">
        <f ca="1" t="shared" si="2"/>
        <v>4030</v>
      </c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>
        <v>4030</v>
      </c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</row>
    <row r="196" hidden="1" customHeight="1" spans="1:54">
      <c r="A196" s="53"/>
      <c r="B196" s="45"/>
      <c r="C196" s="45" t="s">
        <v>14</v>
      </c>
      <c r="D196" s="45"/>
      <c r="E196" s="45">
        <v>0</v>
      </c>
      <c r="F196" s="36">
        <f ca="1">SUMIF(I$3:$BB195,"入库",I196:$BB196)</f>
        <v>120</v>
      </c>
      <c r="G196" s="45">
        <f ca="1">SUMIF(J$3:$BB195,"出库",J196:$BB196)</f>
        <v>0</v>
      </c>
      <c r="H196" s="37">
        <f ca="1" t="shared" si="2"/>
        <v>120</v>
      </c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>
        <v>120</v>
      </c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</row>
    <row r="197" hidden="1" customHeight="1" spans="1:54">
      <c r="A197" s="49">
        <f>ROW()-4</f>
        <v>193</v>
      </c>
      <c r="B197" s="45" t="s">
        <v>79</v>
      </c>
      <c r="C197" s="50" t="s">
        <v>12</v>
      </c>
      <c r="D197" s="45"/>
      <c r="E197" s="45">
        <v>0</v>
      </c>
      <c r="F197" s="36">
        <f ca="1">SUMIF(I$3:$BB196,"入库",I197:$BB197)</f>
        <v>3000</v>
      </c>
      <c r="G197" s="45">
        <f ca="1">SUMIF(J$3:$BB196,"出库",J197:$BB197)</f>
        <v>0</v>
      </c>
      <c r="H197" s="37">
        <f ca="1" t="shared" ref="H197:H260" si="3">E197+F197-G197</f>
        <v>3000</v>
      </c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>
        <v>3000</v>
      </c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</row>
    <row r="198" hidden="1" customHeight="1" spans="1:54">
      <c r="A198" s="51"/>
      <c r="B198" s="45"/>
      <c r="C198" s="52" t="s">
        <v>13</v>
      </c>
      <c r="D198" s="45"/>
      <c r="E198" s="45">
        <v>0</v>
      </c>
      <c r="F198" s="36">
        <f ca="1">SUMIF(I$3:$BB197,"入库",I198:$BB198)</f>
        <v>0</v>
      </c>
      <c r="G198" s="45">
        <f ca="1">SUMIF(J$3:$BB197,"出库",J198:$BB198)</f>
        <v>0</v>
      </c>
      <c r="H198" s="37">
        <f ca="1" t="shared" si="3"/>
        <v>0</v>
      </c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</row>
    <row r="199" hidden="1" customHeight="1" spans="1:54">
      <c r="A199" s="53"/>
      <c r="B199" s="45"/>
      <c r="C199" s="45" t="s">
        <v>14</v>
      </c>
      <c r="D199" s="45"/>
      <c r="E199" s="45">
        <v>0</v>
      </c>
      <c r="F199" s="36">
        <f ca="1">SUMIF(I$3:$BB198,"入库",I199:$BB199)</f>
        <v>0</v>
      </c>
      <c r="G199" s="45">
        <f ca="1">SUMIF(J$3:$BB198,"出库",J199:$BB199)</f>
        <v>0</v>
      </c>
      <c r="H199" s="37">
        <f ca="1" t="shared" si="3"/>
        <v>0</v>
      </c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</row>
    <row r="200" hidden="1" customHeight="1" spans="1:54">
      <c r="A200" s="49">
        <f>ROW()-4</f>
        <v>196</v>
      </c>
      <c r="B200" s="45" t="s">
        <v>80</v>
      </c>
      <c r="C200" s="50" t="s">
        <v>12</v>
      </c>
      <c r="D200" s="45"/>
      <c r="E200" s="45">
        <v>0</v>
      </c>
      <c r="F200" s="36">
        <f ca="1">SUMIF(I$3:$BB199,"入库",I200:$BB200)</f>
        <v>3750</v>
      </c>
      <c r="G200" s="45">
        <f ca="1">SUMIF(J$3:$BB199,"出库",J200:$BB200)</f>
        <v>308</v>
      </c>
      <c r="H200" s="37">
        <f ca="1" t="shared" si="3"/>
        <v>3442</v>
      </c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>
        <v>3750</v>
      </c>
      <c r="AH200" s="45"/>
      <c r="AI200" s="45"/>
      <c r="AJ200" s="45">
        <v>308</v>
      </c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</row>
    <row r="201" hidden="1" customHeight="1" spans="1:54">
      <c r="A201" s="51"/>
      <c r="B201" s="45"/>
      <c r="C201" s="52" t="s">
        <v>13</v>
      </c>
      <c r="D201" s="45"/>
      <c r="E201" s="45">
        <v>0</v>
      </c>
      <c r="F201" s="36">
        <f ca="1">SUMIF(I$3:$BB200,"入库",I201:$BB201)</f>
        <v>50</v>
      </c>
      <c r="G201" s="45">
        <f ca="1">SUMIF(J$3:$BB200,"出库",J201:$BB201)</f>
        <v>0</v>
      </c>
      <c r="H201" s="37">
        <f ca="1" t="shared" si="3"/>
        <v>50</v>
      </c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>
        <v>50</v>
      </c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</row>
    <row r="202" hidden="1" customHeight="1" spans="1:54">
      <c r="A202" s="53"/>
      <c r="B202" s="45"/>
      <c r="C202" s="45" t="s">
        <v>14</v>
      </c>
      <c r="D202" s="45"/>
      <c r="E202" s="45">
        <v>0</v>
      </c>
      <c r="F202" s="36">
        <f ca="1">SUMIF(I$3:$BB201,"入库",I202:$BB202)</f>
        <v>0</v>
      </c>
      <c r="G202" s="45">
        <f ca="1">SUMIF(J$3:$BB201,"出库",J202:$BB202)</f>
        <v>0</v>
      </c>
      <c r="H202" s="37">
        <f ca="1" t="shared" si="3"/>
        <v>0</v>
      </c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</row>
    <row r="203" hidden="1" customHeight="1" spans="1:54">
      <c r="A203" s="49">
        <f>ROW()-4</f>
        <v>199</v>
      </c>
      <c r="B203" s="45" t="s">
        <v>81</v>
      </c>
      <c r="C203" s="50" t="s">
        <v>12</v>
      </c>
      <c r="D203" s="45"/>
      <c r="E203" s="45">
        <v>0</v>
      </c>
      <c r="F203" s="36">
        <f ca="1">SUMIF(I$3:$BB202,"入库",I203:$BB203)</f>
        <v>5300</v>
      </c>
      <c r="G203" s="45">
        <f ca="1">SUMIF(J$3:$BB202,"出库",J203:$BB203)</f>
        <v>880</v>
      </c>
      <c r="H203" s="37">
        <f ca="1" t="shared" si="3"/>
        <v>4420</v>
      </c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>
        <v>5300</v>
      </c>
      <c r="AD203" s="45"/>
      <c r="AE203" s="45"/>
      <c r="AF203" s="45"/>
      <c r="AG203" s="45"/>
      <c r="AH203" s="45">
        <v>200</v>
      </c>
      <c r="AI203" s="45"/>
      <c r="AJ203" s="45">
        <v>620</v>
      </c>
      <c r="AK203" s="45"/>
      <c r="AL203" s="45">
        <v>60</v>
      </c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</row>
    <row r="204" hidden="1" customHeight="1" spans="1:54">
      <c r="A204" s="51"/>
      <c r="B204" s="45"/>
      <c r="C204" s="52" t="s">
        <v>13</v>
      </c>
      <c r="D204" s="45"/>
      <c r="E204" s="45">
        <v>0</v>
      </c>
      <c r="F204" s="36">
        <f ca="1">SUMIF(I$3:$BB203,"入库",I204:$BB204)</f>
        <v>15</v>
      </c>
      <c r="G204" s="45">
        <f ca="1">SUMIF(J$3:$BB203,"出库",J204:$BB204)</f>
        <v>0</v>
      </c>
      <c r="H204" s="37">
        <f ca="1" t="shared" si="3"/>
        <v>15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>
        <v>15</v>
      </c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</row>
    <row r="205" hidden="1" customHeight="1" spans="1:54">
      <c r="A205" s="53"/>
      <c r="B205" s="45"/>
      <c r="C205" s="45" t="s">
        <v>14</v>
      </c>
      <c r="D205" s="45"/>
      <c r="E205" s="45">
        <v>0</v>
      </c>
      <c r="F205" s="36">
        <f ca="1">SUMIF(I$3:$BB204,"入库",I205:$BB205)</f>
        <v>0</v>
      </c>
      <c r="G205" s="45">
        <f ca="1">SUMIF(J$3:$BB204,"出库",J205:$BB205)</f>
        <v>0</v>
      </c>
      <c r="H205" s="37">
        <f ca="1" t="shared" si="3"/>
        <v>0</v>
      </c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</row>
    <row r="206" hidden="1" customHeight="1" spans="1:54">
      <c r="A206" s="49">
        <f>ROW()-4</f>
        <v>202</v>
      </c>
      <c r="B206" s="45" t="s">
        <v>82</v>
      </c>
      <c r="C206" s="50" t="s">
        <v>12</v>
      </c>
      <c r="D206" s="45"/>
      <c r="E206" s="45">
        <v>0</v>
      </c>
      <c r="F206" s="36">
        <f ca="1">SUMIF(I$3:$BB205,"入库",I206:$BB206)</f>
        <v>2500</v>
      </c>
      <c r="G206" s="45">
        <f ca="1">SUMIF(J$3:$BB205,"出库",J206:$BB206)</f>
        <v>500</v>
      </c>
      <c r="H206" s="37">
        <f ca="1" t="shared" si="3"/>
        <v>2000</v>
      </c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>
        <v>2500</v>
      </c>
      <c r="AD206" s="45"/>
      <c r="AE206" s="45"/>
      <c r="AF206" s="45"/>
      <c r="AG206" s="45"/>
      <c r="AH206" s="45"/>
      <c r="AI206" s="45"/>
      <c r="AJ206" s="45">
        <v>500</v>
      </c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</row>
    <row r="207" hidden="1" customHeight="1" spans="1:54">
      <c r="A207" s="51"/>
      <c r="B207" s="45"/>
      <c r="C207" s="52" t="s">
        <v>13</v>
      </c>
      <c r="D207" s="45"/>
      <c r="E207" s="45">
        <v>0</v>
      </c>
      <c r="F207" s="36">
        <f ca="1">SUMIF(I$3:$BB206,"入库",I207:$BB207)</f>
        <v>10</v>
      </c>
      <c r="G207" s="45">
        <f ca="1">SUMIF(J$3:$BB206,"出库",J207:$BB207)</f>
        <v>0</v>
      </c>
      <c r="H207" s="37">
        <f ca="1" t="shared" si="3"/>
        <v>10</v>
      </c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>
        <v>10</v>
      </c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</row>
    <row r="208" hidden="1" customHeight="1" spans="1:54">
      <c r="A208" s="53"/>
      <c r="B208" s="45"/>
      <c r="C208" s="45" t="s">
        <v>14</v>
      </c>
      <c r="D208" s="45"/>
      <c r="E208" s="45">
        <v>0</v>
      </c>
      <c r="F208" s="36">
        <f ca="1">SUMIF(I$3:$BB207,"入库",I208:$BB208)</f>
        <v>0</v>
      </c>
      <c r="G208" s="45">
        <f ca="1">SUMIF(J$3:$BB207,"出库",J208:$BB208)</f>
        <v>0</v>
      </c>
      <c r="H208" s="37">
        <f ca="1" t="shared" si="3"/>
        <v>0</v>
      </c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</row>
    <row r="209" hidden="1" customHeight="1" spans="1:54">
      <c r="A209" s="49">
        <f>ROW()-4</f>
        <v>205</v>
      </c>
      <c r="B209" s="45" t="s">
        <v>83</v>
      </c>
      <c r="C209" s="50" t="s">
        <v>12</v>
      </c>
      <c r="D209" s="45"/>
      <c r="E209" s="45">
        <v>0</v>
      </c>
      <c r="F209" s="36">
        <f ca="1">SUMIF(I$3:$BB208,"入库",I209:$BB209)</f>
        <v>1200</v>
      </c>
      <c r="G209" s="45">
        <f ca="1">SUMIF(J$3:$BB208,"出库",J209:$BB209)</f>
        <v>509</v>
      </c>
      <c r="H209" s="37">
        <f ca="1" t="shared" si="3"/>
        <v>691</v>
      </c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>
        <v>1200</v>
      </c>
      <c r="AD209" s="45">
        <v>71</v>
      </c>
      <c r="AE209" s="45"/>
      <c r="AF209" s="45"/>
      <c r="AG209" s="45"/>
      <c r="AH209" s="45">
        <v>120</v>
      </c>
      <c r="AI209" s="45"/>
      <c r="AJ209" s="45">
        <v>318</v>
      </c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</row>
    <row r="210" hidden="1" customHeight="1" spans="1:54">
      <c r="A210" s="51"/>
      <c r="B210" s="45"/>
      <c r="C210" s="52" t="s">
        <v>13</v>
      </c>
      <c r="D210" s="45"/>
      <c r="E210" s="45">
        <v>0</v>
      </c>
      <c r="F210" s="36">
        <f ca="1">SUMIF(I$3:$BB209,"入库",I210:$BB210)</f>
        <v>0</v>
      </c>
      <c r="G210" s="45">
        <f ca="1">SUMIF(J$3:$BB209,"出库",J210:$BB210)</f>
        <v>0</v>
      </c>
      <c r="H210" s="37">
        <f ca="1" t="shared" si="3"/>
        <v>0</v>
      </c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</row>
    <row r="211" hidden="1" customHeight="1" spans="1:54">
      <c r="A211" s="53"/>
      <c r="B211" s="45"/>
      <c r="C211" s="45" t="s">
        <v>14</v>
      </c>
      <c r="D211" s="45"/>
      <c r="E211" s="45">
        <v>0</v>
      </c>
      <c r="F211" s="36">
        <f ca="1">SUMIF(I$3:$BB210,"入库",I211:$BB211)</f>
        <v>100</v>
      </c>
      <c r="G211" s="45">
        <f ca="1">SUMIF(J$3:$BB210,"出库",J211:$BB211)</f>
        <v>0</v>
      </c>
      <c r="H211" s="37">
        <f ca="1" t="shared" si="3"/>
        <v>100</v>
      </c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>
        <v>100</v>
      </c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</row>
    <row r="212" hidden="1" customHeight="1" spans="1:54">
      <c r="A212" s="49">
        <f>ROW()-4</f>
        <v>208</v>
      </c>
      <c r="B212" s="45" t="s">
        <v>84</v>
      </c>
      <c r="C212" s="50" t="s">
        <v>12</v>
      </c>
      <c r="D212" s="45"/>
      <c r="E212" s="45">
        <v>0</v>
      </c>
      <c r="F212" s="36">
        <f ca="1">SUMIF(I$3:$BB211,"入库",I212:$BB212)</f>
        <v>1160</v>
      </c>
      <c r="G212" s="45">
        <f ca="1">SUMIF(J$3:$BB211,"出库",J212:$BB212)</f>
        <v>350</v>
      </c>
      <c r="H212" s="37">
        <f ca="1" t="shared" si="3"/>
        <v>810</v>
      </c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>
        <v>1160</v>
      </c>
      <c r="AB212" s="45"/>
      <c r="AC212" s="45"/>
      <c r="AD212" s="45"/>
      <c r="AE212" s="45"/>
      <c r="AF212" s="45"/>
      <c r="AG212" s="45"/>
      <c r="AH212" s="45">
        <v>350</v>
      </c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</row>
    <row r="213" hidden="1" customHeight="1" spans="1:54">
      <c r="A213" s="51"/>
      <c r="B213" s="45"/>
      <c r="C213" s="52" t="s">
        <v>13</v>
      </c>
      <c r="D213" s="45"/>
      <c r="E213" s="45">
        <v>0</v>
      </c>
      <c r="F213" s="36">
        <f ca="1">SUMIF(I$3:$BB212,"入库",I213:$BB213)</f>
        <v>20</v>
      </c>
      <c r="G213" s="45">
        <f ca="1">SUMIF(J$3:$BB212,"出库",J213:$BB213)</f>
        <v>0</v>
      </c>
      <c r="H213" s="37">
        <f ca="1" t="shared" si="3"/>
        <v>20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>
        <v>20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</row>
    <row r="214" hidden="1" customHeight="1" spans="1:54">
      <c r="A214" s="53"/>
      <c r="B214" s="45"/>
      <c r="C214" s="45" t="s">
        <v>14</v>
      </c>
      <c r="D214" s="45"/>
      <c r="E214" s="45">
        <v>0</v>
      </c>
      <c r="F214" s="36">
        <f ca="1">SUMIF(I$3:$BB213,"入库",I214:$BB214)</f>
        <v>60</v>
      </c>
      <c r="G214" s="45">
        <f ca="1">SUMIF(J$3:$BB213,"出库",J214:$BB214)</f>
        <v>0</v>
      </c>
      <c r="H214" s="37">
        <f ca="1" t="shared" si="3"/>
        <v>60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>
        <v>60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</row>
    <row r="215" hidden="1" customHeight="1" spans="1:54">
      <c r="A215" s="49">
        <f>ROW()-4</f>
        <v>211</v>
      </c>
      <c r="B215" s="45" t="s">
        <v>85</v>
      </c>
      <c r="C215" s="50" t="s">
        <v>12</v>
      </c>
      <c r="D215" s="45"/>
      <c r="E215" s="45">
        <v>0</v>
      </c>
      <c r="F215" s="36">
        <f ca="1">SUMIF(I$3:$BB214,"入库",I215:$BB215)</f>
        <v>2110</v>
      </c>
      <c r="G215" s="45">
        <f ca="1">SUMIF(J$3:$BB214,"出库",J215:$BB215)</f>
        <v>50</v>
      </c>
      <c r="H215" s="37">
        <f ca="1" t="shared" si="3"/>
        <v>2060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>
        <v>2110</v>
      </c>
      <c r="AB215" s="45"/>
      <c r="AC215" s="45"/>
      <c r="AD215" s="45"/>
      <c r="AE215" s="45"/>
      <c r="AF215" s="45"/>
      <c r="AG215" s="45"/>
      <c r="AH215" s="45">
        <v>50</v>
      </c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</row>
    <row r="216" hidden="1" customHeight="1" spans="1:54">
      <c r="A216" s="51"/>
      <c r="B216" s="45"/>
      <c r="C216" s="52" t="s">
        <v>13</v>
      </c>
      <c r="D216" s="45"/>
      <c r="E216" s="45">
        <v>0</v>
      </c>
      <c r="F216" s="36">
        <f ca="1">SUMIF(I$3:$BB215,"入库",I216:$BB216)</f>
        <v>550</v>
      </c>
      <c r="G216" s="45">
        <f ca="1">SUMIF(J$3:$BB215,"出库",J216:$BB216)</f>
        <v>0</v>
      </c>
      <c r="H216" s="37">
        <f ca="1" t="shared" si="3"/>
        <v>550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>
        <v>550</v>
      </c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</row>
    <row r="217" hidden="1" customHeight="1" spans="1:54">
      <c r="A217" s="53"/>
      <c r="B217" s="45"/>
      <c r="C217" s="45" t="s">
        <v>14</v>
      </c>
      <c r="D217" s="45"/>
      <c r="E217" s="45">
        <v>0</v>
      </c>
      <c r="F217" s="36">
        <f ca="1">SUMIF(I$3:$BB216,"入库",I217:$BB217)</f>
        <v>50</v>
      </c>
      <c r="G217" s="45">
        <f ca="1">SUMIF(J$3:$BB216,"出库",J217:$BB217)</f>
        <v>0</v>
      </c>
      <c r="H217" s="37">
        <f ca="1" t="shared" si="3"/>
        <v>50</v>
      </c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>
        <v>50</v>
      </c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</row>
    <row r="218" hidden="1" customHeight="1" spans="1:54">
      <c r="A218" s="49">
        <f>ROW()-4</f>
        <v>214</v>
      </c>
      <c r="B218" s="45" t="s">
        <v>86</v>
      </c>
      <c r="C218" s="50" t="s">
        <v>12</v>
      </c>
      <c r="D218" s="45"/>
      <c r="E218" s="45">
        <v>0</v>
      </c>
      <c r="F218" s="36">
        <f ca="1">SUMIF(I$3:$BB217,"入库",I218:$BB218)</f>
        <v>960</v>
      </c>
      <c r="G218" s="45">
        <f ca="1">SUMIF(J$3:$BB217,"出库",J218:$BB218)</f>
        <v>160</v>
      </c>
      <c r="H218" s="37">
        <f ca="1" t="shared" si="3"/>
        <v>800</v>
      </c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>
        <v>960</v>
      </c>
      <c r="AB218" s="45"/>
      <c r="AC218" s="45"/>
      <c r="AD218" s="45">
        <v>150</v>
      </c>
      <c r="AE218" s="45"/>
      <c r="AF218" s="45"/>
      <c r="AG218" s="45"/>
      <c r="AH218" s="45"/>
      <c r="AI218" s="45"/>
      <c r="AJ218" s="45">
        <v>10</v>
      </c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</row>
    <row r="219" hidden="1" customHeight="1" spans="1:54">
      <c r="A219" s="51"/>
      <c r="B219" s="45"/>
      <c r="C219" s="52" t="s">
        <v>13</v>
      </c>
      <c r="D219" s="45"/>
      <c r="E219" s="45">
        <v>0</v>
      </c>
      <c r="F219" s="36">
        <f ca="1">SUMIF(I$3:$BB218,"入库",I219:$BB219)</f>
        <v>1150</v>
      </c>
      <c r="G219" s="45">
        <f ca="1">SUMIF(J$3:$BB218,"出库",J219:$BB219)</f>
        <v>0</v>
      </c>
      <c r="H219" s="37">
        <f ca="1" t="shared" si="3"/>
        <v>1150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>
        <v>1150</v>
      </c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</row>
    <row r="220" hidden="1" customHeight="1" spans="1:54">
      <c r="A220" s="53"/>
      <c r="B220" s="45"/>
      <c r="C220" s="45" t="s">
        <v>14</v>
      </c>
      <c r="D220" s="45"/>
      <c r="E220" s="45">
        <v>0</v>
      </c>
      <c r="F220" s="36">
        <f ca="1">SUMIF(I$3:$BB219,"入库",I220:$BB220)</f>
        <v>0</v>
      </c>
      <c r="G220" s="45">
        <f ca="1">SUMIF(J$3:$BB219,"出库",J220:$BB220)</f>
        <v>0</v>
      </c>
      <c r="H220" s="37">
        <f ca="1" t="shared" si="3"/>
        <v>0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</row>
    <row r="221" hidden="1" customHeight="1" spans="1:54">
      <c r="A221" s="49">
        <f>ROW()-4</f>
        <v>217</v>
      </c>
      <c r="B221" s="45" t="s">
        <v>87</v>
      </c>
      <c r="C221" s="50" t="s">
        <v>12</v>
      </c>
      <c r="D221" s="45"/>
      <c r="E221" s="45">
        <v>0</v>
      </c>
      <c r="F221" s="36">
        <f ca="1">SUMIF(I$3:$BB220,"入库",I221:$BB221)</f>
        <v>4000</v>
      </c>
      <c r="G221" s="45">
        <f ca="1">SUMIF(J$3:$BB220,"出库",J221:$BB221)</f>
        <v>0</v>
      </c>
      <c r="H221" s="37">
        <f ca="1" t="shared" si="3"/>
        <v>4000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>
        <v>4000</v>
      </c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</row>
    <row r="222" hidden="1" customHeight="1" spans="1:54">
      <c r="A222" s="51"/>
      <c r="B222" s="45"/>
      <c r="C222" s="52" t="s">
        <v>13</v>
      </c>
      <c r="D222" s="45"/>
      <c r="E222" s="45">
        <v>0</v>
      </c>
      <c r="F222" s="36">
        <f ca="1">SUMIF(I$3:$BB221,"入库",I222:$BB222)</f>
        <v>10</v>
      </c>
      <c r="G222" s="45">
        <f ca="1">SUMIF(J$3:$BB221,"出库",J222:$BB222)</f>
        <v>0</v>
      </c>
      <c r="H222" s="37">
        <f ca="1" t="shared" si="3"/>
        <v>10</v>
      </c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>
        <v>10</v>
      </c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</row>
    <row r="223" hidden="1" customHeight="1" spans="1:54">
      <c r="A223" s="53"/>
      <c r="B223" s="45"/>
      <c r="C223" s="45" t="s">
        <v>14</v>
      </c>
      <c r="D223" s="45"/>
      <c r="E223" s="45">
        <v>0</v>
      </c>
      <c r="F223" s="36">
        <f ca="1">SUMIF(I$3:$BB222,"入库",I223:$BB223)</f>
        <v>3</v>
      </c>
      <c r="G223" s="45">
        <f ca="1">SUMIF(J$3:$BB222,"出库",J223:$BB223)</f>
        <v>0</v>
      </c>
      <c r="H223" s="37">
        <f ca="1" t="shared" si="3"/>
        <v>3</v>
      </c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>
        <v>3</v>
      </c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</row>
    <row r="224" hidden="1" customHeight="1" spans="1:54">
      <c r="A224" s="49">
        <f>ROW()-4</f>
        <v>220</v>
      </c>
      <c r="B224" s="45" t="s">
        <v>88</v>
      </c>
      <c r="C224" s="50" t="s">
        <v>12</v>
      </c>
      <c r="D224" s="45"/>
      <c r="E224" s="45">
        <v>0</v>
      </c>
      <c r="F224" s="36">
        <f ca="1">SUMIF(I$3:$BB223,"入库",I224:$BB224)</f>
        <v>800</v>
      </c>
      <c r="G224" s="45">
        <f ca="1">SUMIF(J$3:$BB223,"出库",J224:$BB224)</f>
        <v>500</v>
      </c>
      <c r="H224" s="37">
        <f ca="1" t="shared" si="3"/>
        <v>300</v>
      </c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>
        <v>800</v>
      </c>
      <c r="AH224" s="45"/>
      <c r="AI224" s="45"/>
      <c r="AJ224" s="45">
        <v>500</v>
      </c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</row>
    <row r="225" hidden="1" customHeight="1" spans="1:54">
      <c r="A225" s="51"/>
      <c r="B225" s="45"/>
      <c r="C225" s="52" t="s">
        <v>13</v>
      </c>
      <c r="D225" s="45"/>
      <c r="E225" s="45">
        <v>0</v>
      </c>
      <c r="F225" s="36">
        <f ca="1">SUMIF(I$3:$BB224,"入库",I225:$BB225)</f>
        <v>0</v>
      </c>
      <c r="G225" s="45">
        <f ca="1">SUMIF(J$3:$BB224,"出库",J225:$BB225)</f>
        <v>0</v>
      </c>
      <c r="H225" s="37">
        <f ca="1" t="shared" si="3"/>
        <v>0</v>
      </c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</row>
    <row r="226" hidden="1" customHeight="1" spans="1:54">
      <c r="A226" s="53"/>
      <c r="B226" s="45"/>
      <c r="C226" s="45" t="s">
        <v>14</v>
      </c>
      <c r="D226" s="45"/>
      <c r="E226" s="45">
        <v>0</v>
      </c>
      <c r="F226" s="36">
        <f ca="1">SUMIF(I$3:$BB225,"入库",I226:$BB226)</f>
        <v>0</v>
      </c>
      <c r="G226" s="45">
        <f ca="1">SUMIF(J$3:$BB225,"出库",J226:$BB226)</f>
        <v>0</v>
      </c>
      <c r="H226" s="37">
        <f ca="1" t="shared" si="3"/>
        <v>0</v>
      </c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</row>
    <row r="227" hidden="1" customHeight="1" spans="1:54">
      <c r="A227" s="49">
        <f>ROW()-4</f>
        <v>223</v>
      </c>
      <c r="B227" s="45" t="s">
        <v>89</v>
      </c>
      <c r="C227" s="50" t="s">
        <v>12</v>
      </c>
      <c r="D227" s="45"/>
      <c r="E227" s="45">
        <v>0</v>
      </c>
      <c r="F227" s="36">
        <f ca="1">SUMIF(I$3:$BB226,"入库",I227:$BB227)</f>
        <v>400</v>
      </c>
      <c r="G227" s="45">
        <f ca="1">SUMIF(J$3:$BB226,"出库",J227:$BB227)</f>
        <v>310</v>
      </c>
      <c r="H227" s="37">
        <f ca="1" t="shared" si="3"/>
        <v>90</v>
      </c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>
        <v>400</v>
      </c>
      <c r="AH227" s="45"/>
      <c r="AI227" s="45"/>
      <c r="AJ227" s="45">
        <v>310</v>
      </c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</row>
    <row r="228" hidden="1" customHeight="1" spans="1:54">
      <c r="A228" s="51"/>
      <c r="B228" s="45"/>
      <c r="C228" s="52" t="s">
        <v>13</v>
      </c>
      <c r="D228" s="45"/>
      <c r="E228" s="45">
        <v>0</v>
      </c>
      <c r="F228" s="36">
        <f ca="1">SUMIF(I$3:$BB227,"入库",I228:$BB228)</f>
        <v>0</v>
      </c>
      <c r="G228" s="45">
        <f ca="1">SUMIF(J$3:$BB227,"出库",J228:$BB228)</f>
        <v>0</v>
      </c>
      <c r="H228" s="37">
        <f ca="1" t="shared" si="3"/>
        <v>0</v>
      </c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</row>
    <row r="229" hidden="1" customHeight="1" spans="1:54">
      <c r="A229" s="53"/>
      <c r="B229" s="45"/>
      <c r="C229" s="45" t="s">
        <v>14</v>
      </c>
      <c r="D229" s="45"/>
      <c r="E229" s="45">
        <v>0</v>
      </c>
      <c r="F229" s="36">
        <f ca="1">SUMIF(I$3:$BB228,"入库",I229:$BB229)</f>
        <v>0</v>
      </c>
      <c r="G229" s="45">
        <f ca="1">SUMIF(J$3:$BB228,"出库",J229:$BB229)</f>
        <v>0</v>
      </c>
      <c r="H229" s="37">
        <f ca="1" t="shared" si="3"/>
        <v>0</v>
      </c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</row>
    <row r="230" hidden="1" customHeight="1" spans="1:54">
      <c r="A230" s="49">
        <f>ROW()-4</f>
        <v>226</v>
      </c>
      <c r="B230" s="45" t="s">
        <v>90</v>
      </c>
      <c r="C230" s="50" t="s">
        <v>12</v>
      </c>
      <c r="D230" s="45"/>
      <c r="E230" s="45">
        <v>0</v>
      </c>
      <c r="F230" s="36">
        <f ca="1">SUMIF(I$3:$BB229,"入库",I230:$BB230)</f>
        <v>2670</v>
      </c>
      <c r="G230" s="45">
        <f ca="1">SUMIF(J$3:$BB229,"出库",J230:$BB230)</f>
        <v>611</v>
      </c>
      <c r="H230" s="37">
        <f ca="1" t="shared" si="3"/>
        <v>2059</v>
      </c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>
        <v>2670</v>
      </c>
      <c r="AD230" s="45"/>
      <c r="AE230" s="45"/>
      <c r="AF230" s="45"/>
      <c r="AG230" s="45"/>
      <c r="AH230" s="45">
        <v>300</v>
      </c>
      <c r="AI230" s="45"/>
      <c r="AJ230" s="45">
        <v>311</v>
      </c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</row>
    <row r="231" hidden="1" customHeight="1" spans="1:54">
      <c r="A231" s="51"/>
      <c r="B231" s="45"/>
      <c r="C231" s="52" t="s">
        <v>13</v>
      </c>
      <c r="D231" s="45"/>
      <c r="E231" s="45">
        <v>0</v>
      </c>
      <c r="F231" s="36">
        <f ca="1">SUMIF(I$3:$BB230,"入库",I231:$BB231)</f>
        <v>220</v>
      </c>
      <c r="G231" s="45">
        <f ca="1">SUMIF(J$3:$BB230,"出库",J231:$BB231)</f>
        <v>200</v>
      </c>
      <c r="H231" s="37">
        <f ca="1" t="shared" si="3"/>
        <v>20</v>
      </c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>
        <v>220</v>
      </c>
      <c r="AD231" s="45"/>
      <c r="AE231" s="45"/>
      <c r="AF231" s="45"/>
      <c r="AG231" s="45"/>
      <c r="AH231" s="45">
        <v>200</v>
      </c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</row>
    <row r="232" hidden="1" customHeight="1" spans="1:54">
      <c r="A232" s="53"/>
      <c r="B232" s="45"/>
      <c r="C232" s="45" t="s">
        <v>14</v>
      </c>
      <c r="D232" s="45"/>
      <c r="E232" s="45">
        <v>0</v>
      </c>
      <c r="F232" s="36">
        <f ca="1">SUMIF(I$3:$BB231,"入库",I232:$BB232)</f>
        <v>50</v>
      </c>
      <c r="G232" s="45">
        <f ca="1">SUMIF(J$3:$BB231,"出库",J232:$BB232)</f>
        <v>11</v>
      </c>
      <c r="H232" s="37">
        <f ca="1" t="shared" si="3"/>
        <v>39</v>
      </c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>
        <v>50</v>
      </c>
      <c r="AD232" s="45"/>
      <c r="AE232" s="45"/>
      <c r="AF232" s="45"/>
      <c r="AG232" s="45"/>
      <c r="AH232" s="45"/>
      <c r="AI232" s="45"/>
      <c r="AJ232" s="45">
        <v>9</v>
      </c>
      <c r="AK232" s="45"/>
      <c r="AL232" s="45">
        <v>2</v>
      </c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</row>
    <row r="233" hidden="1" customHeight="1" spans="1:54">
      <c r="A233" s="49">
        <f>ROW()-4</f>
        <v>229</v>
      </c>
      <c r="B233" s="45" t="s">
        <v>91</v>
      </c>
      <c r="C233" s="50" t="s">
        <v>12</v>
      </c>
      <c r="D233" s="45"/>
      <c r="E233" s="45">
        <v>0</v>
      </c>
      <c r="F233" s="36">
        <f ca="1">SUMIF(I$3:$BB232,"入库",I233:$BB233)</f>
        <v>3800</v>
      </c>
      <c r="G233" s="45">
        <f ca="1">SUMIF(J$3:$BB232,"出库",J233:$BB233)</f>
        <v>2511</v>
      </c>
      <c r="H233" s="37">
        <f ca="1" t="shared" si="3"/>
        <v>1289</v>
      </c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>
        <v>3800</v>
      </c>
      <c r="AD233" s="45"/>
      <c r="AE233" s="45"/>
      <c r="AF233" s="45"/>
      <c r="AG233" s="45"/>
      <c r="AH233" s="45">
        <v>2005</v>
      </c>
      <c r="AI233" s="45"/>
      <c r="AJ233" s="45">
        <v>506</v>
      </c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</row>
    <row r="234" hidden="1" customHeight="1" spans="1:54">
      <c r="A234" s="51"/>
      <c r="B234" s="45"/>
      <c r="C234" s="52" t="s">
        <v>13</v>
      </c>
      <c r="D234" s="45"/>
      <c r="E234" s="45">
        <v>0</v>
      </c>
      <c r="F234" s="36">
        <f ca="1">SUMIF(I$3:$BB233,"入库",I234:$BB234)</f>
        <v>350</v>
      </c>
      <c r="G234" s="45">
        <f ca="1">SUMIF(J$3:$BB233,"出库",J234:$BB234)</f>
        <v>0</v>
      </c>
      <c r="H234" s="37">
        <f ca="1" t="shared" si="3"/>
        <v>350</v>
      </c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>
        <v>350</v>
      </c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</row>
    <row r="235" hidden="1" customHeight="1" spans="1:54">
      <c r="A235" s="53"/>
      <c r="B235" s="45"/>
      <c r="C235" s="45" t="s">
        <v>14</v>
      </c>
      <c r="D235" s="45"/>
      <c r="E235" s="45">
        <v>0</v>
      </c>
      <c r="F235" s="36">
        <f ca="1">SUMIF(I$3:$BB234,"入库",I235:$BB235)</f>
        <v>20</v>
      </c>
      <c r="G235" s="45">
        <f ca="1">SUMIF(J$3:$BB234,"出库",J235:$BB235)</f>
        <v>0</v>
      </c>
      <c r="H235" s="37">
        <f ca="1" t="shared" si="3"/>
        <v>20</v>
      </c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>
        <v>20</v>
      </c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</row>
    <row r="236" hidden="1" customHeight="1" spans="1:54">
      <c r="A236" s="49">
        <f>ROW()-4</f>
        <v>232</v>
      </c>
      <c r="B236" s="45" t="s">
        <v>92</v>
      </c>
      <c r="C236" s="50" t="s">
        <v>12</v>
      </c>
      <c r="D236" s="45"/>
      <c r="E236" s="45">
        <v>0</v>
      </c>
      <c r="F236" s="36">
        <f ca="1">SUMIF(I$3:$BB235,"入库",I236:$BB236)</f>
        <v>4950</v>
      </c>
      <c r="G236" s="45">
        <f ca="1">SUMIF(J$3:$BB235,"出库",J236:$BB236)</f>
        <v>90</v>
      </c>
      <c r="H236" s="37">
        <f ca="1" t="shared" si="3"/>
        <v>4860</v>
      </c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>
        <v>4950</v>
      </c>
      <c r="AD236" s="45"/>
      <c r="AE236" s="45"/>
      <c r="AF236" s="45"/>
      <c r="AG236" s="45"/>
      <c r="AH236" s="45">
        <v>90</v>
      </c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</row>
    <row r="237" hidden="1" customHeight="1" spans="1:54">
      <c r="A237" s="51"/>
      <c r="B237" s="45"/>
      <c r="C237" s="52" t="s">
        <v>13</v>
      </c>
      <c r="D237" s="45"/>
      <c r="E237" s="45">
        <v>0</v>
      </c>
      <c r="F237" s="36">
        <f ca="1">SUMIF(I$3:$BB236,"入库",I237:$BB237)</f>
        <v>50</v>
      </c>
      <c r="G237" s="45">
        <f ca="1">SUMIF(J$3:$BB236,"出库",J237:$BB237)</f>
        <v>0</v>
      </c>
      <c r="H237" s="37">
        <f ca="1" t="shared" si="3"/>
        <v>50</v>
      </c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>
        <v>50</v>
      </c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</row>
    <row r="238" hidden="1" customHeight="1" spans="1:54">
      <c r="A238" s="53"/>
      <c r="B238" s="45"/>
      <c r="C238" s="45" t="s">
        <v>14</v>
      </c>
      <c r="D238" s="45"/>
      <c r="E238" s="45">
        <v>0</v>
      </c>
      <c r="F238" s="36">
        <f ca="1">SUMIF(I$3:$BB237,"入库",I238:$BB238)</f>
        <v>100</v>
      </c>
      <c r="G238" s="45">
        <f ca="1">SUMIF(J$3:$BB237,"出库",J238:$BB238)</f>
        <v>11</v>
      </c>
      <c r="H238" s="37">
        <f ca="1" t="shared" si="3"/>
        <v>89</v>
      </c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>
        <v>100</v>
      </c>
      <c r="AD238" s="45"/>
      <c r="AE238" s="45"/>
      <c r="AF238" s="45"/>
      <c r="AG238" s="45"/>
      <c r="AH238" s="45">
        <v>11</v>
      </c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</row>
    <row r="239" hidden="1" customHeight="1" spans="1:54">
      <c r="A239" s="49">
        <f>ROW()-4</f>
        <v>235</v>
      </c>
      <c r="B239" s="45" t="s">
        <v>93</v>
      </c>
      <c r="C239" s="50" t="s">
        <v>12</v>
      </c>
      <c r="D239" s="45"/>
      <c r="E239" s="45">
        <v>0</v>
      </c>
      <c r="F239" s="36">
        <f ca="1">SUMIF(I$3:$BB238,"入库",I239:$BB239)</f>
        <v>900</v>
      </c>
      <c r="G239" s="45">
        <f ca="1">SUMIF(J$3:$BB238,"出库",J239:$BB239)</f>
        <v>395</v>
      </c>
      <c r="H239" s="37">
        <f ca="1" t="shared" si="3"/>
        <v>505</v>
      </c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>
        <v>900</v>
      </c>
      <c r="AB239" s="45"/>
      <c r="AC239" s="45"/>
      <c r="AD239" s="45"/>
      <c r="AE239" s="45"/>
      <c r="AF239" s="45"/>
      <c r="AG239" s="45"/>
      <c r="AH239" s="45">
        <v>20</v>
      </c>
      <c r="AI239" s="45"/>
      <c r="AJ239" s="45">
        <v>375</v>
      </c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</row>
    <row r="240" hidden="1" customHeight="1" spans="1:54">
      <c r="A240" s="51"/>
      <c r="B240" s="45"/>
      <c r="C240" s="52" t="s">
        <v>13</v>
      </c>
      <c r="D240" s="45"/>
      <c r="E240" s="45">
        <v>0</v>
      </c>
      <c r="F240" s="36">
        <f ca="1">SUMIF(I$3:$BB239,"入库",I240:$BB240)</f>
        <v>60</v>
      </c>
      <c r="G240" s="45">
        <f ca="1">SUMIF(J$3:$BB239,"出库",J240:$BB240)</f>
        <v>0</v>
      </c>
      <c r="H240" s="37">
        <f ca="1" t="shared" si="3"/>
        <v>60</v>
      </c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>
        <v>60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</row>
    <row r="241" hidden="1" customHeight="1" spans="1:54">
      <c r="A241" s="53"/>
      <c r="B241" s="45"/>
      <c r="C241" s="45" t="s">
        <v>14</v>
      </c>
      <c r="D241" s="45"/>
      <c r="E241" s="45">
        <v>0</v>
      </c>
      <c r="F241" s="36">
        <f ca="1">SUMIF(I$3:$BB240,"入库",I241:$BB241)</f>
        <v>16</v>
      </c>
      <c r="G241" s="45">
        <f ca="1">SUMIF(J$3:$BB240,"出库",J241:$BB241)</f>
        <v>0</v>
      </c>
      <c r="H241" s="37">
        <f ca="1" t="shared" si="3"/>
        <v>16</v>
      </c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>
        <v>16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</row>
    <row r="242" hidden="1" customHeight="1" spans="1:54">
      <c r="A242" s="49">
        <f>ROW()-4</f>
        <v>238</v>
      </c>
      <c r="B242" s="45" t="s">
        <v>94</v>
      </c>
      <c r="C242" s="50" t="s">
        <v>12</v>
      </c>
      <c r="D242" s="45"/>
      <c r="E242" s="45">
        <v>0</v>
      </c>
      <c r="F242" s="36">
        <f ca="1">SUMIF(I$3:$BB241,"入库",I242:$BB242)</f>
        <v>1080</v>
      </c>
      <c r="G242" s="45">
        <f ca="1">SUMIF(J$3:$BB241,"出库",J242:$BB242)</f>
        <v>505</v>
      </c>
      <c r="H242" s="37">
        <f ca="1" t="shared" si="3"/>
        <v>575</v>
      </c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>
        <v>60</v>
      </c>
      <c r="AB242" s="45"/>
      <c r="AC242" s="45">
        <v>1000</v>
      </c>
      <c r="AD242" s="45">
        <v>350</v>
      </c>
      <c r="AE242" s="45"/>
      <c r="AF242" s="45"/>
      <c r="AG242" s="45">
        <v>20</v>
      </c>
      <c r="AH242" s="45">
        <v>155</v>
      </c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</row>
    <row r="243" hidden="1" customHeight="1" spans="1:54">
      <c r="A243" s="51"/>
      <c r="B243" s="45"/>
      <c r="C243" s="52" t="s">
        <v>13</v>
      </c>
      <c r="D243" s="45"/>
      <c r="E243" s="45">
        <v>0</v>
      </c>
      <c r="F243" s="36">
        <f ca="1">SUMIF(I$3:$BB242,"入库",I243:$BB243)</f>
        <v>100</v>
      </c>
      <c r="G243" s="45">
        <f ca="1">SUMIF(J$3:$BB242,"出库",J243:$BB243)</f>
        <v>0</v>
      </c>
      <c r="H243" s="37">
        <f ca="1" t="shared" si="3"/>
        <v>100</v>
      </c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>
        <v>100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</row>
    <row r="244" hidden="1" customHeight="1" spans="1:54">
      <c r="A244" s="53"/>
      <c r="B244" s="45"/>
      <c r="C244" s="45" t="s">
        <v>14</v>
      </c>
      <c r="D244" s="45"/>
      <c r="E244" s="45">
        <v>0</v>
      </c>
      <c r="F244" s="36">
        <f ca="1">SUMIF(I$3:$BB243,"入库",I244:$BB244)</f>
        <v>25</v>
      </c>
      <c r="G244" s="45">
        <f ca="1">SUMIF(J$3:$BB243,"出库",J244:$BB244)</f>
        <v>1</v>
      </c>
      <c r="H244" s="37">
        <f ca="1" t="shared" si="3"/>
        <v>24</v>
      </c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>
        <v>25</v>
      </c>
      <c r="AB244" s="45"/>
      <c r="AC244" s="45"/>
      <c r="AD244" s="45"/>
      <c r="AE244" s="45"/>
      <c r="AF244" s="45"/>
      <c r="AG244" s="45"/>
      <c r="AH244" s="45">
        <v>1</v>
      </c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</row>
    <row r="245" hidden="1" customHeight="1" spans="1:54">
      <c r="A245" s="49">
        <f>ROW()-4</f>
        <v>241</v>
      </c>
      <c r="B245" s="45" t="s">
        <v>95</v>
      </c>
      <c r="C245" s="50" t="s">
        <v>12</v>
      </c>
      <c r="D245" s="45"/>
      <c r="E245" s="45">
        <v>0</v>
      </c>
      <c r="F245" s="36">
        <f ca="1">SUMIF(I$3:$BB244,"入库",I245:$BB245)</f>
        <v>1950</v>
      </c>
      <c r="G245" s="45">
        <f ca="1">SUMIF(J$3:$BB244,"出库",J245:$BB245)</f>
        <v>450</v>
      </c>
      <c r="H245" s="37">
        <f ca="1" t="shared" si="3"/>
        <v>1500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>
        <v>450</v>
      </c>
      <c r="AB245" s="45">
        <v>150</v>
      </c>
      <c r="AC245" s="45"/>
      <c r="AD245" s="45"/>
      <c r="AE245" s="45"/>
      <c r="AF245" s="45"/>
      <c r="AG245" s="45"/>
      <c r="AH245" s="45">
        <v>300</v>
      </c>
      <c r="AI245" s="45">
        <v>1500</v>
      </c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</row>
    <row r="246" hidden="1" customHeight="1" spans="1:54">
      <c r="A246" s="51"/>
      <c r="B246" s="45"/>
      <c r="C246" s="52" t="s">
        <v>13</v>
      </c>
      <c r="D246" s="45"/>
      <c r="E246" s="45">
        <v>0</v>
      </c>
      <c r="F246" s="36">
        <f ca="1">SUMIF(I$3:$BB245,"入库",I246:$BB246)</f>
        <v>0</v>
      </c>
      <c r="G246" s="45">
        <f ca="1">SUMIF(J$3:$BB245,"出库",J246:$BB246)</f>
        <v>0</v>
      </c>
      <c r="H246" s="37">
        <f ca="1" t="shared" si="3"/>
        <v>0</v>
      </c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</row>
    <row r="247" hidden="1" customHeight="1" spans="1:54">
      <c r="A247" s="53"/>
      <c r="B247" s="45"/>
      <c r="C247" s="45" t="s">
        <v>14</v>
      </c>
      <c r="D247" s="45"/>
      <c r="E247" s="45">
        <v>0</v>
      </c>
      <c r="F247" s="36">
        <f ca="1">SUMIF(I$3:$BB246,"入库",I247:$BB247)</f>
        <v>30</v>
      </c>
      <c r="G247" s="45">
        <f ca="1">SUMIF(J$3:$BB246,"出库",J247:$BB247)</f>
        <v>0</v>
      </c>
      <c r="H247" s="37">
        <f ca="1" t="shared" si="3"/>
        <v>30</v>
      </c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>
        <v>30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</row>
    <row r="248" hidden="1" customHeight="1" spans="1:54">
      <c r="A248" s="49">
        <f>ROW()-4</f>
        <v>244</v>
      </c>
      <c r="B248" s="45" t="s">
        <v>96</v>
      </c>
      <c r="C248" s="50" t="s">
        <v>12</v>
      </c>
      <c r="D248" s="45"/>
      <c r="E248" s="45">
        <v>0</v>
      </c>
      <c r="F248" s="36">
        <f ca="1">SUMIF(I$3:$BB247,"入库",I248:$BB248)</f>
        <v>850</v>
      </c>
      <c r="G248" s="45">
        <f ca="1">SUMIF(J$3:$BB247,"出库",J248:$BB248)</f>
        <v>0</v>
      </c>
      <c r="H248" s="37">
        <f ca="1" t="shared" si="3"/>
        <v>850</v>
      </c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>
        <v>850</v>
      </c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</row>
    <row r="249" hidden="1" customHeight="1" spans="1:54">
      <c r="A249" s="51"/>
      <c r="B249" s="45"/>
      <c r="C249" s="52" t="s">
        <v>13</v>
      </c>
      <c r="D249" s="45"/>
      <c r="E249" s="45">
        <v>0</v>
      </c>
      <c r="F249" s="36">
        <f ca="1">SUMIF(I$3:$BB248,"入库",I249:$BB249)</f>
        <v>265</v>
      </c>
      <c r="G249" s="45">
        <f ca="1">SUMIF(J$3:$BB248,"出库",J249:$BB249)</f>
        <v>0</v>
      </c>
      <c r="H249" s="37">
        <f ca="1" t="shared" si="3"/>
        <v>265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>
        <v>265</v>
      </c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</row>
    <row r="250" hidden="1" customHeight="1" spans="1:54">
      <c r="A250" s="53"/>
      <c r="B250" s="45"/>
      <c r="C250" s="45" t="s">
        <v>14</v>
      </c>
      <c r="D250" s="45"/>
      <c r="E250" s="45">
        <v>0</v>
      </c>
      <c r="F250" s="36">
        <f ca="1">SUMIF(I$3:$BB249,"入库",I250:$BB250)</f>
        <v>0</v>
      </c>
      <c r="G250" s="45">
        <f ca="1">SUMIF(J$3:$BB249,"出库",J250:$BB250)</f>
        <v>0</v>
      </c>
      <c r="H250" s="37">
        <f ca="1" t="shared" si="3"/>
        <v>0</v>
      </c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</row>
    <row r="251" hidden="1" customHeight="1" spans="1:54">
      <c r="A251" s="49">
        <f>ROW()-4</f>
        <v>247</v>
      </c>
      <c r="B251" s="45" t="s">
        <v>97</v>
      </c>
      <c r="C251" s="50" t="s">
        <v>12</v>
      </c>
      <c r="D251" s="45"/>
      <c r="E251" s="45">
        <v>0</v>
      </c>
      <c r="F251" s="36">
        <f ca="1">SUMIF(I$3:$BB250,"入库",I251:$BB251)</f>
        <v>5150</v>
      </c>
      <c r="G251" s="45">
        <f ca="1">SUMIF(J$3:$BB250,"出库",J251:$BB251)</f>
        <v>105</v>
      </c>
      <c r="H251" s="37">
        <f ca="1" t="shared" si="3"/>
        <v>5045</v>
      </c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>
        <v>5150</v>
      </c>
      <c r="AH251" s="45"/>
      <c r="AI251" s="45"/>
      <c r="AJ251" s="45">
        <v>105</v>
      </c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</row>
    <row r="252" hidden="1" customHeight="1" spans="1:54">
      <c r="A252" s="51"/>
      <c r="B252" s="45"/>
      <c r="C252" s="52" t="s">
        <v>13</v>
      </c>
      <c r="D252" s="45"/>
      <c r="E252" s="45">
        <v>0</v>
      </c>
      <c r="F252" s="36">
        <f ca="1">SUMIF(I$3:$BB251,"入库",I252:$BB252)</f>
        <v>100</v>
      </c>
      <c r="G252" s="45">
        <f ca="1">SUMIF(J$3:$BB251,"出库",J252:$BB252)</f>
        <v>0</v>
      </c>
      <c r="H252" s="37">
        <f ca="1" t="shared" si="3"/>
        <v>100</v>
      </c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>
        <v>100</v>
      </c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</row>
    <row r="253" hidden="1" customHeight="1" spans="1:54">
      <c r="A253" s="53"/>
      <c r="B253" s="45"/>
      <c r="C253" s="45" t="s">
        <v>14</v>
      </c>
      <c r="D253" s="45"/>
      <c r="E253" s="45">
        <v>0</v>
      </c>
      <c r="F253" s="36">
        <f ca="1">SUMIF(I$3:$BB252,"入库",I253:$BB253)</f>
        <v>5050</v>
      </c>
      <c r="G253" s="45">
        <f ca="1">SUMIF(J$3:$BB252,"出库",J253:$BB253)</f>
        <v>1</v>
      </c>
      <c r="H253" s="37">
        <f ca="1" t="shared" si="3"/>
        <v>5049</v>
      </c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>
        <v>5050</v>
      </c>
      <c r="AH253" s="45"/>
      <c r="AI253" s="45"/>
      <c r="AJ253" s="45">
        <v>1</v>
      </c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</row>
    <row r="254" hidden="1" customHeight="1" spans="1:54">
      <c r="A254" s="49">
        <f>ROW()-4</f>
        <v>250</v>
      </c>
      <c r="B254" s="45" t="s">
        <v>98</v>
      </c>
      <c r="C254" s="50" t="s">
        <v>12</v>
      </c>
      <c r="D254" s="45"/>
      <c r="E254" s="45">
        <v>0</v>
      </c>
      <c r="F254" s="36">
        <f ca="1">SUMIF(I$3:$BB253,"入库",I254:$BB254)</f>
        <v>2750</v>
      </c>
      <c r="G254" s="45">
        <f ca="1">SUMIF(J$3:$BB253,"出库",J254:$BB254)</f>
        <v>130</v>
      </c>
      <c r="H254" s="37">
        <f ca="1" t="shared" si="3"/>
        <v>2620</v>
      </c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>
        <v>2750</v>
      </c>
      <c r="AH254" s="45"/>
      <c r="AI254" s="45"/>
      <c r="AJ254" s="45">
        <v>130</v>
      </c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</row>
    <row r="255" hidden="1" customHeight="1" spans="1:54">
      <c r="A255" s="51"/>
      <c r="B255" s="45"/>
      <c r="C255" s="52" t="s">
        <v>13</v>
      </c>
      <c r="D255" s="45"/>
      <c r="E255" s="45">
        <v>0</v>
      </c>
      <c r="F255" s="36">
        <f ca="1">SUMIF(I$3:$BB254,"入库",I255:$BB255)</f>
        <v>10</v>
      </c>
      <c r="G255" s="45">
        <f ca="1">SUMIF(J$3:$BB254,"出库",J255:$BB255)</f>
        <v>3</v>
      </c>
      <c r="H255" s="37">
        <f ca="1" t="shared" si="3"/>
        <v>7</v>
      </c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>
        <v>10</v>
      </c>
      <c r="AH255" s="45"/>
      <c r="AI255" s="45"/>
      <c r="AJ255" s="45"/>
      <c r="AK255" s="45"/>
      <c r="AL255" s="45">
        <v>3</v>
      </c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</row>
    <row r="256" hidden="1" customHeight="1" spans="1:54">
      <c r="A256" s="53"/>
      <c r="B256" s="45"/>
      <c r="C256" s="45" t="s">
        <v>14</v>
      </c>
      <c r="D256" s="45"/>
      <c r="E256" s="45">
        <v>0</v>
      </c>
      <c r="F256" s="36">
        <f ca="1">SUMIF(I$3:$BB255,"入库",I256:$BB256)</f>
        <v>20</v>
      </c>
      <c r="G256" s="45">
        <f ca="1">SUMIF(J$3:$BB255,"出库",J256:$BB256)</f>
        <v>1</v>
      </c>
      <c r="H256" s="37">
        <f ca="1" t="shared" si="3"/>
        <v>19</v>
      </c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>
        <v>20</v>
      </c>
      <c r="AH256" s="45"/>
      <c r="AI256" s="45"/>
      <c r="AJ256" s="45">
        <v>1</v>
      </c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</row>
    <row r="257" hidden="1" customHeight="1" spans="1:54">
      <c r="A257" s="49">
        <f>ROW()-4</f>
        <v>253</v>
      </c>
      <c r="B257" s="45" t="s">
        <v>99</v>
      </c>
      <c r="C257" s="50" t="s">
        <v>12</v>
      </c>
      <c r="D257" s="45"/>
      <c r="E257" s="45">
        <v>0</v>
      </c>
      <c r="F257" s="36">
        <f ca="1">SUMIF(I$3:$BB256,"入库",I257:$BB257)</f>
        <v>3200</v>
      </c>
      <c r="G257" s="45">
        <f ca="1">SUMIF(J$3:$BB256,"出库",J257:$BB257)</f>
        <v>2</v>
      </c>
      <c r="H257" s="37">
        <f ca="1" t="shared" si="3"/>
        <v>3198</v>
      </c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>
        <v>3200</v>
      </c>
      <c r="AD257" s="45"/>
      <c r="AE257" s="45"/>
      <c r="AF257" s="45"/>
      <c r="AG257" s="45"/>
      <c r="AH257" s="45">
        <v>2</v>
      </c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</row>
    <row r="258" hidden="1" customHeight="1" spans="1:54">
      <c r="A258" s="51"/>
      <c r="B258" s="45"/>
      <c r="C258" s="52" t="s">
        <v>13</v>
      </c>
      <c r="D258" s="45"/>
      <c r="E258" s="45">
        <v>0</v>
      </c>
      <c r="F258" s="36">
        <f ca="1">SUMIF(I$3:$BB257,"入库",I258:$BB258)</f>
        <v>100</v>
      </c>
      <c r="G258" s="45">
        <f ca="1">SUMIF(J$3:$BB257,"出库",J258:$BB258)</f>
        <v>0</v>
      </c>
      <c r="H258" s="37">
        <f ca="1" t="shared" si="3"/>
        <v>100</v>
      </c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>
        <v>100</v>
      </c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</row>
    <row r="259" hidden="1" customHeight="1" spans="1:54">
      <c r="A259" s="53"/>
      <c r="B259" s="45"/>
      <c r="C259" s="45" t="s">
        <v>14</v>
      </c>
      <c r="D259" s="45"/>
      <c r="E259" s="45">
        <v>0</v>
      </c>
      <c r="F259" s="36">
        <f ca="1">SUMIF(I$3:$BB258,"入库",I259:$BB259)</f>
        <v>5</v>
      </c>
      <c r="G259" s="45">
        <f ca="1">SUMIF(J$3:$BB258,"出库",J259:$BB259)</f>
        <v>5</v>
      </c>
      <c r="H259" s="37">
        <f ca="1" t="shared" si="3"/>
        <v>0</v>
      </c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>
        <v>5</v>
      </c>
      <c r="AD259" s="45"/>
      <c r="AE259" s="45"/>
      <c r="AF259" s="45"/>
      <c r="AG259" s="45"/>
      <c r="AH259" s="45"/>
      <c r="AI259" s="45"/>
      <c r="AJ259" s="45"/>
      <c r="AK259" s="45"/>
      <c r="AL259" s="45">
        <v>5</v>
      </c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</row>
    <row r="260" hidden="1" customHeight="1" spans="1:54">
      <c r="A260" s="49">
        <f>ROW()-4</f>
        <v>256</v>
      </c>
      <c r="B260" s="45" t="s">
        <v>100</v>
      </c>
      <c r="C260" s="50" t="s">
        <v>12</v>
      </c>
      <c r="D260" s="45"/>
      <c r="E260" s="45">
        <v>0</v>
      </c>
      <c r="F260" s="36">
        <f ca="1">SUMIF(I$3:$BB259,"入库",I260:$BB260)</f>
        <v>1550</v>
      </c>
      <c r="G260" s="45">
        <f ca="1">SUMIF(J$3:$BB259,"出库",J260:$BB260)</f>
        <v>101</v>
      </c>
      <c r="H260" s="37">
        <f ca="1" t="shared" si="3"/>
        <v>1449</v>
      </c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>
        <v>1550</v>
      </c>
      <c r="AD260" s="45"/>
      <c r="AE260" s="45"/>
      <c r="AF260" s="45"/>
      <c r="AG260" s="45"/>
      <c r="AH260" s="45">
        <v>100</v>
      </c>
      <c r="AI260" s="45"/>
      <c r="AJ260" s="45">
        <v>1</v>
      </c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</row>
    <row r="261" hidden="1" customHeight="1" spans="1:54">
      <c r="A261" s="51"/>
      <c r="B261" s="45"/>
      <c r="C261" s="52" t="s">
        <v>13</v>
      </c>
      <c r="D261" s="45"/>
      <c r="E261" s="45">
        <v>0</v>
      </c>
      <c r="F261" s="36">
        <f ca="1">SUMIF(I$3:$BB260,"入库",I261:$BB261)</f>
        <v>10</v>
      </c>
      <c r="G261" s="45">
        <f ca="1">SUMIF(J$3:$BB260,"出库",J261:$BB261)</f>
        <v>0</v>
      </c>
      <c r="H261" s="37">
        <f ca="1" t="shared" ref="H261:H324" si="4">E261+F261-G261</f>
        <v>10</v>
      </c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>
        <v>10</v>
      </c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</row>
    <row r="262" hidden="1" customHeight="1" spans="1:54">
      <c r="A262" s="53"/>
      <c r="B262" s="45"/>
      <c r="C262" s="45" t="s">
        <v>14</v>
      </c>
      <c r="D262" s="45"/>
      <c r="E262" s="45">
        <v>0</v>
      </c>
      <c r="F262" s="36">
        <f ca="1">SUMIF(I$3:$BB261,"入库",I262:$BB262)</f>
        <v>0</v>
      </c>
      <c r="G262" s="45">
        <f ca="1">SUMIF(J$3:$BB261,"出库",J262:$BB262)</f>
        <v>0</v>
      </c>
      <c r="H262" s="37">
        <f ca="1" t="shared" si="4"/>
        <v>0</v>
      </c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</row>
    <row r="263" hidden="1" customHeight="1" spans="1:54">
      <c r="A263" s="49">
        <f>ROW()-4</f>
        <v>259</v>
      </c>
      <c r="B263" s="45" t="s">
        <v>101</v>
      </c>
      <c r="C263" s="50" t="s">
        <v>12</v>
      </c>
      <c r="D263" s="45"/>
      <c r="E263" s="45">
        <v>0</v>
      </c>
      <c r="F263" s="36">
        <f ca="1">SUMIF(I$3:$BB262,"入库",I263:$BB263)</f>
        <v>1600</v>
      </c>
      <c r="G263" s="45">
        <f ca="1">SUMIF(J$3:$BB262,"出库",J263:$BB263)</f>
        <v>260</v>
      </c>
      <c r="H263" s="37">
        <f ca="1" t="shared" si="4"/>
        <v>1340</v>
      </c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>
        <v>1600</v>
      </c>
      <c r="AD263" s="45"/>
      <c r="AE263" s="45"/>
      <c r="AF263" s="45"/>
      <c r="AG263" s="45"/>
      <c r="AH263" s="45"/>
      <c r="AI263" s="45"/>
      <c r="AJ263" s="45">
        <v>260</v>
      </c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</row>
    <row r="264" hidden="1" customHeight="1" spans="1:54">
      <c r="A264" s="51"/>
      <c r="B264" s="45"/>
      <c r="C264" s="52" t="s">
        <v>13</v>
      </c>
      <c r="D264" s="45"/>
      <c r="E264" s="45">
        <v>0</v>
      </c>
      <c r="F264" s="36">
        <f ca="1">SUMIF(I$3:$BB263,"入库",I264:$BB264)</f>
        <v>0</v>
      </c>
      <c r="G264" s="45">
        <f ca="1">SUMIF(J$3:$BB263,"出库",J264:$BB264)</f>
        <v>0</v>
      </c>
      <c r="H264" s="37">
        <f ca="1" t="shared" si="4"/>
        <v>0</v>
      </c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</row>
    <row r="265" hidden="1" customHeight="1" spans="1:54">
      <c r="A265" s="53"/>
      <c r="B265" s="45"/>
      <c r="C265" s="45" t="s">
        <v>14</v>
      </c>
      <c r="D265" s="45"/>
      <c r="E265" s="45">
        <v>0</v>
      </c>
      <c r="F265" s="36">
        <f ca="1">SUMIF(I$3:$BB264,"入库",I265:$BB265)</f>
        <v>30</v>
      </c>
      <c r="G265" s="45">
        <f ca="1">SUMIF(J$3:$BB264,"出库",J265:$BB265)</f>
        <v>0</v>
      </c>
      <c r="H265" s="37">
        <f ca="1" t="shared" si="4"/>
        <v>30</v>
      </c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>
        <v>30</v>
      </c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</row>
    <row r="266" hidden="1" customHeight="1" spans="1:54">
      <c r="A266" s="49">
        <f>ROW()-4</f>
        <v>262</v>
      </c>
      <c r="B266" s="45" t="s">
        <v>102</v>
      </c>
      <c r="C266" s="50" t="s">
        <v>12</v>
      </c>
      <c r="D266" s="45"/>
      <c r="E266" s="45">
        <v>0</v>
      </c>
      <c r="F266" s="36">
        <f ca="1">SUMIF(I$3:$BB265,"入库",I266:$BB266)</f>
        <v>1626</v>
      </c>
      <c r="G266" s="45">
        <f ca="1">SUMIF(J$3:$BB265,"出库",J266:$BB266)</f>
        <v>150</v>
      </c>
      <c r="H266" s="37">
        <f ca="1" t="shared" si="4"/>
        <v>1476</v>
      </c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>
        <v>1626</v>
      </c>
      <c r="AB266" s="45"/>
      <c r="AC266" s="45"/>
      <c r="AD266" s="45">
        <v>100</v>
      </c>
      <c r="AE266" s="45"/>
      <c r="AF266" s="45"/>
      <c r="AG266" s="45"/>
      <c r="AH266" s="45">
        <v>50</v>
      </c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</row>
    <row r="267" hidden="1" customHeight="1" spans="1:54">
      <c r="A267" s="51"/>
      <c r="B267" s="45"/>
      <c r="C267" s="52" t="s">
        <v>13</v>
      </c>
      <c r="D267" s="45"/>
      <c r="E267" s="45">
        <v>0</v>
      </c>
      <c r="F267" s="36">
        <f ca="1">SUMIF(I$3:$BB266,"入库",I267:$BB267)</f>
        <v>900</v>
      </c>
      <c r="G267" s="45">
        <f ca="1">SUMIF(J$3:$BB266,"出库",J267:$BB267)</f>
        <v>0</v>
      </c>
      <c r="H267" s="37">
        <f ca="1" t="shared" si="4"/>
        <v>900</v>
      </c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>
        <v>900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</row>
    <row r="268" hidden="1" customHeight="1" spans="1:54">
      <c r="A268" s="53"/>
      <c r="B268" s="45"/>
      <c r="C268" s="45" t="s">
        <v>14</v>
      </c>
      <c r="D268" s="45"/>
      <c r="E268" s="45">
        <v>0</v>
      </c>
      <c r="F268" s="36">
        <f ca="1">SUMIF(I$3:$BB267,"入库",I268:$BB268)</f>
        <v>10</v>
      </c>
      <c r="G268" s="45">
        <f ca="1">SUMIF(J$3:$BB267,"出库",J268:$BB268)</f>
        <v>0</v>
      </c>
      <c r="H268" s="37">
        <f ca="1" t="shared" si="4"/>
        <v>10</v>
      </c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>
        <v>10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</row>
    <row r="269" hidden="1" customHeight="1" spans="1:54">
      <c r="A269" s="49">
        <f>ROW()-4</f>
        <v>265</v>
      </c>
      <c r="B269" s="45" t="s">
        <v>103</v>
      </c>
      <c r="C269" s="50" t="s">
        <v>12</v>
      </c>
      <c r="D269" s="45"/>
      <c r="E269" s="45">
        <v>0</v>
      </c>
      <c r="F269" s="36">
        <f ca="1">SUMIF(I$3:$BB268,"入库",I269:$BB269)</f>
        <v>3450</v>
      </c>
      <c r="G269" s="45">
        <f ca="1">SUMIF(J$3:$BB268,"出库",J269:$BB269)</f>
        <v>100</v>
      </c>
      <c r="H269" s="37">
        <f ca="1" t="shared" si="4"/>
        <v>3350</v>
      </c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>
        <v>3450</v>
      </c>
      <c r="AB269" s="45"/>
      <c r="AC269" s="45"/>
      <c r="AD269" s="45"/>
      <c r="AE269" s="45"/>
      <c r="AF269" s="45"/>
      <c r="AG269" s="45"/>
      <c r="AH269" s="45">
        <v>100</v>
      </c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</row>
    <row r="270" hidden="1" customHeight="1" spans="1:54">
      <c r="A270" s="51"/>
      <c r="B270" s="45"/>
      <c r="C270" s="52" t="s">
        <v>13</v>
      </c>
      <c r="D270" s="45"/>
      <c r="E270" s="45">
        <v>0</v>
      </c>
      <c r="F270" s="36">
        <f ca="1">SUMIF(I$3:$BB269,"入库",I270:$BB270)</f>
        <v>400</v>
      </c>
      <c r="G270" s="45">
        <f ca="1">SUMIF(J$3:$BB269,"出库",J270:$BB270)</f>
        <v>0</v>
      </c>
      <c r="H270" s="37">
        <f ca="1" t="shared" si="4"/>
        <v>400</v>
      </c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>
        <v>400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</row>
    <row r="271" hidden="1" customHeight="1" spans="1:54">
      <c r="A271" s="53"/>
      <c r="B271" s="45"/>
      <c r="C271" s="45" t="s">
        <v>14</v>
      </c>
      <c r="D271" s="45"/>
      <c r="E271" s="45">
        <v>0</v>
      </c>
      <c r="F271" s="36">
        <f ca="1">SUMIF(I$3:$BB270,"入库",I271:$BB271)</f>
        <v>150</v>
      </c>
      <c r="G271" s="45">
        <f ca="1">SUMIF(J$3:$BB270,"出库",J271:$BB271)</f>
        <v>10</v>
      </c>
      <c r="H271" s="37">
        <f ca="1" t="shared" si="4"/>
        <v>140</v>
      </c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>
        <v>150</v>
      </c>
      <c r="AB271" s="45"/>
      <c r="AC271" s="45"/>
      <c r="AD271" s="45"/>
      <c r="AE271" s="45"/>
      <c r="AF271" s="45"/>
      <c r="AG271" s="45"/>
      <c r="AH271" s="45">
        <v>10</v>
      </c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</row>
    <row r="272" hidden="1" customHeight="1" spans="1:54">
      <c r="A272" s="49">
        <f>ROW()-4</f>
        <v>268</v>
      </c>
      <c r="B272" s="45" t="s">
        <v>104</v>
      </c>
      <c r="C272" s="50" t="s">
        <v>12</v>
      </c>
      <c r="D272" s="45"/>
      <c r="E272" s="45">
        <v>0</v>
      </c>
      <c r="F272" s="36">
        <f ca="1">SUMIF(I$3:$BB271,"入库",I272:$BB272)</f>
        <v>320</v>
      </c>
      <c r="G272" s="45">
        <f ca="1">SUMIF(J$3:$BB271,"出库",J272:$BB272)</f>
        <v>150</v>
      </c>
      <c r="H272" s="37">
        <f ca="1" t="shared" si="4"/>
        <v>170</v>
      </c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>
        <v>320</v>
      </c>
      <c r="AB272" s="45"/>
      <c r="AC272" s="45"/>
      <c r="AD272" s="45"/>
      <c r="AE272" s="45"/>
      <c r="AF272" s="45"/>
      <c r="AG272" s="45"/>
      <c r="AH272" s="45"/>
      <c r="AI272" s="45"/>
      <c r="AJ272" s="45">
        <v>150</v>
      </c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</row>
    <row r="273" hidden="1" customHeight="1" spans="1:54">
      <c r="A273" s="51"/>
      <c r="B273" s="45"/>
      <c r="C273" s="52" t="s">
        <v>13</v>
      </c>
      <c r="D273" s="45"/>
      <c r="E273" s="45">
        <v>0</v>
      </c>
      <c r="F273" s="36">
        <f ca="1">SUMIF(I$3:$BB272,"入库",I273:$BB273)</f>
        <v>270</v>
      </c>
      <c r="G273" s="45">
        <f ca="1">SUMIF(J$3:$BB272,"出库",J273:$BB273)</f>
        <v>0</v>
      </c>
      <c r="H273" s="37">
        <f ca="1" t="shared" si="4"/>
        <v>270</v>
      </c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>
        <v>270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</row>
    <row r="274" hidden="1" customHeight="1" spans="1:54">
      <c r="A274" s="53"/>
      <c r="B274" s="45"/>
      <c r="C274" s="45" t="s">
        <v>14</v>
      </c>
      <c r="D274" s="45"/>
      <c r="E274" s="45">
        <v>0</v>
      </c>
      <c r="F274" s="36">
        <f ca="1">SUMIF(I$3:$BB273,"入库",I274:$BB274)</f>
        <v>90</v>
      </c>
      <c r="G274" s="45">
        <f ca="1">SUMIF(J$3:$BB273,"出库",J274:$BB274)</f>
        <v>0</v>
      </c>
      <c r="H274" s="37">
        <f ca="1" t="shared" si="4"/>
        <v>90</v>
      </c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>
        <v>90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</row>
    <row r="275" hidden="1" customHeight="1" spans="1:54">
      <c r="A275" s="49">
        <f>ROW()-4</f>
        <v>271</v>
      </c>
      <c r="B275" s="45" t="s">
        <v>105</v>
      </c>
      <c r="C275" s="50" t="s">
        <v>12</v>
      </c>
      <c r="D275" s="45"/>
      <c r="E275" s="45">
        <v>0</v>
      </c>
      <c r="F275" s="36">
        <f ca="1">SUMIF(I$3:$BB274,"入库",I275:$BB275)</f>
        <v>1400</v>
      </c>
      <c r="G275" s="45">
        <f ca="1">SUMIF(J$3:$BB274,"出库",J275:$BB275)</f>
        <v>8</v>
      </c>
      <c r="H275" s="37">
        <f ca="1" t="shared" si="4"/>
        <v>1392</v>
      </c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>
        <v>1400</v>
      </c>
      <c r="AJ275" s="45">
        <v>8</v>
      </c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</row>
    <row r="276" hidden="1" customHeight="1" spans="1:54">
      <c r="A276" s="51"/>
      <c r="B276" s="45"/>
      <c r="C276" s="52" t="s">
        <v>13</v>
      </c>
      <c r="D276" s="45"/>
      <c r="E276" s="45">
        <v>0</v>
      </c>
      <c r="F276" s="36">
        <f ca="1">SUMIF(I$3:$BB275,"入库",I276:$BB276)</f>
        <v>50</v>
      </c>
      <c r="G276" s="45">
        <f ca="1">SUMIF(J$3:$BB275,"出库",J276:$BB276)</f>
        <v>0</v>
      </c>
      <c r="H276" s="37">
        <f ca="1" t="shared" si="4"/>
        <v>50</v>
      </c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>
        <v>50</v>
      </c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</row>
    <row r="277" hidden="1" customHeight="1" spans="1:54">
      <c r="A277" s="53"/>
      <c r="B277" s="45"/>
      <c r="C277" s="45" t="s">
        <v>14</v>
      </c>
      <c r="D277" s="45"/>
      <c r="E277" s="45">
        <v>0</v>
      </c>
      <c r="F277" s="36">
        <f ca="1">SUMIF(I$3:$BB276,"入库",I277:$BB277)</f>
        <v>50</v>
      </c>
      <c r="G277" s="45">
        <f ca="1">SUMIF(J$3:$BB276,"出库",J277:$BB277)</f>
        <v>0</v>
      </c>
      <c r="H277" s="37">
        <f ca="1" t="shared" si="4"/>
        <v>50</v>
      </c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>
        <v>50</v>
      </c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</row>
    <row r="278" hidden="1" customHeight="1" spans="1:54">
      <c r="A278" s="49">
        <f>ROW()-4</f>
        <v>274</v>
      </c>
      <c r="B278" s="45" t="s">
        <v>106</v>
      </c>
      <c r="C278" s="50" t="s">
        <v>12</v>
      </c>
      <c r="D278" s="45"/>
      <c r="E278" s="45">
        <v>0</v>
      </c>
      <c r="F278" s="36">
        <f ca="1">SUMIF(I$3:$BB277,"入库",I278:$BB278)</f>
        <v>1340</v>
      </c>
      <c r="G278" s="45">
        <f ca="1">SUMIF(J$3:$BB277,"出库",J278:$BB278)</f>
        <v>50</v>
      </c>
      <c r="H278" s="37">
        <f ca="1" t="shared" si="4"/>
        <v>1290</v>
      </c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>
        <v>1340</v>
      </c>
      <c r="AH278" s="45"/>
      <c r="AI278" s="45"/>
      <c r="AJ278" s="45">
        <v>50</v>
      </c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</row>
    <row r="279" hidden="1" customHeight="1" spans="1:54">
      <c r="A279" s="51"/>
      <c r="B279" s="45"/>
      <c r="C279" s="52" t="s">
        <v>13</v>
      </c>
      <c r="D279" s="45"/>
      <c r="E279" s="45">
        <v>0</v>
      </c>
      <c r="F279" s="36">
        <f ca="1">SUMIF(I$3:$BB278,"入库",I279:$BB279)</f>
        <v>50</v>
      </c>
      <c r="G279" s="45">
        <f ca="1">SUMIF(J$3:$BB278,"出库",J279:$BB279)</f>
        <v>0</v>
      </c>
      <c r="H279" s="37">
        <f ca="1" t="shared" si="4"/>
        <v>50</v>
      </c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>
        <v>50</v>
      </c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</row>
    <row r="280" hidden="1" customHeight="1" spans="1:54">
      <c r="A280" s="53"/>
      <c r="B280" s="45"/>
      <c r="C280" s="45" t="s">
        <v>14</v>
      </c>
      <c r="D280" s="45"/>
      <c r="E280" s="45">
        <v>0</v>
      </c>
      <c r="F280" s="36">
        <f ca="1">SUMIF(I$3:$BB279,"入库",I280:$BB280)</f>
        <v>3</v>
      </c>
      <c r="G280" s="45">
        <f ca="1">SUMIF(J$3:$BB279,"出库",J280:$BB280)</f>
        <v>0</v>
      </c>
      <c r="H280" s="37">
        <f ca="1" t="shared" si="4"/>
        <v>3</v>
      </c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>
        <v>3</v>
      </c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</row>
    <row r="281" hidden="1" customHeight="1" spans="1:54">
      <c r="A281" s="49">
        <f>ROW()-4</f>
        <v>277</v>
      </c>
      <c r="B281" s="45" t="s">
        <v>107</v>
      </c>
      <c r="C281" s="50" t="s">
        <v>12</v>
      </c>
      <c r="D281" s="45"/>
      <c r="E281" s="45">
        <v>0</v>
      </c>
      <c r="F281" s="36">
        <f ca="1">SUMIF(I$3:$BB280,"入库",I281:$BB281)</f>
        <v>3800</v>
      </c>
      <c r="G281" s="45">
        <f ca="1">SUMIF(J$3:$BB280,"出库",J281:$BB281)</f>
        <v>301</v>
      </c>
      <c r="H281" s="37">
        <f ca="1" t="shared" si="4"/>
        <v>3499</v>
      </c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>
        <v>3800</v>
      </c>
      <c r="AH281" s="45"/>
      <c r="AI281" s="45"/>
      <c r="AJ281" s="45">
        <v>300</v>
      </c>
      <c r="AK281" s="45"/>
      <c r="AL281" s="45">
        <v>1</v>
      </c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</row>
    <row r="282" hidden="1" customHeight="1" spans="1:54">
      <c r="A282" s="51"/>
      <c r="B282" s="45"/>
      <c r="C282" s="52" t="s">
        <v>13</v>
      </c>
      <c r="D282" s="45"/>
      <c r="E282" s="45">
        <v>0</v>
      </c>
      <c r="F282" s="36">
        <f ca="1">SUMIF(I$3:$BB281,"入库",I282:$BB282)</f>
        <v>0</v>
      </c>
      <c r="G282" s="45">
        <f ca="1">SUMIF(J$3:$BB281,"出库",J282:$BB282)</f>
        <v>0</v>
      </c>
      <c r="H282" s="37">
        <f ca="1" t="shared" si="4"/>
        <v>0</v>
      </c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</row>
    <row r="283" hidden="1" customHeight="1" spans="1:54">
      <c r="A283" s="53"/>
      <c r="B283" s="45"/>
      <c r="C283" s="45" t="s">
        <v>14</v>
      </c>
      <c r="D283" s="45"/>
      <c r="E283" s="45">
        <v>0</v>
      </c>
      <c r="F283" s="36">
        <f ca="1">SUMIF(I$3:$BB282,"入库",I283:$BB283)</f>
        <v>0</v>
      </c>
      <c r="G283" s="45">
        <f ca="1">SUMIF(J$3:$BB282,"出库",J283:$BB283)</f>
        <v>0</v>
      </c>
      <c r="H283" s="37">
        <f ca="1" t="shared" si="4"/>
        <v>0</v>
      </c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</row>
    <row r="284" hidden="1" customHeight="1" spans="1:54">
      <c r="A284" s="49">
        <f>ROW()-4</f>
        <v>280</v>
      </c>
      <c r="B284" s="45" t="s">
        <v>108</v>
      </c>
      <c r="C284" s="50" t="s">
        <v>12</v>
      </c>
      <c r="D284" s="45"/>
      <c r="E284" s="45">
        <v>0</v>
      </c>
      <c r="F284" s="36">
        <f ca="1">SUMIF(I$3:$BB283,"入库",I284:$BB284)</f>
        <v>285</v>
      </c>
      <c r="G284" s="45">
        <f ca="1">SUMIF(J$3:$BB283,"出库",J284:$BB284)</f>
        <v>95</v>
      </c>
      <c r="H284" s="37">
        <f ca="1" t="shared" si="4"/>
        <v>190</v>
      </c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>
        <v>240</v>
      </c>
      <c r="AD284" s="45"/>
      <c r="AE284" s="45"/>
      <c r="AF284" s="45"/>
      <c r="AG284" s="45"/>
      <c r="AH284" s="45">
        <v>95</v>
      </c>
      <c r="AI284" s="45">
        <v>45</v>
      </c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</row>
    <row r="285" hidden="1" customHeight="1" spans="1:54">
      <c r="A285" s="51"/>
      <c r="B285" s="45"/>
      <c r="C285" s="52" t="s">
        <v>13</v>
      </c>
      <c r="D285" s="45"/>
      <c r="E285" s="45">
        <v>0</v>
      </c>
      <c r="F285" s="36">
        <f ca="1">SUMIF(I$3:$BB284,"入库",I285:$BB285)</f>
        <v>40</v>
      </c>
      <c r="G285" s="45">
        <f ca="1">SUMIF(J$3:$BB284,"出库",J285:$BB285)</f>
        <v>0</v>
      </c>
      <c r="H285" s="37">
        <f ca="1" t="shared" si="4"/>
        <v>40</v>
      </c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>
        <v>40</v>
      </c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</row>
    <row r="286" hidden="1" customHeight="1" spans="1:54">
      <c r="A286" s="53"/>
      <c r="B286" s="45"/>
      <c r="C286" s="45" t="s">
        <v>14</v>
      </c>
      <c r="D286" s="45"/>
      <c r="E286" s="45">
        <v>0</v>
      </c>
      <c r="F286" s="36">
        <f ca="1">SUMIF(I$3:$BB285,"入库",I286:$BB286)</f>
        <v>10</v>
      </c>
      <c r="G286" s="45">
        <f ca="1">SUMIF(J$3:$BB285,"出库",J286:$BB286)</f>
        <v>0</v>
      </c>
      <c r="H286" s="37">
        <f ca="1" t="shared" si="4"/>
        <v>10</v>
      </c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>
        <v>10</v>
      </c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</row>
    <row r="287" hidden="1" customHeight="1" spans="1:54">
      <c r="A287" s="49">
        <f>ROW()-4</f>
        <v>283</v>
      </c>
      <c r="B287" s="45" t="s">
        <v>109</v>
      </c>
      <c r="C287" s="50" t="s">
        <v>12</v>
      </c>
      <c r="D287" s="45"/>
      <c r="E287" s="45">
        <v>0</v>
      </c>
      <c r="F287" s="36">
        <f ca="1">SUMIF(I$3:$BB286,"入库",I287:$BB287)</f>
        <v>1050</v>
      </c>
      <c r="G287" s="45">
        <f ca="1">SUMIF(J$3:$BB286,"出库",J287:$BB287)</f>
        <v>650</v>
      </c>
      <c r="H287" s="37">
        <f ca="1" t="shared" si="4"/>
        <v>400</v>
      </c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>
        <v>1050</v>
      </c>
      <c r="AD287" s="45"/>
      <c r="AE287" s="45"/>
      <c r="AF287" s="45"/>
      <c r="AG287" s="45"/>
      <c r="AH287" s="45">
        <v>350</v>
      </c>
      <c r="AI287" s="45"/>
      <c r="AJ287" s="45">
        <v>300</v>
      </c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</row>
    <row r="288" hidden="1" customHeight="1" spans="1:54">
      <c r="A288" s="51"/>
      <c r="B288" s="45"/>
      <c r="C288" s="52" t="s">
        <v>13</v>
      </c>
      <c r="D288" s="45"/>
      <c r="E288" s="45">
        <v>0</v>
      </c>
      <c r="F288" s="36">
        <f ca="1">SUMIF(I$3:$BB287,"入库",I288:$BB288)</f>
        <v>3</v>
      </c>
      <c r="G288" s="45">
        <f ca="1">SUMIF(J$3:$BB287,"出库",J288:$BB288)</f>
        <v>0</v>
      </c>
      <c r="H288" s="37">
        <f ca="1" t="shared" si="4"/>
        <v>3</v>
      </c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>
        <v>3</v>
      </c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</row>
    <row r="289" hidden="1" customHeight="1" spans="1:54">
      <c r="A289" s="53"/>
      <c r="B289" s="45"/>
      <c r="C289" s="45" t="s">
        <v>14</v>
      </c>
      <c r="D289" s="45"/>
      <c r="E289" s="45">
        <v>0</v>
      </c>
      <c r="F289" s="36">
        <f ca="1">SUMIF(I$3:$BB288,"入库",I289:$BB289)</f>
        <v>10</v>
      </c>
      <c r="G289" s="45">
        <f ca="1">SUMIF(J$3:$BB288,"出库",J289:$BB289)</f>
        <v>0</v>
      </c>
      <c r="H289" s="37">
        <f ca="1" t="shared" si="4"/>
        <v>10</v>
      </c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>
        <v>10</v>
      </c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</row>
    <row r="290" hidden="1" customHeight="1" spans="1:54">
      <c r="A290" s="49">
        <f>ROW()-4</f>
        <v>286</v>
      </c>
      <c r="B290" s="45" t="s">
        <v>110</v>
      </c>
      <c r="C290" s="50" t="s">
        <v>12</v>
      </c>
      <c r="D290" s="45"/>
      <c r="E290" s="45">
        <v>0</v>
      </c>
      <c r="F290" s="36">
        <f ca="1">SUMIF(I$3:$BB289,"入库",I290:$BB290)</f>
        <v>3650</v>
      </c>
      <c r="G290" s="45">
        <f ca="1">SUMIF(J$3:$BB289,"出库",J290:$BB290)</f>
        <v>111</v>
      </c>
      <c r="H290" s="37">
        <f ca="1" t="shared" si="4"/>
        <v>3539</v>
      </c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>
        <v>3650</v>
      </c>
      <c r="AD290" s="45"/>
      <c r="AE290" s="45"/>
      <c r="AF290" s="45"/>
      <c r="AG290" s="45"/>
      <c r="AH290" s="45">
        <v>10</v>
      </c>
      <c r="AI290" s="45"/>
      <c r="AJ290" s="45">
        <v>101</v>
      </c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</row>
    <row r="291" hidden="1" customHeight="1" spans="1:54">
      <c r="A291" s="51"/>
      <c r="B291" s="45"/>
      <c r="C291" s="52" t="s">
        <v>13</v>
      </c>
      <c r="D291" s="45"/>
      <c r="E291" s="45">
        <v>0</v>
      </c>
      <c r="F291" s="36">
        <f ca="1">SUMIF(I$3:$BB290,"入库",I291:$BB291)</f>
        <v>80</v>
      </c>
      <c r="G291" s="45">
        <f ca="1">SUMIF(J$3:$BB290,"出库",J291:$BB291)</f>
        <v>0</v>
      </c>
      <c r="H291" s="37">
        <f ca="1" t="shared" si="4"/>
        <v>80</v>
      </c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>
        <v>80</v>
      </c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</row>
    <row r="292" hidden="1" customHeight="1" spans="1:54">
      <c r="A292" s="53"/>
      <c r="B292" s="45"/>
      <c r="C292" s="45" t="s">
        <v>14</v>
      </c>
      <c r="D292" s="45"/>
      <c r="E292" s="45">
        <v>0</v>
      </c>
      <c r="F292" s="36">
        <f ca="1">SUMIF(I$3:$BB291,"入库",I292:$BB292)</f>
        <v>50</v>
      </c>
      <c r="G292" s="45">
        <f ca="1">SUMIF(J$3:$BB291,"出库",J292:$BB292)</f>
        <v>0</v>
      </c>
      <c r="H292" s="37">
        <f ca="1" t="shared" si="4"/>
        <v>50</v>
      </c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>
        <v>50</v>
      </c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</row>
    <row r="293" hidden="1" customHeight="1" spans="1:54">
      <c r="A293" s="49">
        <f>ROW()-4</f>
        <v>289</v>
      </c>
      <c r="B293" s="45" t="s">
        <v>111</v>
      </c>
      <c r="C293" s="50" t="s">
        <v>12</v>
      </c>
      <c r="D293" s="45"/>
      <c r="E293" s="45">
        <v>0</v>
      </c>
      <c r="F293" s="36">
        <f ca="1">SUMIF(I$3:$BB292,"入库",I293:$BB293)</f>
        <v>3300</v>
      </c>
      <c r="G293" s="45">
        <f ca="1">SUMIF(J$3:$BB292,"出库",J293:$BB293)</f>
        <v>230</v>
      </c>
      <c r="H293" s="37">
        <f ca="1" t="shared" si="4"/>
        <v>3070</v>
      </c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>
        <v>3300</v>
      </c>
      <c r="AB293" s="45"/>
      <c r="AC293" s="45"/>
      <c r="AD293" s="45">
        <v>100</v>
      </c>
      <c r="AE293" s="45"/>
      <c r="AF293" s="45"/>
      <c r="AG293" s="45"/>
      <c r="AH293" s="45">
        <v>30</v>
      </c>
      <c r="AI293" s="45"/>
      <c r="AJ293" s="45">
        <v>100</v>
      </c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</row>
    <row r="294" hidden="1" customHeight="1" spans="1:54">
      <c r="A294" s="51"/>
      <c r="B294" s="45"/>
      <c r="C294" s="52" t="s">
        <v>13</v>
      </c>
      <c r="D294" s="45"/>
      <c r="E294" s="45">
        <v>0</v>
      </c>
      <c r="F294" s="36">
        <f ca="1">SUMIF(I$3:$BB293,"入库",I294:$BB294)</f>
        <v>50</v>
      </c>
      <c r="G294" s="45">
        <f ca="1">SUMIF(J$3:$BB293,"出库",J294:$BB294)</f>
        <v>0</v>
      </c>
      <c r="H294" s="37">
        <f ca="1" t="shared" si="4"/>
        <v>50</v>
      </c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>
        <v>50</v>
      </c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</row>
    <row r="295" hidden="1" customHeight="1" spans="1:54">
      <c r="A295" s="53"/>
      <c r="B295" s="45"/>
      <c r="C295" s="45" t="s">
        <v>14</v>
      </c>
      <c r="D295" s="45"/>
      <c r="E295" s="45">
        <v>0</v>
      </c>
      <c r="F295" s="36">
        <f ca="1">SUMIF(I$3:$BB294,"入库",I295:$BB295)</f>
        <v>100</v>
      </c>
      <c r="G295" s="45">
        <f ca="1">SUMIF(J$3:$BB294,"出库",J295:$BB295)</f>
        <v>3</v>
      </c>
      <c r="H295" s="37">
        <f ca="1" t="shared" si="4"/>
        <v>97</v>
      </c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>
        <v>100</v>
      </c>
      <c r="AB295" s="45"/>
      <c r="AC295" s="45"/>
      <c r="AD295" s="45"/>
      <c r="AE295" s="45"/>
      <c r="AF295" s="45"/>
      <c r="AG295" s="45"/>
      <c r="AH295" s="45">
        <v>3</v>
      </c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</row>
    <row r="296" hidden="1" customHeight="1" spans="1:54">
      <c r="A296" s="49">
        <f>ROW()-4</f>
        <v>292</v>
      </c>
      <c r="B296" s="45" t="s">
        <v>112</v>
      </c>
      <c r="C296" s="50" t="s">
        <v>12</v>
      </c>
      <c r="D296" s="45"/>
      <c r="E296" s="45">
        <v>0</v>
      </c>
      <c r="F296" s="36">
        <f ca="1">SUMIF(I$3:$BB295,"入库",I296:$BB296)</f>
        <v>1400</v>
      </c>
      <c r="G296" s="45">
        <f ca="1">SUMIF(J$3:$BB295,"出库",J296:$BB296)</f>
        <v>280</v>
      </c>
      <c r="H296" s="37">
        <f ca="1" t="shared" si="4"/>
        <v>1120</v>
      </c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>
        <v>1400</v>
      </c>
      <c r="AB296" s="45"/>
      <c r="AC296" s="45"/>
      <c r="AD296" s="45"/>
      <c r="AE296" s="45"/>
      <c r="AF296" s="45"/>
      <c r="AG296" s="45"/>
      <c r="AH296" s="45">
        <v>280</v>
      </c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</row>
    <row r="297" hidden="1" customHeight="1" spans="1:54">
      <c r="A297" s="51"/>
      <c r="B297" s="45"/>
      <c r="C297" s="52" t="s">
        <v>13</v>
      </c>
      <c r="D297" s="45"/>
      <c r="E297" s="45">
        <v>0</v>
      </c>
      <c r="F297" s="36">
        <f ca="1">SUMIF(I$3:$BB296,"入库",I297:$BB297)</f>
        <v>160</v>
      </c>
      <c r="G297" s="45">
        <f ca="1">SUMIF(J$3:$BB296,"出库",J297:$BB297)</f>
        <v>0</v>
      </c>
      <c r="H297" s="37">
        <f ca="1" t="shared" si="4"/>
        <v>160</v>
      </c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>
        <v>160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</row>
    <row r="298" hidden="1" customHeight="1" spans="1:54">
      <c r="A298" s="53"/>
      <c r="B298" s="45"/>
      <c r="C298" s="45" t="s">
        <v>14</v>
      </c>
      <c r="D298" s="45"/>
      <c r="E298" s="45">
        <v>0</v>
      </c>
      <c r="F298" s="36">
        <f ca="1">SUMIF(I$3:$BB297,"入库",I298:$BB298)</f>
        <v>260</v>
      </c>
      <c r="G298" s="45">
        <f ca="1">SUMIF(J$3:$BB297,"出库",J298:$BB298)</f>
        <v>0</v>
      </c>
      <c r="H298" s="37">
        <f ca="1" t="shared" si="4"/>
        <v>260</v>
      </c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>
        <v>260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</row>
    <row r="299" hidden="1" customHeight="1" spans="1:54">
      <c r="A299" s="49">
        <f>ROW()-4</f>
        <v>295</v>
      </c>
      <c r="B299" s="45" t="s">
        <v>113</v>
      </c>
      <c r="C299" s="50" t="s">
        <v>12</v>
      </c>
      <c r="D299" s="45"/>
      <c r="E299" s="45">
        <v>0</v>
      </c>
      <c r="F299" s="36">
        <f ca="1">SUMIF(I$3:$BB298,"入库",I299:$BB299)</f>
        <v>2550</v>
      </c>
      <c r="G299" s="45">
        <f ca="1">SUMIF(J$3:$BB298,"出库",J299:$BB299)</f>
        <v>39</v>
      </c>
      <c r="H299" s="37">
        <f ca="1" t="shared" si="4"/>
        <v>2511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>
        <v>2550</v>
      </c>
      <c r="AB299" s="45"/>
      <c r="AC299" s="45"/>
      <c r="AD299" s="45"/>
      <c r="AE299" s="45"/>
      <c r="AF299" s="45"/>
      <c r="AG299" s="45"/>
      <c r="AH299" s="45">
        <v>20</v>
      </c>
      <c r="AI299" s="45"/>
      <c r="AJ299" s="45">
        <v>19</v>
      </c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</row>
    <row r="300" hidden="1" customHeight="1" spans="1:54">
      <c r="A300" s="51"/>
      <c r="B300" s="45"/>
      <c r="C300" s="52" t="s">
        <v>13</v>
      </c>
      <c r="D300" s="45"/>
      <c r="E300" s="45">
        <v>0</v>
      </c>
      <c r="F300" s="36">
        <f ca="1">SUMIF(I$3:$BB299,"入库",I300:$BB300)</f>
        <v>50</v>
      </c>
      <c r="G300" s="45">
        <f ca="1">SUMIF(J$3:$BB299,"出库",J300:$BB300)</f>
        <v>50</v>
      </c>
      <c r="H300" s="37">
        <f ca="1" t="shared" si="4"/>
        <v>0</v>
      </c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>
        <v>50</v>
      </c>
      <c r="AB300" s="45"/>
      <c r="AC300" s="45"/>
      <c r="AD300" s="45"/>
      <c r="AE300" s="45"/>
      <c r="AF300" s="45"/>
      <c r="AG300" s="45"/>
      <c r="AH300" s="45"/>
      <c r="AI300" s="45"/>
      <c r="AJ300" s="45">
        <v>50</v>
      </c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</row>
    <row r="301" hidden="1" customHeight="1" spans="1:54">
      <c r="A301" s="53"/>
      <c r="B301" s="45"/>
      <c r="C301" s="45" t="s">
        <v>14</v>
      </c>
      <c r="D301" s="45"/>
      <c r="E301" s="45">
        <v>0</v>
      </c>
      <c r="F301" s="36">
        <f ca="1">SUMIF(I$3:$BB300,"入库",I301:$BB301)</f>
        <v>0</v>
      </c>
      <c r="G301" s="45">
        <f ca="1">SUMIF(J$3:$BB300,"出库",J301:$BB301)</f>
        <v>0</v>
      </c>
      <c r="H301" s="37">
        <f ca="1" t="shared" si="4"/>
        <v>0</v>
      </c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</row>
    <row r="302" hidden="1" customHeight="1" spans="1:54">
      <c r="A302" s="49">
        <f>ROW()-4</f>
        <v>298</v>
      </c>
      <c r="B302" s="45" t="s">
        <v>114</v>
      </c>
      <c r="C302" s="50" t="s">
        <v>12</v>
      </c>
      <c r="D302" s="45"/>
      <c r="E302" s="45">
        <v>0</v>
      </c>
      <c r="F302" s="36">
        <f ca="1">SUMIF(I$3:$BB301,"入库",I302:$BB302)</f>
        <v>3650</v>
      </c>
      <c r="G302" s="45">
        <f ca="1">SUMIF(J$3:$BB301,"出库",J302:$BB302)</f>
        <v>0</v>
      </c>
      <c r="H302" s="37">
        <f ca="1" t="shared" si="4"/>
        <v>3650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>
        <v>3650</v>
      </c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</row>
    <row r="303" hidden="1" customHeight="1" spans="1:54">
      <c r="A303" s="51"/>
      <c r="B303" s="45"/>
      <c r="C303" s="52" t="s">
        <v>13</v>
      </c>
      <c r="D303" s="45"/>
      <c r="E303" s="45">
        <v>0</v>
      </c>
      <c r="F303" s="36">
        <f ca="1">SUMIF(I$3:$BB302,"入库",I303:$BB303)</f>
        <v>2500</v>
      </c>
      <c r="G303" s="45">
        <f ca="1">SUMIF(J$3:$BB302,"出库",J303:$BB303)</f>
        <v>0</v>
      </c>
      <c r="H303" s="37">
        <f ca="1" t="shared" si="4"/>
        <v>2500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>
        <v>2500</v>
      </c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</row>
    <row r="304" hidden="1" customHeight="1" spans="1:54">
      <c r="A304" s="53"/>
      <c r="B304" s="45"/>
      <c r="C304" s="45" t="s">
        <v>14</v>
      </c>
      <c r="D304" s="45"/>
      <c r="E304" s="45">
        <v>0</v>
      </c>
      <c r="F304" s="36">
        <f ca="1">SUMIF(I$3:$BB303,"入库",I304:$BB304)</f>
        <v>4</v>
      </c>
      <c r="G304" s="45">
        <f ca="1">SUMIF(J$3:$BB303,"出库",J304:$BB304)</f>
        <v>0</v>
      </c>
      <c r="H304" s="37">
        <f ca="1" t="shared" si="4"/>
        <v>4</v>
      </c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>
        <v>4</v>
      </c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</row>
    <row r="305" hidden="1" customHeight="1" spans="1:54">
      <c r="A305" s="49">
        <f>ROW()-4</f>
        <v>301</v>
      </c>
      <c r="B305" s="45" t="s">
        <v>115</v>
      </c>
      <c r="C305" s="50" t="s">
        <v>12</v>
      </c>
      <c r="D305" s="45"/>
      <c r="E305" s="45">
        <v>0</v>
      </c>
      <c r="F305" s="36">
        <f ca="1">SUMIF(I$3:$BB304,"入库",I305:$BB305)</f>
        <v>3780</v>
      </c>
      <c r="G305" s="45">
        <f ca="1">SUMIF(J$3:$BB304,"出库",J305:$BB305)</f>
        <v>0</v>
      </c>
      <c r="H305" s="37">
        <f ca="1" t="shared" si="4"/>
        <v>3780</v>
      </c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>
        <v>3780</v>
      </c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</row>
    <row r="306" hidden="1" customHeight="1" spans="1:54">
      <c r="A306" s="51"/>
      <c r="B306" s="45"/>
      <c r="C306" s="52" t="s">
        <v>13</v>
      </c>
      <c r="D306" s="45"/>
      <c r="E306" s="45">
        <v>0</v>
      </c>
      <c r="F306" s="36">
        <f ca="1">SUMIF(I$3:$BB305,"入库",I306:$BB306)</f>
        <v>4</v>
      </c>
      <c r="G306" s="45">
        <f ca="1">SUMIF(J$3:$BB305,"出库",J306:$BB306)</f>
        <v>0</v>
      </c>
      <c r="H306" s="37">
        <f ca="1" t="shared" si="4"/>
        <v>4</v>
      </c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>
        <v>4</v>
      </c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</row>
    <row r="307" hidden="1" customHeight="1" spans="1:54">
      <c r="A307" s="53"/>
      <c r="B307" s="45"/>
      <c r="C307" s="45" t="s">
        <v>14</v>
      </c>
      <c r="D307" s="45"/>
      <c r="E307" s="45">
        <v>0</v>
      </c>
      <c r="F307" s="36">
        <f ca="1">SUMIF(I$3:$BB306,"入库",I307:$BB307)</f>
        <v>0</v>
      </c>
      <c r="G307" s="45">
        <f ca="1">SUMIF(J$3:$BB306,"出库",J307:$BB307)</f>
        <v>0</v>
      </c>
      <c r="H307" s="37">
        <f ca="1" t="shared" si="4"/>
        <v>0</v>
      </c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</row>
    <row r="308" hidden="1" customHeight="1" spans="1:54">
      <c r="A308" s="49">
        <f>ROW()-4</f>
        <v>304</v>
      </c>
      <c r="B308" s="45" t="s">
        <v>116</v>
      </c>
      <c r="C308" s="50" t="s">
        <v>12</v>
      </c>
      <c r="D308" s="45"/>
      <c r="E308" s="45">
        <v>0</v>
      </c>
      <c r="F308" s="36">
        <f ca="1">SUMIF(I$3:$BB307,"入库",I308:$BB308)</f>
        <v>1450</v>
      </c>
      <c r="G308" s="45">
        <f ca="1">SUMIF(J$3:$BB307,"出库",J308:$BB308)</f>
        <v>6</v>
      </c>
      <c r="H308" s="37">
        <f ca="1" t="shared" si="4"/>
        <v>1444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>
        <v>1450</v>
      </c>
      <c r="AH308" s="45"/>
      <c r="AI308" s="45"/>
      <c r="AJ308" s="45">
        <v>6</v>
      </c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</row>
    <row r="309" hidden="1" customHeight="1" spans="1:54">
      <c r="A309" s="51"/>
      <c r="B309" s="45"/>
      <c r="C309" s="52" t="s">
        <v>13</v>
      </c>
      <c r="D309" s="45"/>
      <c r="E309" s="45">
        <v>0</v>
      </c>
      <c r="F309" s="36">
        <f ca="1">SUMIF(I$3:$BB308,"入库",I309:$BB309)</f>
        <v>10</v>
      </c>
      <c r="G309" s="45">
        <f ca="1">SUMIF(J$3:$BB308,"出库",J309:$BB309)</f>
        <v>0</v>
      </c>
      <c r="H309" s="37">
        <f ca="1" t="shared" si="4"/>
        <v>10</v>
      </c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>
        <v>10</v>
      </c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</row>
    <row r="310" hidden="1" customHeight="1" spans="1:54">
      <c r="A310" s="53"/>
      <c r="B310" s="45"/>
      <c r="C310" s="45" t="s">
        <v>14</v>
      </c>
      <c r="D310" s="45"/>
      <c r="E310" s="45">
        <v>0</v>
      </c>
      <c r="F310" s="36">
        <f ca="1">SUMIF(I$3:$BB309,"入库",I310:$BB310)</f>
        <v>10</v>
      </c>
      <c r="G310" s="45">
        <f ca="1">SUMIF(J$3:$BB309,"出库",J310:$BB310)</f>
        <v>0</v>
      </c>
      <c r="H310" s="37">
        <f ca="1" t="shared" si="4"/>
        <v>10</v>
      </c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>
        <v>10</v>
      </c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</row>
    <row r="311" hidden="1" customHeight="1" spans="1:54">
      <c r="A311" s="49">
        <f>ROW()-4</f>
        <v>307</v>
      </c>
      <c r="B311" s="45" t="s">
        <v>117</v>
      </c>
      <c r="C311" s="50" t="s">
        <v>12</v>
      </c>
      <c r="D311" s="45"/>
      <c r="E311" s="45">
        <v>0</v>
      </c>
      <c r="F311" s="36">
        <f ca="1">SUMIF(I$3:$BB310,"入库",I311:$BB311)</f>
        <v>2800</v>
      </c>
      <c r="G311" s="45">
        <f ca="1">SUMIF(J$3:$BB310,"出库",J311:$BB311)</f>
        <v>517</v>
      </c>
      <c r="H311" s="37">
        <f ca="1" t="shared" si="4"/>
        <v>2283</v>
      </c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>
        <v>2800</v>
      </c>
      <c r="AD311" s="45"/>
      <c r="AE311" s="45"/>
      <c r="AF311" s="45"/>
      <c r="AG311" s="45"/>
      <c r="AH311" s="45">
        <v>400</v>
      </c>
      <c r="AI311" s="45"/>
      <c r="AJ311" s="45">
        <v>117</v>
      </c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</row>
    <row r="312" hidden="1" customHeight="1" spans="1:54">
      <c r="A312" s="51"/>
      <c r="B312" s="45"/>
      <c r="C312" s="52" t="s">
        <v>13</v>
      </c>
      <c r="D312" s="45"/>
      <c r="E312" s="45">
        <v>0</v>
      </c>
      <c r="F312" s="36">
        <f ca="1">SUMIF(I$3:$BB311,"入库",I312:$BB312)</f>
        <v>150</v>
      </c>
      <c r="G312" s="45">
        <f ca="1">SUMIF(J$3:$BB311,"出库",J312:$BB312)</f>
        <v>0</v>
      </c>
      <c r="H312" s="37">
        <f ca="1" t="shared" si="4"/>
        <v>150</v>
      </c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>
        <v>150</v>
      </c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</row>
    <row r="313" hidden="1" customHeight="1" spans="1:54">
      <c r="A313" s="53"/>
      <c r="B313" s="45"/>
      <c r="C313" s="45" t="s">
        <v>14</v>
      </c>
      <c r="D313" s="45"/>
      <c r="E313" s="45">
        <v>0</v>
      </c>
      <c r="F313" s="36">
        <f ca="1">SUMIF(I$3:$BB312,"入库",I313:$BB313)</f>
        <v>0</v>
      </c>
      <c r="G313" s="45">
        <f ca="1">SUMIF(J$3:$BB312,"出库",J313:$BB313)</f>
        <v>0</v>
      </c>
      <c r="H313" s="37">
        <f ca="1" t="shared" si="4"/>
        <v>0</v>
      </c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</row>
    <row r="314" hidden="1" customHeight="1" spans="1:54">
      <c r="A314" s="49">
        <f>ROW()-4</f>
        <v>310</v>
      </c>
      <c r="B314" s="45" t="s">
        <v>118</v>
      </c>
      <c r="C314" s="50" t="s">
        <v>12</v>
      </c>
      <c r="D314" s="45"/>
      <c r="E314" s="45">
        <v>0</v>
      </c>
      <c r="F314" s="36">
        <f ca="1">SUMIF(I$3:$BB313,"入库",I314:$BB314)</f>
        <v>2020</v>
      </c>
      <c r="G314" s="45">
        <f ca="1">SUMIF(J$3:$BB313,"出库",J314:$BB314)</f>
        <v>150</v>
      </c>
      <c r="H314" s="37">
        <f ca="1" t="shared" si="4"/>
        <v>1870</v>
      </c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>
        <v>2020</v>
      </c>
      <c r="AD314" s="45"/>
      <c r="AE314" s="45"/>
      <c r="AF314" s="45"/>
      <c r="AG314" s="45"/>
      <c r="AH314" s="45"/>
      <c r="AI314" s="45"/>
      <c r="AJ314" s="45">
        <v>150</v>
      </c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</row>
    <row r="315" hidden="1" customHeight="1" spans="1:54">
      <c r="A315" s="51"/>
      <c r="B315" s="45"/>
      <c r="C315" s="52" t="s">
        <v>13</v>
      </c>
      <c r="D315" s="45"/>
      <c r="E315" s="45">
        <v>0</v>
      </c>
      <c r="F315" s="36">
        <f ca="1">SUMIF(I$3:$BB314,"入库",I315:$BB315)</f>
        <v>80</v>
      </c>
      <c r="G315" s="45">
        <f ca="1">SUMIF(J$3:$BB314,"出库",J315:$BB315)</f>
        <v>0</v>
      </c>
      <c r="H315" s="37">
        <f ca="1" t="shared" si="4"/>
        <v>80</v>
      </c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>
        <v>80</v>
      </c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</row>
    <row r="316" hidden="1" customHeight="1" spans="1:54">
      <c r="A316" s="53"/>
      <c r="B316" s="45"/>
      <c r="C316" s="45" t="s">
        <v>14</v>
      </c>
      <c r="D316" s="45"/>
      <c r="E316" s="45">
        <v>0</v>
      </c>
      <c r="F316" s="36">
        <f ca="1">SUMIF(I$3:$BB315,"入库",I316:$BB316)</f>
        <v>0</v>
      </c>
      <c r="G316" s="45">
        <f ca="1">SUMIF(J$3:$BB315,"出库",J316:$BB316)</f>
        <v>0</v>
      </c>
      <c r="H316" s="37">
        <f ca="1" t="shared" si="4"/>
        <v>0</v>
      </c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</row>
    <row r="317" hidden="1" customHeight="1" spans="1:54">
      <c r="A317" s="49">
        <f>ROW()-4</f>
        <v>313</v>
      </c>
      <c r="B317" s="45" t="s">
        <v>119</v>
      </c>
      <c r="C317" s="50" t="s">
        <v>12</v>
      </c>
      <c r="D317" s="45"/>
      <c r="E317" s="45">
        <v>0</v>
      </c>
      <c r="F317" s="36">
        <f ca="1">SUMIF(I$3:$BB316,"入库",I317:$BB317)</f>
        <v>1700</v>
      </c>
      <c r="G317" s="45">
        <f ca="1">SUMIF(J$3:$BB316,"出库",J317:$BB317)</f>
        <v>180</v>
      </c>
      <c r="H317" s="37">
        <f ca="1" t="shared" si="4"/>
        <v>1520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>
        <v>1700</v>
      </c>
      <c r="AD317" s="45">
        <v>100</v>
      </c>
      <c r="AE317" s="45"/>
      <c r="AF317" s="45"/>
      <c r="AG317" s="45"/>
      <c r="AH317" s="45"/>
      <c r="AI317" s="45"/>
      <c r="AJ317" s="45">
        <v>80</v>
      </c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</row>
    <row r="318" hidden="1" customHeight="1" spans="1:54">
      <c r="A318" s="51"/>
      <c r="B318" s="45"/>
      <c r="C318" s="52" t="s">
        <v>13</v>
      </c>
      <c r="D318" s="45"/>
      <c r="E318" s="45">
        <v>0</v>
      </c>
      <c r="F318" s="36">
        <f ca="1">SUMIF(I$3:$BB317,"入库",I318:$BB318)</f>
        <v>20</v>
      </c>
      <c r="G318" s="45">
        <f ca="1">SUMIF(J$3:$BB317,"出库",J318:$BB318)</f>
        <v>0</v>
      </c>
      <c r="H318" s="37">
        <f ca="1" t="shared" si="4"/>
        <v>20</v>
      </c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>
        <v>20</v>
      </c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</row>
    <row r="319" hidden="1" customHeight="1" spans="1:54">
      <c r="A319" s="53"/>
      <c r="B319" s="45"/>
      <c r="C319" s="45" t="s">
        <v>14</v>
      </c>
      <c r="D319" s="45"/>
      <c r="E319" s="45">
        <v>0</v>
      </c>
      <c r="F319" s="36">
        <f ca="1">SUMIF(I$3:$BB318,"入库",I319:$BB319)</f>
        <v>5</v>
      </c>
      <c r="G319" s="45">
        <f ca="1">SUMIF(J$3:$BB318,"出库",J319:$BB319)</f>
        <v>0</v>
      </c>
      <c r="H319" s="37">
        <f ca="1" t="shared" si="4"/>
        <v>5</v>
      </c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>
        <v>5</v>
      </c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</row>
    <row r="320" hidden="1" customHeight="1" spans="1:54">
      <c r="A320" s="49">
        <f>ROW()-4</f>
        <v>316</v>
      </c>
      <c r="B320" s="45" t="s">
        <v>120</v>
      </c>
      <c r="C320" s="50" t="s">
        <v>12</v>
      </c>
      <c r="D320" s="45"/>
      <c r="E320" s="45">
        <v>0</v>
      </c>
      <c r="F320" s="36">
        <f ca="1">SUMIF(I$3:$BB319,"入库",I320:$BB320)</f>
        <v>1050</v>
      </c>
      <c r="G320" s="45">
        <f ca="1">SUMIF(J$3:$BB319,"出库",J320:$BB320)</f>
        <v>440</v>
      </c>
      <c r="H320" s="37">
        <f ca="1" t="shared" si="4"/>
        <v>610</v>
      </c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>
        <v>1050</v>
      </c>
      <c r="AB320" s="45"/>
      <c r="AC320" s="45"/>
      <c r="AD320" s="45"/>
      <c r="AE320" s="45"/>
      <c r="AF320" s="45"/>
      <c r="AG320" s="45"/>
      <c r="AH320" s="45">
        <v>440</v>
      </c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</row>
    <row r="321" hidden="1" customHeight="1" spans="1:54">
      <c r="A321" s="51"/>
      <c r="B321" s="45"/>
      <c r="C321" s="52" t="s">
        <v>13</v>
      </c>
      <c r="D321" s="45"/>
      <c r="E321" s="45">
        <v>0</v>
      </c>
      <c r="F321" s="36">
        <f ca="1">SUMIF(I$3:$BB320,"入库",I321:$BB321)</f>
        <v>0</v>
      </c>
      <c r="G321" s="45">
        <f ca="1">SUMIF(J$3:$BB320,"出库",J321:$BB321)</f>
        <v>0</v>
      </c>
      <c r="H321" s="37">
        <f ca="1" t="shared" si="4"/>
        <v>0</v>
      </c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</row>
    <row r="322" hidden="1" customHeight="1" spans="1:54">
      <c r="A322" s="53"/>
      <c r="B322" s="45"/>
      <c r="C322" s="45" t="s">
        <v>14</v>
      </c>
      <c r="D322" s="45"/>
      <c r="E322" s="45">
        <v>0</v>
      </c>
      <c r="F322" s="36">
        <f ca="1">SUMIF(I$3:$BB321,"入库",I322:$BB322)</f>
        <v>300</v>
      </c>
      <c r="G322" s="45">
        <f ca="1">SUMIF(J$3:$BB321,"出库",J322:$BB322)</f>
        <v>0</v>
      </c>
      <c r="H322" s="37">
        <f ca="1" t="shared" si="4"/>
        <v>300</v>
      </c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>
        <v>300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</row>
    <row r="323" hidden="1" customHeight="1" spans="1:54">
      <c r="A323" s="49">
        <f>ROW()-4</f>
        <v>319</v>
      </c>
      <c r="B323" s="45" t="s">
        <v>121</v>
      </c>
      <c r="C323" s="50" t="s">
        <v>12</v>
      </c>
      <c r="D323" s="45"/>
      <c r="E323" s="45">
        <v>0</v>
      </c>
      <c r="F323" s="36">
        <f ca="1">SUMIF(I$3:$BB322,"入库",I323:$BB323)</f>
        <v>625</v>
      </c>
      <c r="G323" s="45">
        <f ca="1">SUMIF(J$3:$BB322,"出库",J323:$BB323)</f>
        <v>200</v>
      </c>
      <c r="H323" s="37">
        <f ca="1" t="shared" si="4"/>
        <v>425</v>
      </c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>
        <v>625</v>
      </c>
      <c r="AB323" s="45"/>
      <c r="AC323" s="45"/>
      <c r="AD323" s="45">
        <v>200</v>
      </c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</row>
    <row r="324" hidden="1" customHeight="1" spans="1:54">
      <c r="A324" s="51"/>
      <c r="B324" s="45"/>
      <c r="C324" s="52" t="s">
        <v>13</v>
      </c>
      <c r="D324" s="45"/>
      <c r="E324" s="45">
        <v>0</v>
      </c>
      <c r="F324" s="36">
        <f ca="1">SUMIF(I$3:$BB323,"入库",I324:$BB324)</f>
        <v>20</v>
      </c>
      <c r="G324" s="45">
        <f ca="1">SUMIF(J$3:$BB323,"出库",J324:$BB324)</f>
        <v>0</v>
      </c>
      <c r="H324" s="37">
        <f ca="1" t="shared" si="4"/>
        <v>20</v>
      </c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>
        <v>20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</row>
    <row r="325" hidden="1" customHeight="1" spans="1:54">
      <c r="A325" s="53"/>
      <c r="B325" s="45"/>
      <c r="C325" s="45" t="s">
        <v>14</v>
      </c>
      <c r="D325" s="45"/>
      <c r="E325" s="45">
        <v>0</v>
      </c>
      <c r="F325" s="36">
        <f ca="1">SUMIF(I$3:$BB324,"入库",I325:$BB325)</f>
        <v>20</v>
      </c>
      <c r="G325" s="45">
        <f ca="1">SUMIF(J$3:$BB324,"出库",J325:$BB325)</f>
        <v>0</v>
      </c>
      <c r="H325" s="37">
        <f ca="1" t="shared" ref="H325:H388" si="5">E325+F325-G325</f>
        <v>20</v>
      </c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>
        <v>20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</row>
    <row r="326" hidden="1" customHeight="1" spans="1:54">
      <c r="A326" s="49">
        <f>ROW()-4</f>
        <v>322</v>
      </c>
      <c r="B326" s="45" t="s">
        <v>122</v>
      </c>
      <c r="C326" s="50" t="s">
        <v>12</v>
      </c>
      <c r="D326" s="45"/>
      <c r="E326" s="45">
        <v>0</v>
      </c>
      <c r="F326" s="36">
        <f ca="1">SUMIF(I$3:$BB325,"入库",I326:$BB326)</f>
        <v>3300</v>
      </c>
      <c r="G326" s="45">
        <f ca="1">SUMIF(J$3:$BB325,"出库",J326:$BB326)</f>
        <v>30</v>
      </c>
      <c r="H326" s="37">
        <f ca="1" t="shared" si="5"/>
        <v>3270</v>
      </c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>
        <v>3300</v>
      </c>
      <c r="AB326" s="45"/>
      <c r="AC326" s="45"/>
      <c r="AD326" s="45"/>
      <c r="AE326" s="45"/>
      <c r="AF326" s="45"/>
      <c r="AG326" s="45"/>
      <c r="AH326" s="45">
        <v>30</v>
      </c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</row>
    <row r="327" hidden="1" customHeight="1" spans="1:54">
      <c r="A327" s="51"/>
      <c r="B327" s="45"/>
      <c r="C327" s="52" t="s">
        <v>13</v>
      </c>
      <c r="D327" s="45"/>
      <c r="E327" s="45">
        <v>0</v>
      </c>
      <c r="F327" s="36">
        <f ca="1">SUMIF(I$3:$BB326,"入库",I327:$BB327)</f>
        <v>0</v>
      </c>
      <c r="G327" s="45">
        <f ca="1">SUMIF(J$3:$BB326,"出库",J327:$BB327)</f>
        <v>0</v>
      </c>
      <c r="H327" s="37">
        <f ca="1" t="shared" si="5"/>
        <v>0</v>
      </c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</row>
    <row r="328" hidden="1" customHeight="1" spans="1:54">
      <c r="A328" s="53"/>
      <c r="B328" s="45"/>
      <c r="C328" s="45" t="s">
        <v>14</v>
      </c>
      <c r="D328" s="45"/>
      <c r="E328" s="45">
        <v>0</v>
      </c>
      <c r="F328" s="36">
        <f ca="1">SUMIF(I$3:$BB327,"入库",I328:$BB328)</f>
        <v>0</v>
      </c>
      <c r="G328" s="45">
        <f ca="1">SUMIF(J$3:$BB327,"出库",J328:$BB328)</f>
        <v>0</v>
      </c>
      <c r="H328" s="37">
        <f ca="1" t="shared" si="5"/>
        <v>0</v>
      </c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</row>
    <row r="329" hidden="1" customHeight="1" spans="1:54">
      <c r="A329" s="49">
        <f>ROW()-4</f>
        <v>325</v>
      </c>
      <c r="B329" s="45" t="s">
        <v>123</v>
      </c>
      <c r="C329" s="50" t="s">
        <v>12</v>
      </c>
      <c r="D329" s="45"/>
      <c r="E329" s="45">
        <v>0</v>
      </c>
      <c r="F329" s="36">
        <f ca="1">SUMIF(I$3:$BB328,"入库",I329:$BB329)</f>
        <v>4550</v>
      </c>
      <c r="G329" s="45">
        <f ca="1">SUMIF(J$3:$BB328,"出库",J329:$BB329)</f>
        <v>0</v>
      </c>
      <c r="H329" s="37">
        <f ca="1" t="shared" si="5"/>
        <v>4550</v>
      </c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>
        <v>4550</v>
      </c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</row>
    <row r="330" hidden="1" customHeight="1" spans="1:54">
      <c r="A330" s="51"/>
      <c r="B330" s="45"/>
      <c r="C330" s="52" t="s">
        <v>13</v>
      </c>
      <c r="D330" s="45"/>
      <c r="E330" s="45">
        <v>0</v>
      </c>
      <c r="F330" s="36">
        <f ca="1">SUMIF(I$3:$BB329,"入库",I330:$BB330)</f>
        <v>50</v>
      </c>
      <c r="G330" s="45">
        <f ca="1">SUMIF(J$3:$BB329,"出库",J330:$BB330)</f>
        <v>0</v>
      </c>
      <c r="H330" s="37">
        <f ca="1" t="shared" si="5"/>
        <v>50</v>
      </c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>
        <v>50</v>
      </c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</row>
    <row r="331" hidden="1" customHeight="1" spans="1:54">
      <c r="A331" s="53"/>
      <c r="B331" s="45"/>
      <c r="C331" s="45" t="s">
        <v>14</v>
      </c>
      <c r="D331" s="45"/>
      <c r="E331" s="45">
        <v>0</v>
      </c>
      <c r="F331" s="36">
        <f ca="1">SUMIF(I$3:$BB330,"入库",I331:$BB331)</f>
        <v>500</v>
      </c>
      <c r="G331" s="45">
        <f ca="1">SUMIF(J$3:$BB330,"出库",J331:$BB331)</f>
        <v>0</v>
      </c>
      <c r="H331" s="37">
        <f ca="1" t="shared" si="5"/>
        <v>500</v>
      </c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>
        <v>500</v>
      </c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</row>
    <row r="332" hidden="1" customHeight="1" spans="1:54">
      <c r="A332" s="49">
        <f>ROW()-4</f>
        <v>328</v>
      </c>
      <c r="B332" s="45" t="s">
        <v>124</v>
      </c>
      <c r="C332" s="50" t="s">
        <v>12</v>
      </c>
      <c r="D332" s="45"/>
      <c r="E332" s="45">
        <v>0</v>
      </c>
      <c r="F332" s="36">
        <f ca="1">SUMIF(I$3:$BB331,"入库",I332:$BB332)</f>
        <v>910</v>
      </c>
      <c r="G332" s="45">
        <f ca="1">SUMIF(J$3:$BB331,"出库",J332:$BB332)</f>
        <v>0</v>
      </c>
      <c r="H332" s="37">
        <f ca="1" t="shared" si="5"/>
        <v>910</v>
      </c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>
        <v>910</v>
      </c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</row>
    <row r="333" hidden="1" customHeight="1" spans="1:54">
      <c r="A333" s="51"/>
      <c r="B333" s="45"/>
      <c r="C333" s="52" t="s">
        <v>13</v>
      </c>
      <c r="D333" s="45"/>
      <c r="E333" s="45">
        <v>0</v>
      </c>
      <c r="F333" s="36">
        <f ca="1">SUMIF(I$3:$BB332,"入库",I333:$BB333)</f>
        <v>0</v>
      </c>
      <c r="G333" s="45">
        <f ca="1">SUMIF(J$3:$BB332,"出库",J333:$BB333)</f>
        <v>0</v>
      </c>
      <c r="H333" s="37">
        <f ca="1" t="shared" si="5"/>
        <v>0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</row>
    <row r="334" hidden="1" customHeight="1" spans="1:54">
      <c r="A334" s="53"/>
      <c r="B334" s="45"/>
      <c r="C334" s="45" t="s">
        <v>14</v>
      </c>
      <c r="D334" s="45"/>
      <c r="E334" s="45">
        <v>0</v>
      </c>
      <c r="F334" s="36">
        <f ca="1">SUMIF(I$3:$BB333,"入库",I334:$BB334)</f>
        <v>40</v>
      </c>
      <c r="G334" s="45">
        <f ca="1">SUMIF(J$3:$BB333,"出库",J334:$BB334)</f>
        <v>0</v>
      </c>
      <c r="H334" s="37">
        <f ca="1" t="shared" si="5"/>
        <v>40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>
        <v>40</v>
      </c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</row>
    <row r="335" hidden="1" customHeight="1" spans="1:54">
      <c r="A335" s="49">
        <f>ROW()-4</f>
        <v>331</v>
      </c>
      <c r="B335" s="45" t="s">
        <v>125</v>
      </c>
      <c r="C335" s="50" t="s">
        <v>12</v>
      </c>
      <c r="D335" s="45"/>
      <c r="E335" s="45">
        <v>0</v>
      </c>
      <c r="F335" s="36">
        <f ca="1">SUMIF(I$3:$BB334,"入库",I335:$BB335)</f>
        <v>950</v>
      </c>
      <c r="G335" s="45">
        <f ca="1">SUMIF(J$3:$BB334,"出库",J335:$BB335)</f>
        <v>350</v>
      </c>
      <c r="H335" s="37">
        <f ca="1" t="shared" si="5"/>
        <v>600</v>
      </c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>
        <v>950</v>
      </c>
      <c r="AH335" s="45"/>
      <c r="AI335" s="45"/>
      <c r="AJ335" s="45">
        <v>350</v>
      </c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</row>
    <row r="336" hidden="1" customHeight="1" spans="1:54">
      <c r="A336" s="51"/>
      <c r="B336" s="45"/>
      <c r="C336" s="52" t="s">
        <v>13</v>
      </c>
      <c r="D336" s="45"/>
      <c r="E336" s="45">
        <v>0</v>
      </c>
      <c r="F336" s="36">
        <f ca="1">SUMIF(I$3:$BB335,"入库",I336:$BB336)</f>
        <v>10</v>
      </c>
      <c r="G336" s="45">
        <f ca="1">SUMIF(J$3:$BB335,"出库",J336:$BB336)</f>
        <v>0</v>
      </c>
      <c r="H336" s="37">
        <f ca="1" t="shared" si="5"/>
        <v>10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>
        <v>10</v>
      </c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</row>
    <row r="337" hidden="1" customHeight="1" spans="1:54">
      <c r="A337" s="53"/>
      <c r="B337" s="45"/>
      <c r="C337" s="45" t="s">
        <v>14</v>
      </c>
      <c r="D337" s="45"/>
      <c r="E337" s="45">
        <v>0</v>
      </c>
      <c r="F337" s="36">
        <f ca="1">SUMIF(I$3:$BB336,"入库",I337:$BB337)</f>
        <v>30</v>
      </c>
      <c r="G337" s="45">
        <f ca="1">SUMIF(J$3:$BB336,"出库",J337:$BB337)</f>
        <v>0</v>
      </c>
      <c r="H337" s="37">
        <f ca="1" t="shared" si="5"/>
        <v>30</v>
      </c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>
        <v>30</v>
      </c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</row>
    <row r="338" hidden="1" customHeight="1" spans="1:54">
      <c r="A338" s="49">
        <f>ROW()-4</f>
        <v>334</v>
      </c>
      <c r="B338" s="45" t="s">
        <v>126</v>
      </c>
      <c r="C338" s="50" t="s">
        <v>12</v>
      </c>
      <c r="D338" s="45"/>
      <c r="E338" s="45">
        <v>0</v>
      </c>
      <c r="F338" s="36">
        <f ca="1">SUMIF(I$3:$BB337,"入库",I338:$BB338)</f>
        <v>3550</v>
      </c>
      <c r="G338" s="45">
        <f ca="1">SUMIF(J$3:$BB337,"出库",J338:$BB338)</f>
        <v>551</v>
      </c>
      <c r="H338" s="37">
        <f ca="1" t="shared" si="5"/>
        <v>2999</v>
      </c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>
        <v>3550</v>
      </c>
      <c r="AD338" s="45"/>
      <c r="AE338" s="45"/>
      <c r="AF338" s="45"/>
      <c r="AG338" s="45"/>
      <c r="AH338" s="45">
        <v>1</v>
      </c>
      <c r="AI338" s="45"/>
      <c r="AJ338" s="45">
        <v>550</v>
      </c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</row>
    <row r="339" hidden="1" customHeight="1" spans="1:54">
      <c r="A339" s="51"/>
      <c r="B339" s="45"/>
      <c r="C339" s="52" t="s">
        <v>13</v>
      </c>
      <c r="D339" s="45"/>
      <c r="E339" s="45">
        <v>0</v>
      </c>
      <c r="F339" s="36">
        <f ca="1">SUMIF(I$3:$BB338,"入库",I339:$BB339)</f>
        <v>0</v>
      </c>
      <c r="G339" s="45">
        <f ca="1">SUMIF(J$3:$BB338,"出库",J339:$BB339)</f>
        <v>0</v>
      </c>
      <c r="H339" s="37">
        <f ca="1" t="shared" si="5"/>
        <v>0</v>
      </c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</row>
    <row r="340" hidden="1" customHeight="1" spans="1:54">
      <c r="A340" s="53"/>
      <c r="B340" s="45"/>
      <c r="C340" s="45" t="s">
        <v>14</v>
      </c>
      <c r="D340" s="45"/>
      <c r="E340" s="45">
        <v>0</v>
      </c>
      <c r="F340" s="36">
        <f ca="1">SUMIF(I$3:$BB339,"入库",I340:$BB340)</f>
        <v>0</v>
      </c>
      <c r="G340" s="45">
        <f ca="1">SUMIF(J$3:$BB339,"出库",J340:$BB340)</f>
        <v>0</v>
      </c>
      <c r="H340" s="37">
        <f ca="1" t="shared" si="5"/>
        <v>0</v>
      </c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</row>
    <row r="341" hidden="1" customHeight="1" spans="1:54">
      <c r="A341" s="49">
        <f>ROW()-4</f>
        <v>337</v>
      </c>
      <c r="B341" s="45" t="s">
        <v>128</v>
      </c>
      <c r="C341" s="50" t="s">
        <v>12</v>
      </c>
      <c r="D341" s="45"/>
      <c r="E341" s="45">
        <v>0</v>
      </c>
      <c r="F341" s="36">
        <f ca="1">SUMIF(I$3:$BB340,"入库",I341:$BB341)</f>
        <v>3200</v>
      </c>
      <c r="G341" s="45">
        <f ca="1">SUMIF(J$3:$BB340,"出库",J341:$BB341)</f>
        <v>1</v>
      </c>
      <c r="H341" s="37">
        <f ca="1" t="shared" si="5"/>
        <v>3199</v>
      </c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>
        <v>3200</v>
      </c>
      <c r="AD341" s="45"/>
      <c r="AE341" s="45"/>
      <c r="AF341" s="45"/>
      <c r="AG341" s="45"/>
      <c r="AH341" s="45">
        <v>1</v>
      </c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</row>
    <row r="342" hidden="1" customHeight="1" spans="1:54">
      <c r="A342" s="51"/>
      <c r="B342" s="45"/>
      <c r="C342" s="52" t="s">
        <v>13</v>
      </c>
      <c r="D342" s="45"/>
      <c r="E342" s="45">
        <v>0</v>
      </c>
      <c r="F342" s="36">
        <f ca="1">SUMIF(I$3:$BB341,"入库",I342:$BB342)</f>
        <v>900</v>
      </c>
      <c r="G342" s="45">
        <f ca="1">SUMIF(J$3:$BB341,"出库",J342:$BB342)</f>
        <v>0</v>
      </c>
      <c r="H342" s="37">
        <f ca="1" t="shared" si="5"/>
        <v>900</v>
      </c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>
        <v>900</v>
      </c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</row>
    <row r="343" hidden="1" customHeight="1" spans="1:54">
      <c r="A343" s="53"/>
      <c r="B343" s="45"/>
      <c r="C343" s="45" t="s">
        <v>14</v>
      </c>
      <c r="D343" s="45"/>
      <c r="E343" s="45">
        <v>0</v>
      </c>
      <c r="F343" s="36">
        <f ca="1">SUMIF(I$3:$BB342,"入库",I343:$BB343)</f>
        <v>60</v>
      </c>
      <c r="G343" s="45">
        <f ca="1">SUMIF(J$3:$BB342,"出库",J343:$BB343)</f>
        <v>0</v>
      </c>
      <c r="H343" s="37">
        <f ca="1" t="shared" si="5"/>
        <v>60</v>
      </c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>
        <v>60</v>
      </c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</row>
    <row r="344" hidden="1" customHeight="1" spans="1:54">
      <c r="A344" s="49">
        <f>ROW()-4</f>
        <v>340</v>
      </c>
      <c r="B344" s="45" t="s">
        <v>129</v>
      </c>
      <c r="C344" s="50" t="s">
        <v>12</v>
      </c>
      <c r="D344" s="45"/>
      <c r="E344" s="45">
        <v>0</v>
      </c>
      <c r="F344" s="36">
        <f ca="1">SUMIF(I$3:$BB343,"入库",I344:$BB344)</f>
        <v>1350</v>
      </c>
      <c r="G344" s="45">
        <f ca="1">SUMIF(J$3:$BB343,"出库",J344:$BB344)</f>
        <v>200</v>
      </c>
      <c r="H344" s="37">
        <f ca="1" t="shared" si="5"/>
        <v>1150</v>
      </c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>
        <v>1350</v>
      </c>
      <c r="AD344" s="45"/>
      <c r="AE344" s="45"/>
      <c r="AF344" s="45"/>
      <c r="AG344" s="45"/>
      <c r="AH344" s="45"/>
      <c r="AI344" s="45"/>
      <c r="AJ344" s="45">
        <v>100</v>
      </c>
      <c r="AK344" s="45"/>
      <c r="AL344" s="45">
        <v>100</v>
      </c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</row>
    <row r="345" hidden="1" customHeight="1" spans="1:54">
      <c r="A345" s="51"/>
      <c r="B345" s="45"/>
      <c r="C345" s="52" t="s">
        <v>13</v>
      </c>
      <c r="D345" s="45"/>
      <c r="E345" s="45">
        <v>0</v>
      </c>
      <c r="F345" s="36">
        <f ca="1">SUMIF(I$3:$BB344,"入库",I345:$BB345)</f>
        <v>160</v>
      </c>
      <c r="G345" s="45">
        <f ca="1">SUMIF(J$3:$BB344,"出库",J345:$BB345)</f>
        <v>0</v>
      </c>
      <c r="H345" s="37">
        <f ca="1" t="shared" si="5"/>
        <v>160</v>
      </c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>
        <v>160</v>
      </c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</row>
    <row r="346" hidden="1" customHeight="1" spans="1:54">
      <c r="A346" s="53"/>
      <c r="B346" s="45"/>
      <c r="C346" s="45" t="s">
        <v>14</v>
      </c>
      <c r="D346" s="45"/>
      <c r="E346" s="45">
        <v>0</v>
      </c>
      <c r="F346" s="36">
        <f ca="1">SUMIF(I$3:$BB345,"入库",I346:$BB346)</f>
        <v>40</v>
      </c>
      <c r="G346" s="45">
        <f ca="1">SUMIF(J$3:$BB345,"出库",J346:$BB346)</f>
        <v>0</v>
      </c>
      <c r="H346" s="37">
        <f ca="1" t="shared" si="5"/>
        <v>40</v>
      </c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>
        <v>40</v>
      </c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</row>
    <row r="347" hidden="1" customHeight="1" spans="1:54">
      <c r="A347" s="49">
        <f>ROW()-4</f>
        <v>343</v>
      </c>
      <c r="B347" s="45" t="s">
        <v>130</v>
      </c>
      <c r="C347" s="50" t="s">
        <v>12</v>
      </c>
      <c r="D347" s="45"/>
      <c r="E347" s="45">
        <v>0</v>
      </c>
      <c r="F347" s="36">
        <f ca="1">SUMIF(I$3:$BB346,"入库",I347:$BB347)</f>
        <v>1250</v>
      </c>
      <c r="G347" s="45">
        <f ca="1">SUMIF(J$3:$BB346,"出库",J347:$BB347)</f>
        <v>0</v>
      </c>
      <c r="H347" s="37">
        <f ca="1" t="shared" si="5"/>
        <v>1250</v>
      </c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>
        <v>1250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</row>
    <row r="348" hidden="1" customHeight="1" spans="1:54">
      <c r="A348" s="51"/>
      <c r="B348" s="45"/>
      <c r="C348" s="52" t="s">
        <v>13</v>
      </c>
      <c r="D348" s="45"/>
      <c r="E348" s="45">
        <v>0</v>
      </c>
      <c r="F348" s="36">
        <f ca="1">SUMIF(I$3:$BB347,"入库",I348:$BB348)</f>
        <v>1350</v>
      </c>
      <c r="G348" s="45">
        <f ca="1">SUMIF(J$3:$BB347,"出库",J348:$BB348)</f>
        <v>0</v>
      </c>
      <c r="H348" s="37">
        <f ca="1" t="shared" si="5"/>
        <v>1350</v>
      </c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>
        <v>1350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</row>
    <row r="349" hidden="1" customHeight="1" spans="1:54">
      <c r="A349" s="53"/>
      <c r="B349" s="45"/>
      <c r="C349" s="45" t="s">
        <v>14</v>
      </c>
      <c r="D349" s="45"/>
      <c r="E349" s="45">
        <v>0</v>
      </c>
      <c r="F349" s="36">
        <f ca="1">SUMIF(I$3:$BB348,"入库",I349:$BB349)</f>
        <v>50</v>
      </c>
      <c r="G349" s="45">
        <f ca="1">SUMIF(J$3:$BB348,"出库",J349:$BB349)</f>
        <v>3</v>
      </c>
      <c r="H349" s="37">
        <f ca="1" t="shared" si="5"/>
        <v>47</v>
      </c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>
        <v>50</v>
      </c>
      <c r="AB349" s="45"/>
      <c r="AC349" s="45"/>
      <c r="AD349" s="45"/>
      <c r="AE349" s="45"/>
      <c r="AF349" s="45"/>
      <c r="AG349" s="45"/>
      <c r="AH349" s="45">
        <v>3</v>
      </c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</row>
    <row r="350" hidden="1" customHeight="1" spans="1:54">
      <c r="A350" s="49">
        <f>ROW()-4</f>
        <v>346</v>
      </c>
      <c r="B350" s="45" t="s">
        <v>131</v>
      </c>
      <c r="C350" s="50" t="s">
        <v>12</v>
      </c>
      <c r="D350" s="45"/>
      <c r="E350" s="45">
        <v>0</v>
      </c>
      <c r="F350" s="36">
        <f ca="1">SUMIF(I$3:$BB349,"入库",I350:$BB350)</f>
        <v>65</v>
      </c>
      <c r="G350" s="45">
        <f ca="1">SUMIF(J$3:$BB349,"出库",J350:$BB350)</f>
        <v>0</v>
      </c>
      <c r="H350" s="37">
        <f ca="1" t="shared" si="5"/>
        <v>65</v>
      </c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>
        <v>65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</row>
    <row r="351" hidden="1" customHeight="1" spans="1:54">
      <c r="A351" s="51"/>
      <c r="B351" s="45"/>
      <c r="C351" s="52" t="s">
        <v>13</v>
      </c>
      <c r="D351" s="45"/>
      <c r="E351" s="45">
        <v>0</v>
      </c>
      <c r="F351" s="36">
        <f ca="1">SUMIF(I$3:$BB350,"入库",I351:$BB351)</f>
        <v>0</v>
      </c>
      <c r="G351" s="45">
        <f ca="1">SUMIF(J$3:$BB350,"出库",J351:$BB351)</f>
        <v>0</v>
      </c>
      <c r="H351" s="37">
        <f ca="1" t="shared" si="5"/>
        <v>0</v>
      </c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</row>
    <row r="352" hidden="1" customHeight="1" spans="1:54">
      <c r="A352" s="53"/>
      <c r="B352" s="45"/>
      <c r="C352" s="45" t="s">
        <v>14</v>
      </c>
      <c r="D352" s="45"/>
      <c r="E352" s="45">
        <v>0</v>
      </c>
      <c r="F352" s="36">
        <f ca="1">SUMIF(I$3:$BB351,"入库",I352:$BB352)</f>
        <v>5</v>
      </c>
      <c r="G352" s="45">
        <f ca="1">SUMIF(J$3:$BB351,"出库",J352:$BB352)</f>
        <v>0</v>
      </c>
      <c r="H352" s="37">
        <f ca="1" t="shared" si="5"/>
        <v>5</v>
      </c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>
        <v>5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</row>
    <row r="353" hidden="1" customHeight="1" spans="1:54">
      <c r="A353" s="49">
        <f>ROW()-4</f>
        <v>349</v>
      </c>
      <c r="B353" s="45" t="s">
        <v>132</v>
      </c>
      <c r="C353" s="50" t="s">
        <v>12</v>
      </c>
      <c r="D353" s="45"/>
      <c r="E353" s="45">
        <v>0</v>
      </c>
      <c r="F353" s="36">
        <f ca="1">SUMIF(I$3:$BB352,"入库",I353:$BB353)</f>
        <v>260</v>
      </c>
      <c r="G353" s="45">
        <f ca="1">SUMIF(J$3:$BB352,"出库",J353:$BB353)</f>
        <v>0</v>
      </c>
      <c r="H353" s="37">
        <f ca="1" t="shared" si="5"/>
        <v>260</v>
      </c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>
        <v>260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</row>
    <row r="354" hidden="1" customHeight="1" spans="1:54">
      <c r="A354" s="51"/>
      <c r="B354" s="45"/>
      <c r="C354" s="52" t="s">
        <v>13</v>
      </c>
      <c r="D354" s="45"/>
      <c r="E354" s="45">
        <v>0</v>
      </c>
      <c r="F354" s="36">
        <f ca="1">SUMIF(I$3:$BB353,"入库",I354:$BB354)</f>
        <v>0</v>
      </c>
      <c r="G354" s="45">
        <f ca="1">SUMIF(J$3:$BB353,"出库",J354:$BB354)</f>
        <v>0</v>
      </c>
      <c r="H354" s="37">
        <f ca="1" t="shared" si="5"/>
        <v>0</v>
      </c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</row>
    <row r="355" hidden="1" customHeight="1" spans="1:54">
      <c r="A355" s="53"/>
      <c r="B355" s="45"/>
      <c r="C355" s="45" t="s">
        <v>14</v>
      </c>
      <c r="D355" s="45"/>
      <c r="E355" s="45">
        <v>0</v>
      </c>
      <c r="F355" s="36">
        <f ca="1">SUMIF(I$3:$BB354,"入库",I355:$BB355)</f>
        <v>260</v>
      </c>
      <c r="G355" s="45">
        <f ca="1">SUMIF(J$3:$BB354,"出库",J355:$BB355)</f>
        <v>0</v>
      </c>
      <c r="H355" s="37">
        <f ca="1" t="shared" si="5"/>
        <v>260</v>
      </c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>
        <v>260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</row>
    <row r="356" hidden="1" customHeight="1" spans="1:54">
      <c r="A356" s="49">
        <f>ROW()-4</f>
        <v>352</v>
      </c>
      <c r="B356" s="45" t="s">
        <v>133</v>
      </c>
      <c r="C356" s="50" t="s">
        <v>12</v>
      </c>
      <c r="D356" s="45"/>
      <c r="E356" s="45">
        <v>0</v>
      </c>
      <c r="F356" s="36">
        <f ca="1">SUMIF(I$3:$BB355,"入库",I356:$BB356)</f>
        <v>5600</v>
      </c>
      <c r="G356" s="45">
        <f ca="1">SUMIF(J$3:$BB355,"出库",J356:$BB356)</f>
        <v>0</v>
      </c>
      <c r="H356" s="37">
        <f ca="1" t="shared" si="5"/>
        <v>5600</v>
      </c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>
        <v>5600</v>
      </c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</row>
    <row r="357" hidden="1" customHeight="1" spans="1:54">
      <c r="A357" s="51"/>
      <c r="B357" s="45"/>
      <c r="C357" s="52" t="s">
        <v>13</v>
      </c>
      <c r="D357" s="45"/>
      <c r="E357" s="45">
        <v>0</v>
      </c>
      <c r="F357" s="36">
        <f ca="1">SUMIF(I$3:$BB356,"入库",I357:$BB357)</f>
        <v>440</v>
      </c>
      <c r="G357" s="45">
        <f ca="1">SUMIF(J$3:$BB356,"出库",J357:$BB357)</f>
        <v>0</v>
      </c>
      <c r="H357" s="37">
        <f ca="1" t="shared" si="5"/>
        <v>440</v>
      </c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>
        <v>440</v>
      </c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</row>
    <row r="358" hidden="1" customHeight="1" spans="1:54">
      <c r="A358" s="53"/>
      <c r="B358" s="45"/>
      <c r="C358" s="45" t="s">
        <v>14</v>
      </c>
      <c r="D358" s="45"/>
      <c r="E358" s="45">
        <v>0</v>
      </c>
      <c r="F358" s="36">
        <f ca="1">SUMIF(I$3:$BB357,"入库",I358:$BB358)</f>
        <v>0</v>
      </c>
      <c r="G358" s="45">
        <f ca="1">SUMIF(J$3:$BB357,"出库",J358:$BB358)</f>
        <v>0</v>
      </c>
      <c r="H358" s="37">
        <f ca="1" t="shared" si="5"/>
        <v>0</v>
      </c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</row>
    <row r="359" hidden="1" customHeight="1" spans="1:54">
      <c r="A359" s="49">
        <f>ROW()-4</f>
        <v>355</v>
      </c>
      <c r="B359" s="45" t="s">
        <v>136</v>
      </c>
      <c r="C359" s="50" t="s">
        <v>12</v>
      </c>
      <c r="D359" s="45"/>
      <c r="E359" s="45">
        <v>0</v>
      </c>
      <c r="F359" s="36">
        <f ca="1">SUMIF(I$3:$BB358,"入库",I359:$BB359)</f>
        <v>1550</v>
      </c>
      <c r="G359" s="45">
        <f ca="1">SUMIF(J$3:$BB358,"出库",J359:$BB359)</f>
        <v>600</v>
      </c>
      <c r="H359" s="37">
        <f ca="1" t="shared" si="5"/>
        <v>950</v>
      </c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>
        <v>1550</v>
      </c>
      <c r="AH359" s="45"/>
      <c r="AI359" s="45"/>
      <c r="AJ359" s="45">
        <v>600</v>
      </c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</row>
    <row r="360" hidden="1" customHeight="1" spans="1:54">
      <c r="A360" s="51"/>
      <c r="B360" s="45"/>
      <c r="C360" s="52" t="s">
        <v>13</v>
      </c>
      <c r="D360" s="45"/>
      <c r="E360" s="45">
        <v>0</v>
      </c>
      <c r="F360" s="36">
        <f ca="1">SUMIF(I$3:$BB359,"入库",I360:$BB360)</f>
        <v>800</v>
      </c>
      <c r="G360" s="45">
        <f ca="1">SUMIF(J$3:$BB359,"出库",J360:$BB360)</f>
        <v>0</v>
      </c>
      <c r="H360" s="37">
        <f ca="1" t="shared" si="5"/>
        <v>800</v>
      </c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>
        <v>800</v>
      </c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</row>
    <row r="361" hidden="1" customHeight="1" spans="1:54">
      <c r="A361" s="53"/>
      <c r="B361" s="45"/>
      <c r="C361" s="45" t="s">
        <v>14</v>
      </c>
      <c r="D361" s="45"/>
      <c r="E361" s="45">
        <v>0</v>
      </c>
      <c r="F361" s="36">
        <f ca="1">SUMIF(I$3:$BB360,"入库",I361:$BB361)</f>
        <v>10</v>
      </c>
      <c r="G361" s="45">
        <f ca="1">SUMIF(J$3:$BB360,"出库",J361:$BB361)</f>
        <v>0</v>
      </c>
      <c r="H361" s="37">
        <f ca="1" t="shared" si="5"/>
        <v>10</v>
      </c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>
        <v>10</v>
      </c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</row>
    <row r="362" hidden="1" customHeight="1" spans="1:54">
      <c r="A362" s="49">
        <f>ROW()-4</f>
        <v>358</v>
      </c>
      <c r="B362" s="45" t="s">
        <v>137</v>
      </c>
      <c r="C362" s="50" t="s">
        <v>12</v>
      </c>
      <c r="D362" s="45"/>
      <c r="E362" s="45">
        <v>0</v>
      </c>
      <c r="F362" s="36">
        <f ca="1">SUMIF(I$3:$BB361,"入库",I362:$BB362)</f>
        <v>2450</v>
      </c>
      <c r="G362" s="45">
        <f ca="1">SUMIF(J$3:$BB361,"出库",J362:$BB362)</f>
        <v>180</v>
      </c>
      <c r="H362" s="37">
        <f ca="1" t="shared" si="5"/>
        <v>2270</v>
      </c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>
        <v>2450</v>
      </c>
      <c r="AH362" s="45"/>
      <c r="AI362" s="45"/>
      <c r="AJ362" s="45">
        <v>180</v>
      </c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</row>
    <row r="363" hidden="1" customHeight="1" spans="1:54">
      <c r="A363" s="51"/>
      <c r="B363" s="45"/>
      <c r="C363" s="52" t="s">
        <v>13</v>
      </c>
      <c r="D363" s="45"/>
      <c r="E363" s="45">
        <v>0</v>
      </c>
      <c r="F363" s="36">
        <f ca="1">SUMIF(I$3:$BB362,"入库",I363:$BB363)</f>
        <v>0</v>
      </c>
      <c r="G363" s="45">
        <f ca="1">SUMIF(J$3:$BB362,"出库",J363:$BB363)</f>
        <v>0</v>
      </c>
      <c r="H363" s="37">
        <f ca="1" t="shared" si="5"/>
        <v>0</v>
      </c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</row>
    <row r="364" hidden="1" customHeight="1" spans="1:54">
      <c r="A364" s="53"/>
      <c r="B364" s="45"/>
      <c r="C364" s="45" t="s">
        <v>14</v>
      </c>
      <c r="D364" s="45"/>
      <c r="E364" s="45">
        <v>0</v>
      </c>
      <c r="F364" s="36">
        <f ca="1">SUMIF(I$3:$BB363,"入库",I364:$BB364)</f>
        <v>5</v>
      </c>
      <c r="G364" s="45">
        <f ca="1">SUMIF(J$3:$BB363,"出库",J364:$BB364)</f>
        <v>4</v>
      </c>
      <c r="H364" s="37">
        <f ca="1" t="shared" si="5"/>
        <v>1</v>
      </c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>
        <v>5</v>
      </c>
      <c r="AH364" s="45"/>
      <c r="AI364" s="45"/>
      <c r="AJ364" s="45">
        <v>4</v>
      </c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</row>
    <row r="365" hidden="1" customHeight="1" spans="1:54">
      <c r="A365" s="49">
        <f>ROW()-4</f>
        <v>361</v>
      </c>
      <c r="B365" s="45" t="s">
        <v>138</v>
      </c>
      <c r="C365" s="50" t="s">
        <v>12</v>
      </c>
      <c r="D365" s="45"/>
      <c r="E365" s="45">
        <v>0</v>
      </c>
      <c r="F365" s="36">
        <f ca="1">SUMIF(I$3:$BB364,"入库",I365:$BB365)</f>
        <v>5950</v>
      </c>
      <c r="G365" s="45">
        <f ca="1">SUMIF(J$3:$BB364,"出库",J365:$BB365)</f>
        <v>51</v>
      </c>
      <c r="H365" s="37">
        <f ca="1" t="shared" si="5"/>
        <v>5899</v>
      </c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>
        <v>5950</v>
      </c>
      <c r="AD365" s="45"/>
      <c r="AE365" s="45"/>
      <c r="AF365" s="45"/>
      <c r="AG365" s="45"/>
      <c r="AH365" s="45">
        <v>51</v>
      </c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</row>
    <row r="366" hidden="1" customHeight="1" spans="1:54">
      <c r="A366" s="51"/>
      <c r="B366" s="45"/>
      <c r="C366" s="52" t="s">
        <v>13</v>
      </c>
      <c r="D366" s="45"/>
      <c r="E366" s="45">
        <v>0</v>
      </c>
      <c r="F366" s="36">
        <f ca="1">SUMIF(I$3:$BB365,"入库",I366:$BB366)</f>
        <v>0</v>
      </c>
      <c r="G366" s="45">
        <f ca="1">SUMIF(J$3:$BB365,"出库",J366:$BB366)</f>
        <v>0</v>
      </c>
      <c r="H366" s="37">
        <f ca="1" t="shared" si="5"/>
        <v>0</v>
      </c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</row>
    <row r="367" hidden="1" customHeight="1" spans="1:54">
      <c r="A367" s="53"/>
      <c r="B367" s="45"/>
      <c r="C367" s="45" t="s">
        <v>14</v>
      </c>
      <c r="D367" s="45"/>
      <c r="E367" s="45">
        <v>0</v>
      </c>
      <c r="F367" s="36">
        <f ca="1">SUMIF(I$3:$BB366,"入库",I367:$BB367)</f>
        <v>0</v>
      </c>
      <c r="G367" s="45">
        <f ca="1">SUMIF(J$3:$BB366,"出库",J367:$BB367)</f>
        <v>0</v>
      </c>
      <c r="H367" s="37">
        <f ca="1" t="shared" si="5"/>
        <v>0</v>
      </c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</row>
    <row r="368" hidden="1" customHeight="1" spans="1:54">
      <c r="A368" s="49">
        <f>ROW()-4</f>
        <v>364</v>
      </c>
      <c r="B368" s="45" t="s">
        <v>139</v>
      </c>
      <c r="C368" s="50" t="s">
        <v>12</v>
      </c>
      <c r="D368" s="45"/>
      <c r="E368" s="45">
        <v>0</v>
      </c>
      <c r="F368" s="36">
        <f ca="1">SUMIF(I$3:$BB367,"入库",I368:$BB368)</f>
        <v>2000</v>
      </c>
      <c r="G368" s="45">
        <f ca="1">SUMIF(J$3:$BB367,"出库",J368:$BB368)</f>
        <v>212</v>
      </c>
      <c r="H368" s="37">
        <f ca="1" t="shared" si="5"/>
        <v>1788</v>
      </c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>
        <v>2000</v>
      </c>
      <c r="AD368" s="45"/>
      <c r="AE368" s="45"/>
      <c r="AF368" s="45"/>
      <c r="AG368" s="45"/>
      <c r="AH368" s="45">
        <v>212</v>
      </c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</row>
    <row r="369" hidden="1" customHeight="1" spans="1:54">
      <c r="A369" s="51"/>
      <c r="B369" s="45"/>
      <c r="C369" s="52" t="s">
        <v>13</v>
      </c>
      <c r="D369" s="45"/>
      <c r="E369" s="45">
        <v>0</v>
      </c>
      <c r="F369" s="36">
        <f ca="1">SUMIF(I$3:$BB368,"入库",I369:$BB369)</f>
        <v>60</v>
      </c>
      <c r="G369" s="45">
        <f ca="1">SUMIF(J$3:$BB368,"出库",J369:$BB369)</f>
        <v>0</v>
      </c>
      <c r="H369" s="37">
        <f ca="1" t="shared" si="5"/>
        <v>60</v>
      </c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>
        <v>60</v>
      </c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</row>
    <row r="370" hidden="1" customHeight="1" spans="1:54">
      <c r="A370" s="53"/>
      <c r="B370" s="45"/>
      <c r="C370" s="45" t="s">
        <v>14</v>
      </c>
      <c r="D370" s="45"/>
      <c r="E370" s="45">
        <v>0</v>
      </c>
      <c r="F370" s="36">
        <f ca="1">SUMIF(I$3:$BB369,"入库",I370:$BB370)</f>
        <v>0</v>
      </c>
      <c r="G370" s="45">
        <f ca="1">SUMIF(J$3:$BB369,"出库",J370:$BB370)</f>
        <v>0</v>
      </c>
      <c r="H370" s="37">
        <f ca="1" t="shared" si="5"/>
        <v>0</v>
      </c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</row>
    <row r="371" hidden="1" customHeight="1" spans="1:54">
      <c r="A371" s="49">
        <f>ROW()-4</f>
        <v>367</v>
      </c>
      <c r="B371" s="45" t="s">
        <v>140</v>
      </c>
      <c r="C371" s="50" t="s">
        <v>12</v>
      </c>
      <c r="D371" s="45"/>
      <c r="E371" s="45">
        <v>0</v>
      </c>
      <c r="F371" s="36">
        <f ca="1">SUMIF(I$3:$BB370,"入库",I371:$BB371)</f>
        <v>1350</v>
      </c>
      <c r="G371" s="45">
        <f ca="1">SUMIF(J$3:$BB370,"出库",J371:$BB371)</f>
        <v>2</v>
      </c>
      <c r="H371" s="37">
        <f ca="1" t="shared" si="5"/>
        <v>1348</v>
      </c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>
        <v>1350</v>
      </c>
      <c r="AD371" s="45"/>
      <c r="AE371" s="45"/>
      <c r="AF371" s="45"/>
      <c r="AG371" s="45"/>
      <c r="AH371" s="45"/>
      <c r="AI371" s="45"/>
      <c r="AJ371" s="45">
        <v>2</v>
      </c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</row>
    <row r="372" hidden="1" customHeight="1" spans="1:54">
      <c r="A372" s="51"/>
      <c r="B372" s="45"/>
      <c r="C372" s="52" t="s">
        <v>13</v>
      </c>
      <c r="D372" s="45"/>
      <c r="E372" s="45">
        <v>0</v>
      </c>
      <c r="F372" s="36">
        <f ca="1">SUMIF(I$3:$BB371,"入库",I372:$BB372)</f>
        <v>0</v>
      </c>
      <c r="G372" s="45">
        <f ca="1">SUMIF(J$3:$BB371,"出库",J372:$BB372)</f>
        <v>0</v>
      </c>
      <c r="H372" s="37">
        <f ca="1" t="shared" si="5"/>
        <v>0</v>
      </c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</row>
    <row r="373" hidden="1" customHeight="1" spans="1:54">
      <c r="A373" s="53"/>
      <c r="B373" s="45"/>
      <c r="C373" s="45" t="s">
        <v>14</v>
      </c>
      <c r="D373" s="45"/>
      <c r="E373" s="45">
        <v>0</v>
      </c>
      <c r="F373" s="36">
        <f ca="1">SUMIF(I$3:$BB372,"入库",I373:$BB373)</f>
        <v>320</v>
      </c>
      <c r="G373" s="45">
        <f ca="1">SUMIF(J$3:$BB372,"出库",J373:$BB373)</f>
        <v>0</v>
      </c>
      <c r="H373" s="37">
        <f ca="1" t="shared" si="5"/>
        <v>320</v>
      </c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>
        <v>320</v>
      </c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</row>
    <row r="374" hidden="1" customHeight="1" spans="1:54">
      <c r="A374" s="49">
        <f>ROW()-4</f>
        <v>370</v>
      </c>
      <c r="B374" s="45" t="s">
        <v>141</v>
      </c>
      <c r="C374" s="50" t="s">
        <v>12</v>
      </c>
      <c r="D374" s="45"/>
      <c r="E374" s="45">
        <v>0</v>
      </c>
      <c r="F374" s="36">
        <f ca="1">SUMIF(I$3:$BB373,"入库",I374:$BB374)</f>
        <v>1700</v>
      </c>
      <c r="G374" s="45">
        <f ca="1">SUMIF(J$3:$BB373,"出库",J374:$BB374)</f>
        <v>750</v>
      </c>
      <c r="H374" s="37">
        <f ca="1" t="shared" si="5"/>
        <v>950</v>
      </c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>
        <v>1700</v>
      </c>
      <c r="AB374" s="45"/>
      <c r="AC374" s="45"/>
      <c r="AD374" s="45"/>
      <c r="AE374" s="45"/>
      <c r="AF374" s="45"/>
      <c r="AG374" s="45"/>
      <c r="AH374" s="45">
        <v>100</v>
      </c>
      <c r="AI374" s="45"/>
      <c r="AJ374" s="45">
        <v>650</v>
      </c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</row>
    <row r="375" hidden="1" customHeight="1" spans="1:54">
      <c r="A375" s="51"/>
      <c r="B375" s="45"/>
      <c r="C375" s="52" t="s">
        <v>13</v>
      </c>
      <c r="D375" s="45"/>
      <c r="E375" s="45">
        <v>0</v>
      </c>
      <c r="F375" s="36">
        <f ca="1">SUMIF(I$3:$BB374,"入库",I375:$BB375)</f>
        <v>1750</v>
      </c>
      <c r="G375" s="45">
        <f ca="1">SUMIF(J$3:$BB374,"出库",J375:$BB375)</f>
        <v>0</v>
      </c>
      <c r="H375" s="37">
        <f ca="1" t="shared" si="5"/>
        <v>1750</v>
      </c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>
        <v>1750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</row>
    <row r="376" hidden="1" customHeight="1" spans="1:54">
      <c r="A376" s="53"/>
      <c r="B376" s="45"/>
      <c r="C376" s="45" t="s">
        <v>14</v>
      </c>
      <c r="D376" s="45"/>
      <c r="E376" s="45">
        <v>0</v>
      </c>
      <c r="F376" s="36">
        <f ca="1">SUMIF(I$3:$BB375,"入库",I376:$BB376)</f>
        <v>10</v>
      </c>
      <c r="G376" s="45">
        <f ca="1">SUMIF(J$3:$BB375,"出库",J376:$BB376)</f>
        <v>0</v>
      </c>
      <c r="H376" s="37">
        <f ca="1" t="shared" si="5"/>
        <v>10</v>
      </c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>
        <v>10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</row>
    <row r="377" hidden="1" customHeight="1" spans="1:54">
      <c r="A377" s="49">
        <f>ROW()-4</f>
        <v>373</v>
      </c>
      <c r="B377" s="45" t="s">
        <v>142</v>
      </c>
      <c r="C377" s="50" t="s">
        <v>12</v>
      </c>
      <c r="D377" s="45"/>
      <c r="E377" s="45">
        <v>0</v>
      </c>
      <c r="F377" s="36">
        <f ca="1">SUMIF(I$3:$BB376,"入库",I377:$BB377)</f>
        <v>4250</v>
      </c>
      <c r="G377" s="45">
        <f ca="1">SUMIF(J$3:$BB376,"出库",J377:$BB377)</f>
        <v>250</v>
      </c>
      <c r="H377" s="37">
        <f ca="1" t="shared" si="5"/>
        <v>4000</v>
      </c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>
        <v>250</v>
      </c>
      <c r="AB377" s="45"/>
      <c r="AC377" s="45"/>
      <c r="AD377" s="45"/>
      <c r="AE377" s="45"/>
      <c r="AF377" s="45"/>
      <c r="AG377" s="45"/>
      <c r="AH377" s="45">
        <v>250</v>
      </c>
      <c r="AI377" s="45">
        <v>4000</v>
      </c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</row>
    <row r="378" hidden="1" customHeight="1" spans="1:54">
      <c r="A378" s="51"/>
      <c r="B378" s="45"/>
      <c r="C378" s="52" t="s">
        <v>13</v>
      </c>
      <c r="D378" s="45"/>
      <c r="E378" s="45">
        <v>0</v>
      </c>
      <c r="F378" s="36">
        <f ca="1">SUMIF(I$3:$BB377,"入库",I378:$BB378)</f>
        <v>30</v>
      </c>
      <c r="G378" s="45">
        <f ca="1">SUMIF(J$3:$BB377,"出库",J378:$BB378)</f>
        <v>0</v>
      </c>
      <c r="H378" s="37">
        <f ca="1" t="shared" si="5"/>
        <v>30</v>
      </c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>
        <v>30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</row>
    <row r="379" hidden="1" customHeight="1" spans="1:54">
      <c r="A379" s="53"/>
      <c r="B379" s="45"/>
      <c r="C379" s="45" t="s">
        <v>14</v>
      </c>
      <c r="D379" s="45"/>
      <c r="E379" s="45">
        <v>0</v>
      </c>
      <c r="F379" s="36">
        <f ca="1">SUMIF(I$3:$BB378,"入库",I379:$BB379)</f>
        <v>0</v>
      </c>
      <c r="G379" s="45">
        <f ca="1">SUMIF(J$3:$BB378,"出库",J379:$BB379)</f>
        <v>0</v>
      </c>
      <c r="H379" s="37">
        <f ca="1" t="shared" si="5"/>
        <v>0</v>
      </c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</row>
    <row r="380" hidden="1" customHeight="1" spans="1:54">
      <c r="A380" s="49">
        <f>ROW()-4</f>
        <v>376</v>
      </c>
      <c r="B380" s="45" t="s">
        <v>143</v>
      </c>
      <c r="C380" s="50" t="s">
        <v>12</v>
      </c>
      <c r="D380" s="45"/>
      <c r="E380" s="45">
        <v>0</v>
      </c>
      <c r="F380" s="36">
        <f ca="1">SUMIF(I$3:$BB379,"入库",I380:$BB380)</f>
        <v>2750</v>
      </c>
      <c r="G380" s="45">
        <f ca="1">SUMIF(J$3:$BB379,"出库",J380:$BB380)</f>
        <v>658</v>
      </c>
      <c r="H380" s="37">
        <f ca="1" t="shared" si="5"/>
        <v>2092</v>
      </c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>
        <v>750</v>
      </c>
      <c r="AB380" s="45">
        <v>605</v>
      </c>
      <c r="AC380" s="45"/>
      <c r="AD380" s="45">
        <v>53</v>
      </c>
      <c r="AE380" s="45"/>
      <c r="AF380" s="45"/>
      <c r="AG380" s="45"/>
      <c r="AH380" s="45"/>
      <c r="AI380" s="45">
        <v>2000</v>
      </c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</row>
    <row r="381" hidden="1" customHeight="1" spans="1:54">
      <c r="A381" s="51"/>
      <c r="B381" s="45"/>
      <c r="C381" s="52" t="s">
        <v>13</v>
      </c>
      <c r="D381" s="45"/>
      <c r="E381" s="45">
        <v>0</v>
      </c>
      <c r="F381" s="36">
        <f ca="1">SUMIF(I$3:$BB380,"入库",I381:$BB381)</f>
        <v>200</v>
      </c>
      <c r="G381" s="45">
        <f ca="1">SUMIF(J$3:$BB380,"出库",J381:$BB381)</f>
        <v>0</v>
      </c>
      <c r="H381" s="37">
        <f ca="1" t="shared" si="5"/>
        <v>200</v>
      </c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>
        <v>200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</row>
    <row r="382" hidden="1" customHeight="1" spans="1:54">
      <c r="A382" s="53"/>
      <c r="B382" s="45"/>
      <c r="C382" s="45" t="s">
        <v>14</v>
      </c>
      <c r="D382" s="45"/>
      <c r="E382" s="45">
        <v>0</v>
      </c>
      <c r="F382" s="36">
        <f ca="1">SUMIF(I$3:$BB381,"入库",I382:$BB382)</f>
        <v>1000</v>
      </c>
      <c r="G382" s="45">
        <f ca="1">SUMIF(J$3:$BB381,"出库",J382:$BB382)</f>
        <v>0</v>
      </c>
      <c r="H382" s="37">
        <f ca="1" t="shared" si="5"/>
        <v>1000</v>
      </c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>
        <v>1000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</row>
    <row r="383" hidden="1" customHeight="1" spans="1:54">
      <c r="A383" s="49">
        <f>ROW()-4</f>
        <v>379</v>
      </c>
      <c r="B383" s="45" t="s">
        <v>144</v>
      </c>
      <c r="C383" s="50" t="s">
        <v>12</v>
      </c>
      <c r="D383" s="45"/>
      <c r="E383" s="45">
        <v>0</v>
      </c>
      <c r="F383" s="36">
        <f ca="1">SUMIF(I$3:$BB382,"入库",I383:$BB383)</f>
        <v>7300</v>
      </c>
      <c r="G383" s="45">
        <f ca="1">SUMIF(J$3:$BB382,"出库",J383:$BB383)</f>
        <v>601</v>
      </c>
      <c r="H383" s="37">
        <f ca="1" t="shared" si="5"/>
        <v>6699</v>
      </c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>
        <v>7300</v>
      </c>
      <c r="AJ383" s="45">
        <v>601</v>
      </c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</row>
    <row r="384" hidden="1" customHeight="1" spans="1:54">
      <c r="A384" s="51"/>
      <c r="B384" s="45"/>
      <c r="C384" s="52" t="s">
        <v>13</v>
      </c>
      <c r="D384" s="45"/>
      <c r="E384" s="45">
        <v>0</v>
      </c>
      <c r="F384" s="36">
        <f ca="1">SUMIF(I$3:$BB383,"入库",I384:$BB384)</f>
        <v>40</v>
      </c>
      <c r="G384" s="45">
        <f ca="1">SUMIF(J$3:$BB383,"出库",J384:$BB384)</f>
        <v>0</v>
      </c>
      <c r="H384" s="37">
        <f ca="1" t="shared" si="5"/>
        <v>40</v>
      </c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>
        <v>40</v>
      </c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</row>
    <row r="385" hidden="1" customHeight="1" spans="1:54">
      <c r="A385" s="53"/>
      <c r="B385" s="45"/>
      <c r="C385" s="45" t="s">
        <v>14</v>
      </c>
      <c r="D385" s="45"/>
      <c r="E385" s="45">
        <v>0</v>
      </c>
      <c r="F385" s="36">
        <f ca="1">SUMIF(I$3:$BB384,"入库",I385:$BB385)</f>
        <v>0</v>
      </c>
      <c r="G385" s="45">
        <f ca="1">SUMIF(J$3:$BB384,"出库",J385:$BB385)</f>
        <v>0</v>
      </c>
      <c r="H385" s="37">
        <f ca="1" t="shared" si="5"/>
        <v>0</v>
      </c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</row>
    <row r="386" hidden="1" customHeight="1" spans="1:54">
      <c r="A386" s="49">
        <f>ROW()-4</f>
        <v>382</v>
      </c>
      <c r="B386" s="45" t="s">
        <v>145</v>
      </c>
      <c r="C386" s="50" t="s">
        <v>12</v>
      </c>
      <c r="D386" s="45"/>
      <c r="E386" s="45">
        <v>0</v>
      </c>
      <c r="F386" s="36">
        <f ca="1">SUMIF(I$3:$BB385,"入库",I386:$BB386)</f>
        <v>6150</v>
      </c>
      <c r="G386" s="45">
        <f ca="1">SUMIF(J$3:$BB385,"出库",J386:$BB386)</f>
        <v>130</v>
      </c>
      <c r="H386" s="37">
        <f ca="1" t="shared" si="5"/>
        <v>6020</v>
      </c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>
        <v>6150</v>
      </c>
      <c r="AH386" s="45"/>
      <c r="AI386" s="45"/>
      <c r="AJ386" s="45">
        <v>130</v>
      </c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</row>
    <row r="387" hidden="1" customHeight="1" spans="1:54">
      <c r="A387" s="51"/>
      <c r="B387" s="45"/>
      <c r="C387" s="52" t="s">
        <v>13</v>
      </c>
      <c r="D387" s="45"/>
      <c r="E387" s="45">
        <v>0</v>
      </c>
      <c r="F387" s="36">
        <f ca="1">SUMIF(I$3:$BB386,"入库",I387:$BB387)</f>
        <v>50</v>
      </c>
      <c r="G387" s="45">
        <f ca="1">SUMIF(J$3:$BB386,"出库",J387:$BB387)</f>
        <v>0</v>
      </c>
      <c r="H387" s="37">
        <f ca="1" t="shared" si="5"/>
        <v>50</v>
      </c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>
        <v>50</v>
      </c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</row>
    <row r="388" hidden="1" customHeight="1" spans="1:54">
      <c r="A388" s="53"/>
      <c r="B388" s="45"/>
      <c r="C388" s="45" t="s">
        <v>14</v>
      </c>
      <c r="D388" s="45"/>
      <c r="E388" s="45">
        <v>0</v>
      </c>
      <c r="F388" s="36">
        <f ca="1">SUMIF(I$3:$BB387,"入库",I388:$BB388)</f>
        <v>10</v>
      </c>
      <c r="G388" s="45">
        <f ca="1">SUMIF(J$3:$BB387,"出库",J388:$BB388)</f>
        <v>0</v>
      </c>
      <c r="H388" s="37">
        <f ca="1" t="shared" si="5"/>
        <v>10</v>
      </c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>
        <v>10</v>
      </c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</row>
    <row r="389" hidden="1" customHeight="1" spans="1:54">
      <c r="A389" s="49">
        <f>ROW()-4</f>
        <v>385</v>
      </c>
      <c r="B389" s="45" t="s">
        <v>146</v>
      </c>
      <c r="C389" s="50" t="s">
        <v>12</v>
      </c>
      <c r="D389" s="45"/>
      <c r="E389" s="45">
        <v>0</v>
      </c>
      <c r="F389" s="36">
        <f ca="1">SUMIF(I$3:$BB388,"入库",I389:$BB389)</f>
        <v>1150</v>
      </c>
      <c r="G389" s="45">
        <f ca="1">SUMIF(J$3:$BB388,"出库",J389:$BB389)</f>
        <v>11</v>
      </c>
      <c r="H389" s="37">
        <f ca="1" t="shared" ref="H389:H452" si="6">E389+F389-G389</f>
        <v>1139</v>
      </c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>
        <v>1150</v>
      </c>
      <c r="AH389" s="45"/>
      <c r="AI389" s="45"/>
      <c r="AJ389" s="45">
        <v>11</v>
      </c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</row>
    <row r="390" hidden="1" customHeight="1" spans="1:54">
      <c r="A390" s="51"/>
      <c r="B390" s="45"/>
      <c r="C390" s="52" t="s">
        <v>13</v>
      </c>
      <c r="D390" s="45"/>
      <c r="E390" s="45">
        <v>0</v>
      </c>
      <c r="F390" s="36">
        <f ca="1">SUMIF(I$3:$BB389,"入库",I390:$BB390)</f>
        <v>20</v>
      </c>
      <c r="G390" s="45">
        <f ca="1">SUMIF(J$3:$BB389,"出库",J390:$BB390)</f>
        <v>0</v>
      </c>
      <c r="H390" s="37">
        <f ca="1" t="shared" si="6"/>
        <v>20</v>
      </c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>
        <v>20</v>
      </c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</row>
    <row r="391" hidden="1" customHeight="1" spans="1:54">
      <c r="A391" s="53"/>
      <c r="B391" s="45"/>
      <c r="C391" s="45" t="s">
        <v>14</v>
      </c>
      <c r="D391" s="45"/>
      <c r="E391" s="45">
        <v>0</v>
      </c>
      <c r="F391" s="36">
        <f ca="1">SUMIF(I$3:$BB390,"入库",I391:$BB391)</f>
        <v>0</v>
      </c>
      <c r="G391" s="45">
        <f ca="1">SUMIF(J$3:$BB390,"出库",J391:$BB391)</f>
        <v>0</v>
      </c>
      <c r="H391" s="37">
        <f ca="1" t="shared" si="6"/>
        <v>0</v>
      </c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</row>
    <row r="392" hidden="1" customHeight="1" spans="1:54">
      <c r="A392" s="49">
        <f>ROW()-4</f>
        <v>388</v>
      </c>
      <c r="B392" s="45" t="s">
        <v>147</v>
      </c>
      <c r="C392" s="50" t="s">
        <v>12</v>
      </c>
      <c r="D392" s="45"/>
      <c r="E392" s="45">
        <v>0</v>
      </c>
      <c r="F392" s="36">
        <f ca="1">SUMIF(I$3:$BB391,"入库",I392:$BB392)</f>
        <v>3500</v>
      </c>
      <c r="G392" s="45">
        <f ca="1">SUMIF(J$3:$BB391,"出库",J392:$BB392)</f>
        <v>1</v>
      </c>
      <c r="H392" s="37">
        <f ca="1" t="shared" si="6"/>
        <v>3499</v>
      </c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>
        <v>3500</v>
      </c>
      <c r="AD392" s="45"/>
      <c r="AE392" s="45"/>
      <c r="AF392" s="45"/>
      <c r="AG392" s="45"/>
      <c r="AH392" s="45">
        <v>1</v>
      </c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</row>
    <row r="393" hidden="1" customHeight="1" spans="1:54">
      <c r="A393" s="51"/>
      <c r="B393" s="45"/>
      <c r="C393" s="52" t="s">
        <v>13</v>
      </c>
      <c r="D393" s="45"/>
      <c r="E393" s="45">
        <v>0</v>
      </c>
      <c r="F393" s="36">
        <f ca="1">SUMIF(I$3:$BB392,"入库",I393:$BB393)</f>
        <v>100</v>
      </c>
      <c r="G393" s="45">
        <f ca="1">SUMIF(J$3:$BB392,"出库",J393:$BB393)</f>
        <v>0</v>
      </c>
      <c r="H393" s="37">
        <f ca="1" t="shared" si="6"/>
        <v>100</v>
      </c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>
        <v>100</v>
      </c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</row>
    <row r="394" hidden="1" customHeight="1" spans="1:54">
      <c r="A394" s="53"/>
      <c r="B394" s="45"/>
      <c r="C394" s="45" t="s">
        <v>14</v>
      </c>
      <c r="D394" s="45"/>
      <c r="E394" s="45">
        <v>0</v>
      </c>
      <c r="F394" s="36">
        <f ca="1">SUMIF(I$3:$BB393,"入库",I394:$BB394)</f>
        <v>0</v>
      </c>
      <c r="G394" s="45">
        <f ca="1">SUMIF(J$3:$BB393,"出库",J394:$BB394)</f>
        <v>0</v>
      </c>
      <c r="H394" s="37">
        <f ca="1" t="shared" si="6"/>
        <v>0</v>
      </c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</row>
    <row r="395" hidden="1" customHeight="1" spans="1:54">
      <c r="A395" s="49">
        <f>ROW()-4</f>
        <v>391</v>
      </c>
      <c r="B395" s="45" t="s">
        <v>148</v>
      </c>
      <c r="C395" s="50" t="s">
        <v>12</v>
      </c>
      <c r="D395" s="45"/>
      <c r="E395" s="45">
        <v>0</v>
      </c>
      <c r="F395" s="36">
        <f ca="1">SUMIF(I$3:$BB394,"入库",I395:$BB395)</f>
        <v>3540</v>
      </c>
      <c r="G395" s="45">
        <f ca="1">SUMIF(J$3:$BB394,"出库",J395:$BB395)</f>
        <v>546</v>
      </c>
      <c r="H395" s="37">
        <f ca="1" t="shared" si="6"/>
        <v>2994</v>
      </c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>
        <v>2340</v>
      </c>
      <c r="AD395" s="45"/>
      <c r="AE395" s="45"/>
      <c r="AF395" s="45"/>
      <c r="AG395" s="45">
        <v>1200</v>
      </c>
      <c r="AH395" s="45">
        <v>101</v>
      </c>
      <c r="AI395" s="45"/>
      <c r="AJ395" s="45">
        <v>445</v>
      </c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</row>
    <row r="396" hidden="1" customHeight="1" spans="1:54">
      <c r="A396" s="51"/>
      <c r="B396" s="45"/>
      <c r="C396" s="52" t="s">
        <v>13</v>
      </c>
      <c r="D396" s="45"/>
      <c r="E396" s="45">
        <v>0</v>
      </c>
      <c r="F396" s="36">
        <f ca="1">SUMIF(I$3:$BB395,"入库",I396:$BB396)</f>
        <v>70</v>
      </c>
      <c r="G396" s="45">
        <f ca="1">SUMIF(J$3:$BB395,"出库",J396:$BB396)</f>
        <v>0</v>
      </c>
      <c r="H396" s="37">
        <f ca="1" t="shared" si="6"/>
        <v>70</v>
      </c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>
        <v>70</v>
      </c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</row>
    <row r="397" hidden="1" customHeight="1" spans="1:54">
      <c r="A397" s="53"/>
      <c r="B397" s="45"/>
      <c r="C397" s="45" t="s">
        <v>14</v>
      </c>
      <c r="D397" s="45"/>
      <c r="E397" s="45">
        <v>0</v>
      </c>
      <c r="F397" s="36">
        <f ca="1">SUMIF(I$3:$BB396,"入库",I397:$BB397)</f>
        <v>0</v>
      </c>
      <c r="G397" s="45">
        <f ca="1">SUMIF(J$3:$BB396,"出库",J397:$BB397)</f>
        <v>0</v>
      </c>
      <c r="H397" s="37">
        <f ca="1" t="shared" si="6"/>
        <v>0</v>
      </c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</row>
    <row r="398" hidden="1" customHeight="1" spans="1:54">
      <c r="A398" s="49">
        <f>ROW()-4</f>
        <v>394</v>
      </c>
      <c r="B398" s="45" t="s">
        <v>149</v>
      </c>
      <c r="C398" s="50" t="s">
        <v>12</v>
      </c>
      <c r="D398" s="45"/>
      <c r="E398" s="45">
        <v>0</v>
      </c>
      <c r="F398" s="36">
        <f ca="1">SUMIF(I$3:$BB397,"入库",I398:$BB398)</f>
        <v>1300</v>
      </c>
      <c r="G398" s="45">
        <f ca="1">SUMIF(J$3:$BB397,"出库",J398:$BB398)</f>
        <v>0</v>
      </c>
      <c r="H398" s="37">
        <f ca="1" t="shared" si="6"/>
        <v>1300</v>
      </c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>
        <v>1300</v>
      </c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</row>
    <row r="399" hidden="1" customHeight="1" spans="1:54">
      <c r="A399" s="51"/>
      <c r="B399" s="45"/>
      <c r="C399" s="52" t="s">
        <v>13</v>
      </c>
      <c r="D399" s="45"/>
      <c r="E399" s="45">
        <v>0</v>
      </c>
      <c r="F399" s="36">
        <f ca="1">SUMIF(I$3:$BB398,"入库",I399:$BB399)</f>
        <v>350</v>
      </c>
      <c r="G399" s="45">
        <f ca="1">SUMIF(J$3:$BB398,"出库",J399:$BB399)</f>
        <v>0</v>
      </c>
      <c r="H399" s="37">
        <f ca="1" t="shared" si="6"/>
        <v>350</v>
      </c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>
        <v>350</v>
      </c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</row>
    <row r="400" hidden="1" customHeight="1" spans="1:54">
      <c r="A400" s="53"/>
      <c r="B400" s="45"/>
      <c r="C400" s="45" t="s">
        <v>14</v>
      </c>
      <c r="D400" s="45"/>
      <c r="E400" s="45">
        <v>0</v>
      </c>
      <c r="F400" s="36">
        <f ca="1">SUMIF(I$3:$BB399,"入库",I400:$BB400)</f>
        <v>50</v>
      </c>
      <c r="G400" s="45">
        <f ca="1">SUMIF(J$3:$BB399,"出库",J400:$BB400)</f>
        <v>0</v>
      </c>
      <c r="H400" s="37">
        <f ca="1" t="shared" si="6"/>
        <v>50</v>
      </c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>
        <v>50</v>
      </c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</row>
    <row r="401" hidden="1" customHeight="1" spans="1:54">
      <c r="A401" s="49">
        <f>ROW()-4</f>
        <v>397</v>
      </c>
      <c r="B401" s="45" t="s">
        <v>150</v>
      </c>
      <c r="C401" s="50" t="s">
        <v>12</v>
      </c>
      <c r="D401" s="45"/>
      <c r="E401" s="45">
        <v>0</v>
      </c>
      <c r="F401" s="36">
        <f ca="1">SUMIF(I$3:$BB400,"入库",I401:$BB401)</f>
        <v>400</v>
      </c>
      <c r="G401" s="45">
        <f ca="1">SUMIF(J$3:$BB400,"出库",J401:$BB401)</f>
        <v>0</v>
      </c>
      <c r="H401" s="37">
        <f ca="1" t="shared" si="6"/>
        <v>400</v>
      </c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>
        <v>400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</row>
    <row r="402" hidden="1" customHeight="1" spans="1:54">
      <c r="A402" s="51"/>
      <c r="B402" s="45"/>
      <c r="C402" s="52" t="s">
        <v>13</v>
      </c>
      <c r="D402" s="45"/>
      <c r="E402" s="45">
        <v>0</v>
      </c>
      <c r="F402" s="36">
        <f ca="1">SUMIF(I$3:$BB401,"入库",I402:$BB402)</f>
        <v>20</v>
      </c>
      <c r="G402" s="45">
        <f ca="1">SUMIF(J$3:$BB401,"出库",J402:$BB402)</f>
        <v>0</v>
      </c>
      <c r="H402" s="37">
        <f ca="1" t="shared" si="6"/>
        <v>20</v>
      </c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>
        <v>20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</row>
    <row r="403" hidden="1" customHeight="1" spans="1:54">
      <c r="A403" s="53"/>
      <c r="B403" s="45"/>
      <c r="C403" s="45" t="s">
        <v>14</v>
      </c>
      <c r="D403" s="45"/>
      <c r="E403" s="45">
        <v>0</v>
      </c>
      <c r="F403" s="36">
        <f ca="1">SUMIF(I$3:$BB402,"入库",I403:$BB403)</f>
        <v>40</v>
      </c>
      <c r="G403" s="45">
        <f ca="1">SUMIF(J$3:$BB402,"出库",J403:$BB403)</f>
        <v>0</v>
      </c>
      <c r="H403" s="37">
        <f ca="1" t="shared" si="6"/>
        <v>40</v>
      </c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>
        <v>40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</row>
    <row r="404" hidden="1" customHeight="1" spans="1:54">
      <c r="A404" s="49">
        <f>ROW()-4</f>
        <v>400</v>
      </c>
      <c r="B404" s="45" t="s">
        <v>151</v>
      </c>
      <c r="C404" s="50" t="s">
        <v>12</v>
      </c>
      <c r="D404" s="45"/>
      <c r="E404" s="45">
        <v>0</v>
      </c>
      <c r="F404" s="36">
        <f ca="1">SUMIF(I$3:$BB403,"入库",I404:$BB404)</f>
        <v>410</v>
      </c>
      <c r="G404" s="45">
        <f ca="1">SUMIF(J$3:$BB403,"出库",J404:$BB404)</f>
        <v>45</v>
      </c>
      <c r="H404" s="37">
        <f ca="1" t="shared" si="6"/>
        <v>365</v>
      </c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>
        <v>410</v>
      </c>
      <c r="AB404" s="45"/>
      <c r="AC404" s="45"/>
      <c r="AD404" s="45"/>
      <c r="AE404" s="45"/>
      <c r="AF404" s="45"/>
      <c r="AG404" s="45"/>
      <c r="AH404" s="45"/>
      <c r="AI404" s="45"/>
      <c r="AJ404" s="45">
        <v>45</v>
      </c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</row>
    <row r="405" hidden="1" customHeight="1" spans="1:54">
      <c r="A405" s="51"/>
      <c r="B405" s="45"/>
      <c r="C405" s="52" t="s">
        <v>13</v>
      </c>
      <c r="D405" s="45"/>
      <c r="E405" s="45">
        <v>0</v>
      </c>
      <c r="F405" s="36">
        <f ca="1">SUMIF(I$3:$BB404,"入库",I405:$BB405)</f>
        <v>110</v>
      </c>
      <c r="G405" s="45">
        <f ca="1">SUMIF(J$3:$BB404,"出库",J405:$BB405)</f>
        <v>0</v>
      </c>
      <c r="H405" s="37">
        <f ca="1" t="shared" si="6"/>
        <v>110</v>
      </c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>
        <v>110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</row>
    <row r="406" hidden="1" customHeight="1" spans="1:54">
      <c r="A406" s="53"/>
      <c r="B406" s="45"/>
      <c r="C406" s="45" t="s">
        <v>14</v>
      </c>
      <c r="D406" s="45"/>
      <c r="E406" s="45">
        <v>0</v>
      </c>
      <c r="F406" s="36">
        <f ca="1">SUMIF(I$3:$BB405,"入库",I406:$BB406)</f>
        <v>50</v>
      </c>
      <c r="G406" s="45">
        <f ca="1">SUMIF(J$3:$BB405,"出库",J406:$BB406)</f>
        <v>0</v>
      </c>
      <c r="H406" s="37">
        <f ca="1" t="shared" si="6"/>
        <v>50</v>
      </c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>
        <v>50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</row>
    <row r="407" hidden="1" customHeight="1" spans="1:54">
      <c r="A407" s="49">
        <f>ROW()-4</f>
        <v>403</v>
      </c>
      <c r="B407" s="45" t="s">
        <v>152</v>
      </c>
      <c r="C407" s="50" t="s">
        <v>12</v>
      </c>
      <c r="D407" s="45"/>
      <c r="E407" s="45">
        <v>0</v>
      </c>
      <c r="F407" s="36">
        <v>745</v>
      </c>
      <c r="G407" s="45">
        <f ca="1">SUMIF(J$3:$BB406,"出库",J407:$BB407)</f>
        <v>113</v>
      </c>
      <c r="H407" s="37">
        <f ca="1" t="shared" si="6"/>
        <v>632</v>
      </c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>
        <v>1000</v>
      </c>
      <c r="AB407" s="45"/>
      <c r="AC407" s="45"/>
      <c r="AD407" s="45">
        <v>15</v>
      </c>
      <c r="AE407" s="45"/>
      <c r="AF407" s="45"/>
      <c r="AG407" s="45"/>
      <c r="AH407" s="45">
        <v>80</v>
      </c>
      <c r="AI407" s="45"/>
      <c r="AJ407" s="45">
        <v>18</v>
      </c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</row>
    <row r="408" hidden="1" customHeight="1" spans="1:54">
      <c r="A408" s="51"/>
      <c r="B408" s="45"/>
      <c r="C408" s="52" t="s">
        <v>13</v>
      </c>
      <c r="D408" s="45"/>
      <c r="E408" s="45">
        <v>0</v>
      </c>
      <c r="F408" s="36">
        <f ca="1">SUMIF(I$3:$BB407,"入库",I408:$BB408)</f>
        <v>0</v>
      </c>
      <c r="G408" s="45">
        <f ca="1">SUMIF(J$3:$BB407,"出库",J408:$BB408)</f>
        <v>0</v>
      </c>
      <c r="H408" s="37">
        <f ca="1" t="shared" si="6"/>
        <v>0</v>
      </c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</row>
    <row r="409" hidden="1" customHeight="1" spans="1:54">
      <c r="A409" s="53"/>
      <c r="B409" s="45"/>
      <c r="C409" s="45" t="s">
        <v>14</v>
      </c>
      <c r="D409" s="45"/>
      <c r="E409" s="45">
        <v>0</v>
      </c>
      <c r="F409" s="36">
        <f ca="1">SUMIF(I$3:$BB408,"入库",I409:$BB409)</f>
        <v>280</v>
      </c>
      <c r="G409" s="45">
        <f ca="1">SUMIF(J$3:$BB408,"出库",J409:$BB409)</f>
        <v>23</v>
      </c>
      <c r="H409" s="37">
        <f ca="1" t="shared" si="6"/>
        <v>257</v>
      </c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>
        <v>280</v>
      </c>
      <c r="AB409" s="45"/>
      <c r="AC409" s="45"/>
      <c r="AD409" s="45"/>
      <c r="AE409" s="45"/>
      <c r="AF409" s="45"/>
      <c r="AG409" s="45"/>
      <c r="AH409" s="45"/>
      <c r="AI409" s="45"/>
      <c r="AJ409" s="45">
        <v>23</v>
      </c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</row>
    <row r="410" hidden="1" customHeight="1" spans="1:54">
      <c r="A410" s="49">
        <f>ROW()-4</f>
        <v>406</v>
      </c>
      <c r="B410" s="45" t="s">
        <v>153</v>
      </c>
      <c r="C410" s="50" t="s">
        <v>12</v>
      </c>
      <c r="D410" s="45"/>
      <c r="E410" s="45">
        <v>0</v>
      </c>
      <c r="F410" s="36">
        <f ca="1">SUMIF(I$3:$BB409,"入库",I410:$BB410)</f>
        <v>13300</v>
      </c>
      <c r="G410" s="45">
        <f ca="1">SUMIF(J$3:$BB409,"出库",J410:$BB410)</f>
        <v>45</v>
      </c>
      <c r="H410" s="37">
        <f ca="1" t="shared" si="6"/>
        <v>13255</v>
      </c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>
        <v>13300</v>
      </c>
      <c r="AJ410" s="45">
        <v>45</v>
      </c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</row>
    <row r="411" hidden="1" customHeight="1" spans="1:54">
      <c r="A411" s="51"/>
      <c r="B411" s="45"/>
      <c r="C411" s="52" t="s">
        <v>13</v>
      </c>
      <c r="D411" s="45"/>
      <c r="E411" s="45">
        <v>0</v>
      </c>
      <c r="F411" s="36">
        <f ca="1">SUMIF(I$3:$BB410,"入库",I411:$BB411)</f>
        <v>1950</v>
      </c>
      <c r="G411" s="45">
        <f ca="1">SUMIF(J$3:$BB410,"出库",J411:$BB411)</f>
        <v>0</v>
      </c>
      <c r="H411" s="37">
        <f ca="1" t="shared" si="6"/>
        <v>1950</v>
      </c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>
        <v>1950</v>
      </c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</row>
    <row r="412" hidden="1" customHeight="1" spans="1:54">
      <c r="A412" s="53"/>
      <c r="B412" s="45"/>
      <c r="C412" s="45" t="s">
        <v>14</v>
      </c>
      <c r="D412" s="45"/>
      <c r="E412" s="45">
        <v>0</v>
      </c>
      <c r="F412" s="36">
        <f ca="1">SUMIF(I$3:$BB411,"入库",I412:$BB412)</f>
        <v>50</v>
      </c>
      <c r="G412" s="45">
        <f ca="1">SUMIF(J$3:$BB411,"出库",J412:$BB412)</f>
        <v>0</v>
      </c>
      <c r="H412" s="37">
        <f ca="1" t="shared" si="6"/>
        <v>50</v>
      </c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>
        <v>50</v>
      </c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</row>
    <row r="413" hidden="1" customHeight="1" spans="1:54">
      <c r="A413" s="49">
        <f>ROW()-4</f>
        <v>409</v>
      </c>
      <c r="B413" s="45" t="s">
        <v>154</v>
      </c>
      <c r="C413" s="50" t="s">
        <v>12</v>
      </c>
      <c r="D413" s="45"/>
      <c r="E413" s="45">
        <v>0</v>
      </c>
      <c r="F413" s="36">
        <f ca="1">SUMIF(I$3:$BB412,"入库",I413:$BB413)</f>
        <v>3100</v>
      </c>
      <c r="G413" s="45">
        <f ca="1">SUMIF(J$3:$BB412,"出库",J413:$BB413)</f>
        <v>175</v>
      </c>
      <c r="H413" s="37">
        <f ca="1" t="shared" si="6"/>
        <v>2925</v>
      </c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>
        <v>3100</v>
      </c>
      <c r="AH413" s="45"/>
      <c r="AI413" s="45"/>
      <c r="AJ413" s="45">
        <v>175</v>
      </c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</row>
    <row r="414" hidden="1" customHeight="1" spans="1:54">
      <c r="A414" s="51"/>
      <c r="B414" s="45"/>
      <c r="C414" s="52" t="s">
        <v>13</v>
      </c>
      <c r="D414" s="45"/>
      <c r="E414" s="45">
        <v>0</v>
      </c>
      <c r="F414" s="36">
        <f ca="1">SUMIF(I$3:$BB413,"入库",I414:$BB414)</f>
        <v>50</v>
      </c>
      <c r="G414" s="45">
        <f ca="1">SUMIF(J$3:$BB413,"出库",J414:$BB414)</f>
        <v>0</v>
      </c>
      <c r="H414" s="37">
        <f ca="1" t="shared" si="6"/>
        <v>50</v>
      </c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>
        <v>50</v>
      </c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</row>
    <row r="415" hidden="1" customHeight="1" spans="1:54">
      <c r="A415" s="53"/>
      <c r="B415" s="45"/>
      <c r="C415" s="45" t="s">
        <v>14</v>
      </c>
      <c r="D415" s="45"/>
      <c r="E415" s="45">
        <v>0</v>
      </c>
      <c r="F415" s="36">
        <f ca="1">SUMIF(I$3:$BB414,"入库",I415:$BB415)</f>
        <v>10</v>
      </c>
      <c r="G415" s="45">
        <f ca="1">SUMIF(J$3:$BB414,"出库",J415:$BB415)</f>
        <v>0</v>
      </c>
      <c r="H415" s="37">
        <f ca="1" t="shared" si="6"/>
        <v>10</v>
      </c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>
        <v>10</v>
      </c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</row>
    <row r="416" hidden="1" customHeight="1" spans="1:54">
      <c r="A416" s="49">
        <f>ROW()-4</f>
        <v>412</v>
      </c>
      <c r="B416" s="45" t="s">
        <v>155</v>
      </c>
      <c r="C416" s="50" t="s">
        <v>12</v>
      </c>
      <c r="D416" s="45"/>
      <c r="E416" s="45">
        <v>0</v>
      </c>
      <c r="F416" s="36">
        <f ca="1">SUMIF(I$3:$BB415,"入库",I416:$BB416)</f>
        <v>3460</v>
      </c>
      <c r="G416" s="45">
        <f ca="1">SUMIF(J$3:$BB415,"出库",J416:$BB416)</f>
        <v>0</v>
      </c>
      <c r="H416" s="37">
        <f ca="1" t="shared" si="6"/>
        <v>3460</v>
      </c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>
        <v>160</v>
      </c>
      <c r="AH416" s="45"/>
      <c r="AI416" s="45">
        <v>3300</v>
      </c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</row>
    <row r="417" hidden="1" customHeight="1" spans="1:54">
      <c r="A417" s="51"/>
      <c r="B417" s="45"/>
      <c r="C417" s="52" t="s">
        <v>13</v>
      </c>
      <c r="D417" s="45"/>
      <c r="E417" s="45">
        <v>0</v>
      </c>
      <c r="F417" s="36">
        <f ca="1">SUMIF(I$3:$BB416,"入库",I417:$BB417)</f>
        <v>10</v>
      </c>
      <c r="G417" s="45">
        <f ca="1">SUMIF(J$3:$BB416,"出库",J417:$BB417)</f>
        <v>0</v>
      </c>
      <c r="H417" s="37">
        <f ca="1" t="shared" si="6"/>
        <v>10</v>
      </c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>
        <v>10</v>
      </c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</row>
    <row r="418" hidden="1" customHeight="1" spans="1:54">
      <c r="A418" s="53"/>
      <c r="B418" s="45"/>
      <c r="C418" s="45" t="s">
        <v>14</v>
      </c>
      <c r="D418" s="45"/>
      <c r="E418" s="45">
        <v>0</v>
      </c>
      <c r="F418" s="36">
        <f ca="1">SUMIF(I$3:$BB417,"入库",I418:$BB418)</f>
        <v>100</v>
      </c>
      <c r="G418" s="45">
        <f ca="1">SUMIF(J$3:$BB417,"出库",J418:$BB418)</f>
        <v>0</v>
      </c>
      <c r="H418" s="37">
        <f ca="1" t="shared" si="6"/>
        <v>100</v>
      </c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>
        <v>100</v>
      </c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</row>
    <row r="419" hidden="1" customHeight="1" spans="1:54">
      <c r="A419" s="49">
        <f>ROW()-4</f>
        <v>415</v>
      </c>
      <c r="B419" s="45" t="s">
        <v>156</v>
      </c>
      <c r="C419" s="50" t="s">
        <v>12</v>
      </c>
      <c r="D419" s="45"/>
      <c r="E419" s="45">
        <v>0</v>
      </c>
      <c r="F419" s="36">
        <f ca="1">SUMIF(I$3:$BB418,"入库",I419:$BB419)</f>
        <v>2050</v>
      </c>
      <c r="G419" s="45">
        <f ca="1">SUMIF(J$3:$BB418,"出库",J419:$BB419)</f>
        <v>151</v>
      </c>
      <c r="H419" s="37">
        <f ca="1" t="shared" si="6"/>
        <v>1899</v>
      </c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>
        <v>2050</v>
      </c>
      <c r="AD419" s="45"/>
      <c r="AE419" s="45"/>
      <c r="AF419" s="45"/>
      <c r="AG419" s="45"/>
      <c r="AH419" s="45">
        <v>1</v>
      </c>
      <c r="AI419" s="45"/>
      <c r="AJ419" s="45">
        <v>150</v>
      </c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</row>
    <row r="420" hidden="1" customHeight="1" spans="1:54">
      <c r="A420" s="51"/>
      <c r="B420" s="45"/>
      <c r="C420" s="52" t="s">
        <v>13</v>
      </c>
      <c r="D420" s="45"/>
      <c r="E420" s="45">
        <v>0</v>
      </c>
      <c r="F420" s="36">
        <f ca="1">SUMIF(I$3:$BB419,"入库",I420:$BB420)</f>
        <v>0</v>
      </c>
      <c r="G420" s="45">
        <f ca="1">SUMIF(J$3:$BB419,"出库",J420:$BB420)</f>
        <v>0</v>
      </c>
      <c r="H420" s="37">
        <f ca="1" t="shared" si="6"/>
        <v>0</v>
      </c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</row>
    <row r="421" hidden="1" customHeight="1" spans="1:54">
      <c r="A421" s="53"/>
      <c r="B421" s="45"/>
      <c r="C421" s="45" t="s">
        <v>14</v>
      </c>
      <c r="D421" s="45"/>
      <c r="E421" s="45">
        <v>0</v>
      </c>
      <c r="F421" s="36">
        <f ca="1">SUMIF(I$3:$BB420,"入库",I421:$BB421)</f>
        <v>0</v>
      </c>
      <c r="G421" s="45">
        <f ca="1">SUMIF(J$3:$BB420,"出库",J421:$BB421)</f>
        <v>0</v>
      </c>
      <c r="H421" s="37">
        <f ca="1" t="shared" si="6"/>
        <v>0</v>
      </c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</row>
    <row r="422" hidden="1" customHeight="1" spans="1:54">
      <c r="A422" s="49">
        <f>ROW()-4</f>
        <v>418</v>
      </c>
      <c r="B422" s="45" t="s">
        <v>157</v>
      </c>
      <c r="C422" s="50" t="s">
        <v>12</v>
      </c>
      <c r="D422" s="45"/>
      <c r="E422" s="45">
        <v>0</v>
      </c>
      <c r="F422" s="36">
        <f ca="1">SUMIF(I$3:$BB421,"入库",I422:$BB422)</f>
        <v>5060</v>
      </c>
      <c r="G422" s="45">
        <f ca="1">SUMIF(J$3:$BB421,"出库",J422:$BB422)</f>
        <v>1</v>
      </c>
      <c r="H422" s="37">
        <f ca="1" t="shared" si="6"/>
        <v>5059</v>
      </c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>
        <v>60</v>
      </c>
      <c r="AD422" s="45"/>
      <c r="AE422" s="45"/>
      <c r="AF422" s="45"/>
      <c r="AG422" s="45">
        <v>5000</v>
      </c>
      <c r="AH422" s="45">
        <v>1</v>
      </c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</row>
    <row r="423" hidden="1" customHeight="1" spans="1:54">
      <c r="A423" s="51"/>
      <c r="B423" s="45"/>
      <c r="C423" s="52" t="s">
        <v>13</v>
      </c>
      <c r="D423" s="45"/>
      <c r="E423" s="45">
        <v>0</v>
      </c>
      <c r="F423" s="36">
        <f ca="1">SUMIF(I$3:$BB422,"入库",I423:$BB423)</f>
        <v>2</v>
      </c>
      <c r="G423" s="45">
        <f ca="1">SUMIF(J$3:$BB422,"出库",J423:$BB423)</f>
        <v>0</v>
      </c>
      <c r="H423" s="37">
        <f ca="1" t="shared" si="6"/>
        <v>2</v>
      </c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>
        <v>2</v>
      </c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</row>
    <row r="424" hidden="1" customHeight="1" spans="1:54">
      <c r="A424" s="53"/>
      <c r="B424" s="45"/>
      <c r="C424" s="45" t="s">
        <v>14</v>
      </c>
      <c r="D424" s="45"/>
      <c r="E424" s="45">
        <v>0</v>
      </c>
      <c r="F424" s="36">
        <f ca="1">SUMIF(I$3:$BB423,"入库",I424:$BB424)</f>
        <v>10</v>
      </c>
      <c r="G424" s="45">
        <f ca="1">SUMIF(J$3:$BB423,"出库",J424:$BB424)</f>
        <v>0</v>
      </c>
      <c r="H424" s="37">
        <f ca="1" t="shared" si="6"/>
        <v>10</v>
      </c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>
        <v>10</v>
      </c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</row>
    <row r="425" hidden="1" customHeight="1" spans="1:54">
      <c r="A425" s="49">
        <f>ROW()-4</f>
        <v>421</v>
      </c>
      <c r="B425" s="45" t="s">
        <v>158</v>
      </c>
      <c r="C425" s="50" t="s">
        <v>12</v>
      </c>
      <c r="D425" s="45"/>
      <c r="E425" s="45">
        <v>0</v>
      </c>
      <c r="F425" s="36">
        <f ca="1">SUMIF(I$3:$BB424,"入库",I425:$BB425)</f>
        <v>3000</v>
      </c>
      <c r="G425" s="45">
        <f ca="1">SUMIF(J$3:$BB424,"出库",J425:$BB425)</f>
        <v>100</v>
      </c>
      <c r="H425" s="37">
        <f ca="1" t="shared" si="6"/>
        <v>2900</v>
      </c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>
        <v>3000</v>
      </c>
      <c r="AD425" s="45"/>
      <c r="AE425" s="45"/>
      <c r="AF425" s="45"/>
      <c r="AG425" s="45"/>
      <c r="AH425" s="45"/>
      <c r="AI425" s="45"/>
      <c r="AJ425" s="45">
        <v>100</v>
      </c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</row>
    <row r="426" hidden="1" customHeight="1" spans="1:54">
      <c r="A426" s="51"/>
      <c r="B426" s="45"/>
      <c r="C426" s="52" t="s">
        <v>13</v>
      </c>
      <c r="D426" s="45"/>
      <c r="E426" s="45">
        <v>0</v>
      </c>
      <c r="F426" s="36">
        <f ca="1">SUMIF(I$3:$BB425,"入库",I426:$BB426)</f>
        <v>30</v>
      </c>
      <c r="G426" s="45">
        <f ca="1">SUMIF(J$3:$BB425,"出库",J426:$BB426)</f>
        <v>0</v>
      </c>
      <c r="H426" s="37">
        <f ca="1" t="shared" si="6"/>
        <v>30</v>
      </c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>
        <v>30</v>
      </c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</row>
    <row r="427" hidden="1" customHeight="1" spans="1:54">
      <c r="A427" s="53"/>
      <c r="B427" s="45"/>
      <c r="C427" s="45" t="s">
        <v>14</v>
      </c>
      <c r="D427" s="45"/>
      <c r="E427" s="45">
        <v>0</v>
      </c>
      <c r="F427" s="36">
        <f ca="1">SUMIF(I$3:$BB426,"入库",I427:$BB427)</f>
        <v>0</v>
      </c>
      <c r="G427" s="45">
        <f ca="1">SUMIF(J$3:$BB426,"出库",J427:$BB427)</f>
        <v>0</v>
      </c>
      <c r="H427" s="37">
        <f ca="1" t="shared" si="6"/>
        <v>0</v>
      </c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</row>
    <row r="428" hidden="1" customHeight="1" spans="1:54">
      <c r="A428" s="49">
        <f>ROW()-4</f>
        <v>424</v>
      </c>
      <c r="B428" s="45" t="s">
        <v>159</v>
      </c>
      <c r="C428" s="50" t="s">
        <v>12</v>
      </c>
      <c r="D428" s="45"/>
      <c r="E428" s="45">
        <v>0</v>
      </c>
      <c r="F428" s="36">
        <f ca="1">SUMIF(I$3:$BB427,"入库",I428:$BB428)</f>
        <v>1100</v>
      </c>
      <c r="G428" s="45">
        <f ca="1">SUMIF(J$3:$BB427,"出库",J428:$BB428)</f>
        <v>270</v>
      </c>
      <c r="H428" s="37">
        <f ca="1" t="shared" si="6"/>
        <v>830</v>
      </c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>
        <v>1100</v>
      </c>
      <c r="AB428" s="45"/>
      <c r="AC428" s="45"/>
      <c r="AD428" s="45"/>
      <c r="AE428" s="45"/>
      <c r="AF428" s="45"/>
      <c r="AG428" s="45"/>
      <c r="AH428" s="45">
        <v>170</v>
      </c>
      <c r="AI428" s="45"/>
      <c r="AJ428" s="45">
        <v>100</v>
      </c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</row>
    <row r="429" hidden="1" customHeight="1" spans="1:54">
      <c r="A429" s="51"/>
      <c r="B429" s="45"/>
      <c r="C429" s="52" t="s">
        <v>13</v>
      </c>
      <c r="D429" s="45"/>
      <c r="E429" s="45">
        <v>0</v>
      </c>
      <c r="F429" s="36">
        <f ca="1">SUMIF(I$3:$BB428,"入库",I429:$BB429)</f>
        <v>10</v>
      </c>
      <c r="G429" s="45">
        <f ca="1">SUMIF(J$3:$BB428,"出库",J429:$BB429)</f>
        <v>0</v>
      </c>
      <c r="H429" s="37">
        <f ca="1" t="shared" si="6"/>
        <v>10</v>
      </c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>
        <v>10</v>
      </c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</row>
    <row r="430" hidden="1" customHeight="1" spans="1:54">
      <c r="A430" s="53"/>
      <c r="B430" s="45"/>
      <c r="C430" s="45" t="s">
        <v>14</v>
      </c>
      <c r="D430" s="45"/>
      <c r="E430" s="45">
        <v>0</v>
      </c>
      <c r="F430" s="36">
        <f ca="1">SUMIF(I$3:$BB429,"入库",I430:$BB430)</f>
        <v>10</v>
      </c>
      <c r="G430" s="45">
        <f ca="1">SUMIF(J$3:$BB429,"出库",J430:$BB430)</f>
        <v>0</v>
      </c>
      <c r="H430" s="37">
        <f ca="1" t="shared" si="6"/>
        <v>10</v>
      </c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>
        <v>10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</row>
    <row r="431" hidden="1" customHeight="1" spans="1:54">
      <c r="A431" s="49">
        <f>ROW()-4</f>
        <v>427</v>
      </c>
      <c r="B431" s="45" t="s">
        <v>160</v>
      </c>
      <c r="C431" s="50" t="s">
        <v>12</v>
      </c>
      <c r="D431" s="45"/>
      <c r="E431" s="45">
        <v>0</v>
      </c>
      <c r="F431" s="36">
        <f ca="1">SUMIF(I$3:$BB430,"入库",I431:$BB431)</f>
        <v>1250</v>
      </c>
      <c r="G431" s="45">
        <f ca="1">SUMIF(J$3:$BB430,"出库",J431:$BB431)</f>
        <v>0</v>
      </c>
      <c r="H431" s="37">
        <f ca="1" t="shared" si="6"/>
        <v>1250</v>
      </c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>
        <v>1250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</row>
    <row r="432" hidden="1" customHeight="1" spans="1:54">
      <c r="A432" s="51"/>
      <c r="B432" s="45"/>
      <c r="C432" s="52" t="s">
        <v>13</v>
      </c>
      <c r="D432" s="45"/>
      <c r="E432" s="45">
        <v>0</v>
      </c>
      <c r="F432" s="36">
        <f ca="1">SUMIF(I$3:$BB431,"入库",I432:$BB432)</f>
        <v>50</v>
      </c>
      <c r="G432" s="45">
        <f ca="1">SUMIF(J$3:$BB431,"出库",J432:$BB432)</f>
        <v>0</v>
      </c>
      <c r="H432" s="37">
        <f ca="1" t="shared" si="6"/>
        <v>50</v>
      </c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>
        <v>50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</row>
    <row r="433" hidden="1" customHeight="1" spans="1:54">
      <c r="A433" s="53"/>
      <c r="B433" s="45"/>
      <c r="C433" s="45" t="s">
        <v>14</v>
      </c>
      <c r="D433" s="45"/>
      <c r="E433" s="45">
        <v>0</v>
      </c>
      <c r="F433" s="36">
        <f ca="1">SUMIF(I$3:$BB432,"入库",I433:$BB433)</f>
        <v>200</v>
      </c>
      <c r="G433" s="45">
        <f ca="1">SUMIF(J$3:$BB432,"出库",J433:$BB433)</f>
        <v>0</v>
      </c>
      <c r="H433" s="37">
        <f ca="1" t="shared" si="6"/>
        <v>200</v>
      </c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>
        <v>200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</row>
    <row r="434" hidden="1" customHeight="1" spans="1:54">
      <c r="A434" s="49">
        <f>ROW()-4</f>
        <v>430</v>
      </c>
      <c r="B434" s="45" t="s">
        <v>161</v>
      </c>
      <c r="C434" s="50" t="s">
        <v>12</v>
      </c>
      <c r="D434" s="45"/>
      <c r="E434" s="45">
        <v>0</v>
      </c>
      <c r="F434" s="36">
        <f ca="1">SUMIF(I$3:$BB433,"入库",I434:$BB434)</f>
        <v>270</v>
      </c>
      <c r="G434" s="45">
        <f ca="1">SUMIF(J$3:$BB433,"出库",J434:$BB434)</f>
        <v>147</v>
      </c>
      <c r="H434" s="37">
        <f ca="1" t="shared" si="6"/>
        <v>123</v>
      </c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>
        <v>270</v>
      </c>
      <c r="AB434" s="45">
        <v>147</v>
      </c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</row>
    <row r="435" hidden="1" customHeight="1" spans="1:54">
      <c r="A435" s="51"/>
      <c r="B435" s="45"/>
      <c r="C435" s="52" t="s">
        <v>13</v>
      </c>
      <c r="D435" s="45"/>
      <c r="E435" s="45">
        <v>0</v>
      </c>
      <c r="F435" s="36">
        <f ca="1">SUMIF(I$3:$BB434,"入库",I435:$BB435)</f>
        <v>50</v>
      </c>
      <c r="G435" s="45">
        <f ca="1">SUMIF(J$3:$BB434,"出库",J435:$BB435)</f>
        <v>0</v>
      </c>
      <c r="H435" s="37">
        <f ca="1" t="shared" si="6"/>
        <v>50</v>
      </c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>
        <v>50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</row>
    <row r="436" hidden="1" customHeight="1" spans="1:54">
      <c r="A436" s="53"/>
      <c r="B436" s="45"/>
      <c r="C436" s="45" t="s">
        <v>14</v>
      </c>
      <c r="D436" s="45"/>
      <c r="E436" s="45">
        <v>0</v>
      </c>
      <c r="F436" s="36">
        <f ca="1">SUMIF(I$3:$BB435,"入库",I436:$BB436)</f>
        <v>10</v>
      </c>
      <c r="G436" s="45">
        <f ca="1">SUMIF(J$3:$BB435,"出库",J436:$BB436)</f>
        <v>1</v>
      </c>
      <c r="H436" s="37">
        <f ca="1" t="shared" si="6"/>
        <v>9</v>
      </c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>
        <v>10</v>
      </c>
      <c r="AB436" s="45"/>
      <c r="AC436" s="45"/>
      <c r="AD436" s="45"/>
      <c r="AE436" s="45"/>
      <c r="AF436" s="45"/>
      <c r="AG436" s="45"/>
      <c r="AH436" s="45"/>
      <c r="AI436" s="45"/>
      <c r="AJ436" s="45">
        <v>1</v>
      </c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</row>
    <row r="437" hidden="1" customHeight="1" spans="1:54">
      <c r="A437" s="49">
        <f>ROW()-4</f>
        <v>433</v>
      </c>
      <c r="B437" s="45" t="s">
        <v>162</v>
      </c>
      <c r="C437" s="50" t="s">
        <v>12</v>
      </c>
      <c r="D437" s="45"/>
      <c r="E437" s="45">
        <v>0</v>
      </c>
      <c r="F437" s="36">
        <f ca="1">SUMIF(I$3:$BB436,"入库",I437:$BB437)</f>
        <v>3600</v>
      </c>
      <c r="G437" s="45">
        <f ca="1">SUMIF(J$3:$BB436,"出库",J437:$BB437)</f>
        <v>1</v>
      </c>
      <c r="H437" s="37">
        <f ca="1" t="shared" si="6"/>
        <v>3599</v>
      </c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>
        <v>3600</v>
      </c>
      <c r="AJ437" s="45"/>
      <c r="AK437" s="45"/>
      <c r="AL437" s="45">
        <v>1</v>
      </c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</row>
    <row r="438" hidden="1" customHeight="1" spans="1:54">
      <c r="A438" s="51"/>
      <c r="B438" s="45"/>
      <c r="C438" s="52" t="s">
        <v>13</v>
      </c>
      <c r="D438" s="45"/>
      <c r="E438" s="45">
        <v>0</v>
      </c>
      <c r="F438" s="36">
        <f ca="1">SUMIF(I$3:$BB437,"入库",I438:$BB438)</f>
        <v>20</v>
      </c>
      <c r="G438" s="45">
        <f ca="1">SUMIF(J$3:$BB437,"出库",J438:$BB438)</f>
        <v>0</v>
      </c>
      <c r="H438" s="37">
        <f ca="1" t="shared" si="6"/>
        <v>20</v>
      </c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>
        <v>20</v>
      </c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</row>
    <row r="439" hidden="1" customHeight="1" spans="1:54">
      <c r="A439" s="53"/>
      <c r="B439" s="45"/>
      <c r="C439" s="45" t="s">
        <v>14</v>
      </c>
      <c r="D439" s="45"/>
      <c r="E439" s="45">
        <v>0</v>
      </c>
      <c r="F439" s="36">
        <f ca="1">SUMIF(I$3:$BB438,"入库",I439:$BB439)</f>
        <v>400</v>
      </c>
      <c r="G439" s="45">
        <f ca="1">SUMIF(J$3:$BB438,"出库",J439:$BB439)</f>
        <v>0</v>
      </c>
      <c r="H439" s="37">
        <f ca="1" t="shared" si="6"/>
        <v>400</v>
      </c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>
        <v>400</v>
      </c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</row>
    <row r="440" hidden="1" customHeight="1" spans="1:54">
      <c r="A440" s="49">
        <f>ROW()-4</f>
        <v>436</v>
      </c>
      <c r="B440" s="45" t="s">
        <v>163</v>
      </c>
      <c r="C440" s="50" t="s">
        <v>12</v>
      </c>
      <c r="D440" s="45"/>
      <c r="E440" s="45">
        <v>0</v>
      </c>
      <c r="F440" s="36">
        <f ca="1">SUMIF(I$3:$BB439,"入库",I440:$BB440)</f>
        <v>4550</v>
      </c>
      <c r="G440" s="45">
        <f ca="1">SUMIF(J$3:$BB439,"出库",J440:$BB440)</f>
        <v>102</v>
      </c>
      <c r="H440" s="37">
        <f ca="1" t="shared" si="6"/>
        <v>4448</v>
      </c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>
        <v>150</v>
      </c>
      <c r="AH440" s="45"/>
      <c r="AI440" s="45">
        <v>4400</v>
      </c>
      <c r="AJ440" s="45">
        <v>102</v>
      </c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</row>
    <row r="441" hidden="1" customHeight="1" spans="1:54">
      <c r="A441" s="51"/>
      <c r="B441" s="45"/>
      <c r="C441" s="52" t="s">
        <v>13</v>
      </c>
      <c r="D441" s="45"/>
      <c r="E441" s="45">
        <v>0</v>
      </c>
      <c r="F441" s="36">
        <f ca="1">SUMIF(I$3:$BB440,"入库",I441:$BB441)</f>
        <v>630</v>
      </c>
      <c r="G441" s="45">
        <f ca="1">SUMIF(J$3:$BB440,"出库",J441:$BB441)</f>
        <v>102</v>
      </c>
      <c r="H441" s="37">
        <f ca="1" t="shared" si="6"/>
        <v>528</v>
      </c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>
        <v>630</v>
      </c>
      <c r="AH441" s="45"/>
      <c r="AI441" s="45"/>
      <c r="AJ441" s="45">
        <v>102</v>
      </c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</row>
    <row r="442" hidden="1" customHeight="1" spans="1:54">
      <c r="A442" s="53"/>
      <c r="B442" s="45"/>
      <c r="C442" s="45" t="s">
        <v>14</v>
      </c>
      <c r="D442" s="45"/>
      <c r="E442" s="45">
        <v>0</v>
      </c>
      <c r="F442" s="36">
        <f ca="1">SUMIF(I$3:$BB441,"入库",I442:$BB442)</f>
        <v>10</v>
      </c>
      <c r="G442" s="45">
        <f ca="1">SUMIF(J$3:$BB441,"出库",J442:$BB442)</f>
        <v>0</v>
      </c>
      <c r="H442" s="37">
        <f ca="1" t="shared" si="6"/>
        <v>10</v>
      </c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>
        <v>10</v>
      </c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</row>
    <row r="443" hidden="1" customHeight="1" spans="1:54">
      <c r="A443" s="49">
        <f>ROW()-4</f>
        <v>439</v>
      </c>
      <c r="B443" s="45" t="s">
        <v>164</v>
      </c>
      <c r="C443" s="50" t="s">
        <v>12</v>
      </c>
      <c r="D443" s="45"/>
      <c r="E443" s="45">
        <v>0</v>
      </c>
      <c r="F443" s="36">
        <f ca="1">SUMIF(I$3:$BB442,"入库",I443:$BB443)</f>
        <v>3000</v>
      </c>
      <c r="G443" s="45">
        <f ca="1">SUMIF(J$3:$BB442,"出库",J443:$BB443)</f>
        <v>600</v>
      </c>
      <c r="H443" s="37">
        <f ca="1" t="shared" si="6"/>
        <v>2400</v>
      </c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>
        <v>3000</v>
      </c>
      <c r="AH443" s="45"/>
      <c r="AI443" s="45"/>
      <c r="AJ443" s="45">
        <v>600</v>
      </c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</row>
    <row r="444" hidden="1" customHeight="1" spans="1:54">
      <c r="A444" s="51"/>
      <c r="B444" s="45"/>
      <c r="C444" s="52" t="s">
        <v>13</v>
      </c>
      <c r="D444" s="45"/>
      <c r="E444" s="45">
        <v>0</v>
      </c>
      <c r="F444" s="36">
        <f ca="1">SUMIF(I$3:$BB443,"入库",I444:$BB444)</f>
        <v>5</v>
      </c>
      <c r="G444" s="45">
        <f ca="1">SUMIF(J$3:$BB443,"出库",J444:$BB444)</f>
        <v>0</v>
      </c>
      <c r="H444" s="37">
        <f ca="1" t="shared" si="6"/>
        <v>5</v>
      </c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>
        <v>5</v>
      </c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</row>
    <row r="445" hidden="1" customHeight="1" spans="1:54">
      <c r="A445" s="53"/>
      <c r="B445" s="45"/>
      <c r="C445" s="45" t="s">
        <v>14</v>
      </c>
      <c r="D445" s="45"/>
      <c r="E445" s="45">
        <v>0</v>
      </c>
      <c r="F445" s="36">
        <f ca="1">SUMIF(I$3:$BB444,"入库",I445:$BB445)</f>
        <v>5</v>
      </c>
      <c r="G445" s="45">
        <f ca="1">SUMIF(J$3:$BB444,"出库",J445:$BB445)</f>
        <v>4</v>
      </c>
      <c r="H445" s="37">
        <f ca="1" t="shared" si="6"/>
        <v>1</v>
      </c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>
        <v>5</v>
      </c>
      <c r="AH445" s="45"/>
      <c r="AI445" s="45"/>
      <c r="AJ445" s="45"/>
      <c r="AK445" s="45"/>
      <c r="AL445" s="45">
        <v>4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</row>
    <row r="446" hidden="1" customHeight="1" spans="1:54">
      <c r="A446" s="49">
        <f>ROW()-4</f>
        <v>442</v>
      </c>
      <c r="B446" s="45" t="s">
        <v>165</v>
      </c>
      <c r="C446" s="50" t="s">
        <v>12</v>
      </c>
      <c r="D446" s="45"/>
      <c r="E446" s="45">
        <v>0</v>
      </c>
      <c r="F446" s="36">
        <f ca="1">SUMIF(I$3:$BB445,"入库",I446:$BB446)</f>
        <v>3600</v>
      </c>
      <c r="G446" s="45">
        <f ca="1">SUMIF(J$3:$BB445,"出库",J446:$BB446)</f>
        <v>221</v>
      </c>
      <c r="H446" s="37">
        <f ca="1" t="shared" si="6"/>
        <v>3379</v>
      </c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>
        <v>3600</v>
      </c>
      <c r="AD446" s="45"/>
      <c r="AE446" s="45"/>
      <c r="AF446" s="45"/>
      <c r="AG446" s="45"/>
      <c r="AH446" s="45">
        <v>1</v>
      </c>
      <c r="AI446" s="45"/>
      <c r="AJ446" s="45">
        <v>220</v>
      </c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</row>
    <row r="447" hidden="1" customHeight="1" spans="1:54">
      <c r="A447" s="51"/>
      <c r="B447" s="45"/>
      <c r="C447" s="52" t="s">
        <v>13</v>
      </c>
      <c r="D447" s="45"/>
      <c r="E447" s="45">
        <v>0</v>
      </c>
      <c r="F447" s="36">
        <f ca="1">SUMIF(I$3:$BB446,"入库",I447:$BB447)</f>
        <v>100</v>
      </c>
      <c r="G447" s="45">
        <f ca="1">SUMIF(J$3:$BB446,"出库",J447:$BB447)</f>
        <v>0</v>
      </c>
      <c r="H447" s="37">
        <f ca="1" t="shared" si="6"/>
        <v>100</v>
      </c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>
        <v>100</v>
      </c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</row>
    <row r="448" hidden="1" customHeight="1" spans="1:54">
      <c r="A448" s="53"/>
      <c r="B448" s="45"/>
      <c r="C448" s="45" t="s">
        <v>14</v>
      </c>
      <c r="D448" s="45"/>
      <c r="E448" s="45">
        <v>0</v>
      </c>
      <c r="F448" s="36">
        <f ca="1">SUMIF(I$3:$BB447,"入库",I448:$BB448)</f>
        <v>150</v>
      </c>
      <c r="G448" s="45">
        <f ca="1">SUMIF(J$3:$BB447,"出库",J448:$BB448)</f>
        <v>0</v>
      </c>
      <c r="H448" s="37">
        <f ca="1" t="shared" si="6"/>
        <v>150</v>
      </c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>
        <v>150</v>
      </c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</row>
    <row r="449" hidden="1" customHeight="1" spans="1:54">
      <c r="A449" s="49">
        <f>ROW()-4</f>
        <v>445</v>
      </c>
      <c r="B449" s="45" t="s">
        <v>166</v>
      </c>
      <c r="C449" s="50" t="s">
        <v>12</v>
      </c>
      <c r="D449" s="45"/>
      <c r="E449" s="45">
        <v>0</v>
      </c>
      <c r="F449" s="36">
        <f ca="1">SUMIF(I$3:$BB448,"入库",I449:$BB449)</f>
        <v>1300</v>
      </c>
      <c r="G449" s="45">
        <f ca="1">SUMIF(J$3:$BB448,"出库",J449:$BB449)</f>
        <v>36</v>
      </c>
      <c r="H449" s="37">
        <f ca="1" t="shared" si="6"/>
        <v>1264</v>
      </c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>
        <v>1300</v>
      </c>
      <c r="AD449" s="45">
        <v>6</v>
      </c>
      <c r="AE449" s="45"/>
      <c r="AF449" s="45"/>
      <c r="AG449" s="45"/>
      <c r="AH449" s="45"/>
      <c r="AI449" s="45"/>
      <c r="AJ449" s="45">
        <v>30</v>
      </c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</row>
    <row r="450" hidden="1" customHeight="1" spans="1:54">
      <c r="A450" s="51"/>
      <c r="B450" s="45"/>
      <c r="C450" s="52" t="s">
        <v>13</v>
      </c>
      <c r="D450" s="45"/>
      <c r="E450" s="45">
        <v>0</v>
      </c>
      <c r="F450" s="36">
        <f ca="1">SUMIF(I$3:$BB449,"入库",I450:$BB450)</f>
        <v>0</v>
      </c>
      <c r="G450" s="45">
        <f ca="1">SUMIF(J$3:$BB449,"出库",J450:$BB450)</f>
        <v>0</v>
      </c>
      <c r="H450" s="37">
        <f ca="1" t="shared" si="6"/>
        <v>0</v>
      </c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</row>
    <row r="451" hidden="1" customHeight="1" spans="1:54">
      <c r="A451" s="53"/>
      <c r="B451" s="45"/>
      <c r="C451" s="45" t="s">
        <v>14</v>
      </c>
      <c r="D451" s="45"/>
      <c r="E451" s="45">
        <v>0</v>
      </c>
      <c r="F451" s="36">
        <f ca="1">SUMIF(I$3:$BB450,"入库",I451:$BB451)</f>
        <v>0</v>
      </c>
      <c r="G451" s="45">
        <f ca="1">SUMIF(J$3:$BB450,"出库",J451:$BB451)</f>
        <v>0</v>
      </c>
      <c r="H451" s="37">
        <f ca="1" t="shared" si="6"/>
        <v>0</v>
      </c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</row>
    <row r="452" hidden="1" customHeight="1" spans="1:54">
      <c r="A452" s="49">
        <f>ROW()-4</f>
        <v>448</v>
      </c>
      <c r="B452" s="45" t="s">
        <v>167</v>
      </c>
      <c r="C452" s="50" t="s">
        <v>12</v>
      </c>
      <c r="D452" s="45"/>
      <c r="E452" s="45">
        <v>0</v>
      </c>
      <c r="F452" s="36">
        <f ca="1">SUMIF(I$3:$BB451,"入库",I452:$BB452)</f>
        <v>2200</v>
      </c>
      <c r="G452" s="45">
        <f ca="1">SUMIF(J$3:$BB451,"出库",J452:$BB452)</f>
        <v>310</v>
      </c>
      <c r="H452" s="37">
        <f ca="1" t="shared" si="6"/>
        <v>1890</v>
      </c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>
        <v>2200</v>
      </c>
      <c r="AD452" s="45"/>
      <c r="AE452" s="45"/>
      <c r="AF452" s="45"/>
      <c r="AG452" s="45"/>
      <c r="AH452" s="45">
        <v>260</v>
      </c>
      <c r="AI452" s="45"/>
      <c r="AJ452" s="45">
        <v>50</v>
      </c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</row>
    <row r="453" hidden="1" customHeight="1" spans="1:54">
      <c r="A453" s="51"/>
      <c r="B453" s="45"/>
      <c r="C453" s="52" t="s">
        <v>13</v>
      </c>
      <c r="D453" s="45"/>
      <c r="E453" s="45">
        <v>0</v>
      </c>
      <c r="F453" s="36">
        <f ca="1">SUMIF(I$3:$BB452,"入库",I453:$BB453)</f>
        <v>0</v>
      </c>
      <c r="G453" s="45">
        <f ca="1">SUMIF(J$3:$BB452,"出库",J453:$BB453)</f>
        <v>0</v>
      </c>
      <c r="H453" s="37">
        <f ca="1" t="shared" ref="H453:H516" si="7">E453+F453-G453</f>
        <v>0</v>
      </c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</row>
    <row r="454" hidden="1" customHeight="1" spans="1:54">
      <c r="A454" s="53"/>
      <c r="B454" s="45"/>
      <c r="C454" s="45" t="s">
        <v>14</v>
      </c>
      <c r="D454" s="45"/>
      <c r="E454" s="45">
        <v>0</v>
      </c>
      <c r="F454" s="36">
        <f ca="1">SUMIF(I$3:$BB453,"入库",I454:$BB454)</f>
        <v>320</v>
      </c>
      <c r="G454" s="45">
        <f ca="1">SUMIF(J$3:$BB453,"出库",J454:$BB454)</f>
        <v>0</v>
      </c>
      <c r="H454" s="37">
        <f ca="1" t="shared" si="7"/>
        <v>320</v>
      </c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>
        <v>320</v>
      </c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</row>
    <row r="455" hidden="1" customHeight="1" spans="1:54">
      <c r="A455" s="49">
        <f>ROW()-4</f>
        <v>451</v>
      </c>
      <c r="B455" s="45" t="s">
        <v>168</v>
      </c>
      <c r="C455" s="50" t="s">
        <v>12</v>
      </c>
      <c r="D455" s="45"/>
      <c r="E455" s="45">
        <v>0</v>
      </c>
      <c r="F455" s="36">
        <f ca="1">SUMIF(I$3:$BB454,"入库",I455:$BB455)</f>
        <v>1250</v>
      </c>
      <c r="G455" s="45">
        <f ca="1">SUMIF(J$3:$BB454,"出库",J455:$BB455)</f>
        <v>0</v>
      </c>
      <c r="H455" s="37">
        <f ca="1" t="shared" si="7"/>
        <v>1250</v>
      </c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>
        <v>1250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</row>
    <row r="456" hidden="1" customHeight="1" spans="1:54">
      <c r="A456" s="51"/>
      <c r="B456" s="45"/>
      <c r="C456" s="52" t="s">
        <v>13</v>
      </c>
      <c r="D456" s="45"/>
      <c r="E456" s="45">
        <v>0</v>
      </c>
      <c r="F456" s="36">
        <f ca="1">SUMIF(I$3:$BB455,"入库",I456:$BB456)</f>
        <v>20</v>
      </c>
      <c r="G456" s="45">
        <f ca="1">SUMIF(J$3:$BB455,"出库",J456:$BB456)</f>
        <v>0</v>
      </c>
      <c r="H456" s="37">
        <f ca="1" t="shared" si="7"/>
        <v>20</v>
      </c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>
        <v>20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</row>
    <row r="457" hidden="1" customHeight="1" spans="1:54">
      <c r="A457" s="53"/>
      <c r="B457" s="45"/>
      <c r="C457" s="45" t="s">
        <v>14</v>
      </c>
      <c r="D457" s="45"/>
      <c r="E457" s="45">
        <v>0</v>
      </c>
      <c r="F457" s="36">
        <f ca="1">SUMIF(I$3:$BB456,"入库",I457:$BB457)</f>
        <v>5</v>
      </c>
      <c r="G457" s="45">
        <f ca="1">SUMIF(J$3:$BB456,"出库",J457:$BB457)</f>
        <v>0</v>
      </c>
      <c r="H457" s="37">
        <f ca="1" t="shared" si="7"/>
        <v>5</v>
      </c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>
        <v>5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</row>
    <row r="458" hidden="1" customHeight="1" spans="1:54">
      <c r="A458" s="49">
        <f>ROW()-4</f>
        <v>454</v>
      </c>
      <c r="B458" s="45" t="s">
        <v>169</v>
      </c>
      <c r="C458" s="50" t="s">
        <v>12</v>
      </c>
      <c r="D458" s="45"/>
      <c r="E458" s="45">
        <v>0</v>
      </c>
      <c r="F458" s="36">
        <f ca="1">SUMIF(I$3:$BB457,"入库",I458:$BB458)</f>
        <v>550</v>
      </c>
      <c r="G458" s="45">
        <f ca="1">SUMIF(J$3:$BB457,"出库",J458:$BB458)</f>
        <v>5</v>
      </c>
      <c r="H458" s="37">
        <f ca="1" t="shared" si="7"/>
        <v>545</v>
      </c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>
        <v>550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>
        <v>5</v>
      </c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</row>
    <row r="459" hidden="1" customHeight="1" spans="1:54">
      <c r="A459" s="51"/>
      <c r="B459" s="45"/>
      <c r="C459" s="52" t="s">
        <v>13</v>
      </c>
      <c r="D459" s="45"/>
      <c r="E459" s="45">
        <v>0</v>
      </c>
      <c r="F459" s="36">
        <f ca="1">SUMIF(I$3:$BB458,"入库",I459:$BB459)</f>
        <v>150</v>
      </c>
      <c r="G459" s="45">
        <f ca="1">SUMIF(J$3:$BB458,"出库",J459:$BB459)</f>
        <v>0</v>
      </c>
      <c r="H459" s="37">
        <f ca="1" t="shared" si="7"/>
        <v>150</v>
      </c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>
        <v>150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</row>
    <row r="460" hidden="1" customHeight="1" spans="1:54">
      <c r="A460" s="53"/>
      <c r="B460" s="45"/>
      <c r="C460" s="45" t="s">
        <v>14</v>
      </c>
      <c r="D460" s="45"/>
      <c r="E460" s="45">
        <v>0</v>
      </c>
      <c r="F460" s="36">
        <f ca="1">SUMIF(I$3:$BB459,"入库",I460:$BB460)</f>
        <v>60</v>
      </c>
      <c r="G460" s="45">
        <f ca="1">SUMIF(J$3:$BB459,"出库",J460:$BB460)</f>
        <v>30</v>
      </c>
      <c r="H460" s="37">
        <f ca="1" t="shared" si="7"/>
        <v>30</v>
      </c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>
        <v>60</v>
      </c>
      <c r="AB460" s="45"/>
      <c r="AC460" s="45"/>
      <c r="AD460" s="45"/>
      <c r="AE460" s="45"/>
      <c r="AF460" s="45"/>
      <c r="AG460" s="45"/>
      <c r="AH460" s="45">
        <v>30</v>
      </c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</row>
    <row r="461" hidden="1" customHeight="1" spans="1:54">
      <c r="A461" s="49">
        <f>ROW()-4</f>
        <v>457</v>
      </c>
      <c r="B461" s="45" t="s">
        <v>170</v>
      </c>
      <c r="C461" s="50" t="s">
        <v>12</v>
      </c>
      <c r="D461" s="45"/>
      <c r="E461" s="45">
        <v>0</v>
      </c>
      <c r="F461" s="36">
        <f ca="1">SUMIF(I$3:$BB460,"入库",I461:$BB461)</f>
        <v>1210</v>
      </c>
      <c r="G461" s="45">
        <f ca="1">SUMIF(J$3:$BB460,"出库",J461:$BB461)</f>
        <v>73</v>
      </c>
      <c r="H461" s="37">
        <f ca="1" t="shared" si="7"/>
        <v>1137</v>
      </c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>
        <v>1210</v>
      </c>
      <c r="AB461" s="45"/>
      <c r="AC461" s="45"/>
      <c r="AD461" s="45"/>
      <c r="AE461" s="45"/>
      <c r="AF461" s="45"/>
      <c r="AG461" s="45"/>
      <c r="AH461" s="45">
        <v>30</v>
      </c>
      <c r="AI461" s="45"/>
      <c r="AJ461" s="45">
        <v>43</v>
      </c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</row>
    <row r="462" hidden="1" customHeight="1" spans="1:54">
      <c r="A462" s="51"/>
      <c r="B462" s="45"/>
      <c r="C462" s="52" t="s">
        <v>13</v>
      </c>
      <c r="D462" s="45"/>
      <c r="E462" s="45">
        <v>0</v>
      </c>
      <c r="F462" s="36">
        <f ca="1">SUMIF(I$3:$BB461,"入库",I462:$BB462)</f>
        <v>20</v>
      </c>
      <c r="G462" s="45">
        <f ca="1">SUMIF(J$3:$BB461,"出库",J462:$BB462)</f>
        <v>0</v>
      </c>
      <c r="H462" s="37">
        <f ca="1" t="shared" si="7"/>
        <v>20</v>
      </c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>
        <v>20</v>
      </c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</row>
    <row r="463" hidden="1" customHeight="1" spans="1:54">
      <c r="A463" s="53"/>
      <c r="B463" s="45"/>
      <c r="C463" s="45" t="s">
        <v>14</v>
      </c>
      <c r="D463" s="45"/>
      <c r="E463" s="45">
        <v>0</v>
      </c>
      <c r="F463" s="36">
        <f ca="1">SUMIF(I$3:$BB462,"入库",I463:$BB463)</f>
        <v>0</v>
      </c>
      <c r="G463" s="45">
        <f ca="1">SUMIF(J$3:$BB462,"出库",J463:$BB463)</f>
        <v>0</v>
      </c>
      <c r="H463" s="37">
        <f ca="1" t="shared" si="7"/>
        <v>0</v>
      </c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</row>
    <row r="464" hidden="1" customHeight="1" spans="1:54">
      <c r="A464" s="49">
        <f>ROW()-4</f>
        <v>460</v>
      </c>
      <c r="B464" s="45" t="s">
        <v>171</v>
      </c>
      <c r="C464" s="50" t="s">
        <v>12</v>
      </c>
      <c r="D464" s="45"/>
      <c r="E464" s="45">
        <v>0</v>
      </c>
      <c r="F464" s="36">
        <f ca="1">SUMIF(I$3:$BB463,"入库",I464:$BB464)</f>
        <v>650</v>
      </c>
      <c r="G464" s="45">
        <f ca="1">SUMIF(J$3:$BB463,"出库",J464:$BB464)</f>
        <v>20</v>
      </c>
      <c r="H464" s="37">
        <f ca="1" t="shared" si="7"/>
        <v>630</v>
      </c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>
        <v>650</v>
      </c>
      <c r="AJ464" s="45">
        <v>20</v>
      </c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</row>
    <row r="465" hidden="1" customHeight="1" spans="1:54">
      <c r="A465" s="51"/>
      <c r="B465" s="45"/>
      <c r="C465" s="52" t="s">
        <v>13</v>
      </c>
      <c r="D465" s="45"/>
      <c r="E465" s="45">
        <v>0</v>
      </c>
      <c r="F465" s="36">
        <f ca="1">SUMIF(I$3:$BB464,"入库",I465:$BB465)</f>
        <v>50</v>
      </c>
      <c r="G465" s="45">
        <f ca="1">SUMIF(J$3:$BB464,"出库",J465:$BB465)</f>
        <v>0</v>
      </c>
      <c r="H465" s="37">
        <f ca="1" t="shared" si="7"/>
        <v>50</v>
      </c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>
        <v>50</v>
      </c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</row>
    <row r="466" hidden="1" customHeight="1" spans="1:54">
      <c r="A466" s="53"/>
      <c r="B466" s="45"/>
      <c r="C466" s="45" t="s">
        <v>14</v>
      </c>
      <c r="D466" s="45"/>
      <c r="E466" s="45">
        <v>0</v>
      </c>
      <c r="F466" s="36">
        <f ca="1">SUMIF(I$3:$BB465,"入库",I466:$BB466)</f>
        <v>40</v>
      </c>
      <c r="G466" s="45">
        <f ca="1">SUMIF(J$3:$BB465,"出库",J466:$BB466)</f>
        <v>0</v>
      </c>
      <c r="H466" s="37">
        <f ca="1" t="shared" si="7"/>
        <v>40</v>
      </c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>
        <v>40</v>
      </c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</row>
    <row r="467" hidden="1" customHeight="1" spans="1:54">
      <c r="A467" s="49">
        <f>ROW()-4</f>
        <v>463</v>
      </c>
      <c r="B467" s="45" t="s">
        <v>172</v>
      </c>
      <c r="C467" s="50" t="s">
        <v>12</v>
      </c>
      <c r="D467" s="45"/>
      <c r="E467" s="45">
        <v>0</v>
      </c>
      <c r="F467" s="36">
        <f ca="1">SUMIF(I$3:$BB466,"入库",I467:$BB467)</f>
        <v>3050</v>
      </c>
      <c r="G467" s="45">
        <f ca="1">SUMIF(J$3:$BB466,"出库",J467:$BB467)</f>
        <v>0</v>
      </c>
      <c r="H467" s="37">
        <f ca="1" t="shared" si="7"/>
        <v>3050</v>
      </c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>
        <v>3050</v>
      </c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</row>
    <row r="468" hidden="1" customHeight="1" spans="1:54">
      <c r="A468" s="51"/>
      <c r="B468" s="45"/>
      <c r="C468" s="52" t="s">
        <v>13</v>
      </c>
      <c r="D468" s="45"/>
      <c r="E468" s="45">
        <v>0</v>
      </c>
      <c r="F468" s="36">
        <f ca="1">SUMIF(I$3:$BB467,"入库",I468:$BB468)</f>
        <v>100</v>
      </c>
      <c r="G468" s="45">
        <f ca="1">SUMIF(J$3:$BB467,"出库",J468:$BB468)</f>
        <v>0</v>
      </c>
      <c r="H468" s="37">
        <f ca="1" t="shared" si="7"/>
        <v>100</v>
      </c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>
        <v>100</v>
      </c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</row>
    <row r="469" hidden="1" customHeight="1" spans="1:54">
      <c r="A469" s="53"/>
      <c r="B469" s="45"/>
      <c r="C469" s="45" t="s">
        <v>14</v>
      </c>
      <c r="D469" s="45"/>
      <c r="E469" s="45">
        <v>0</v>
      </c>
      <c r="F469" s="36">
        <f ca="1">SUMIF(I$3:$BB468,"入库",I469:$BB469)</f>
        <v>20</v>
      </c>
      <c r="G469" s="45">
        <f ca="1">SUMIF(J$3:$BB468,"出库",J469:$BB469)</f>
        <v>6</v>
      </c>
      <c r="H469" s="37">
        <f ca="1" t="shared" si="7"/>
        <v>14</v>
      </c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>
        <v>20</v>
      </c>
      <c r="AH469" s="45"/>
      <c r="AI469" s="45"/>
      <c r="AJ469" s="45">
        <v>6</v>
      </c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</row>
    <row r="470" hidden="1" customHeight="1" spans="1:54">
      <c r="A470" s="49">
        <f>ROW()-4</f>
        <v>466</v>
      </c>
      <c r="B470" s="45" t="s">
        <v>173</v>
      </c>
      <c r="C470" s="50" t="s">
        <v>12</v>
      </c>
      <c r="D470" s="45"/>
      <c r="E470" s="45">
        <v>0</v>
      </c>
      <c r="F470" s="36">
        <f ca="1">SUMIF(I$3:$BB469,"入库",I470:$BB470)</f>
        <v>1050</v>
      </c>
      <c r="G470" s="45">
        <f ca="1">SUMIF(J$3:$BB469,"出库",J470:$BB470)</f>
        <v>40</v>
      </c>
      <c r="H470" s="37">
        <f ca="1" t="shared" si="7"/>
        <v>1010</v>
      </c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>
        <v>1050</v>
      </c>
      <c r="AH470" s="45"/>
      <c r="AI470" s="45"/>
      <c r="AJ470" s="45">
        <v>40</v>
      </c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</row>
    <row r="471" hidden="1" customHeight="1" spans="1:54">
      <c r="A471" s="51"/>
      <c r="B471" s="45"/>
      <c r="C471" s="52" t="s">
        <v>13</v>
      </c>
      <c r="D471" s="45"/>
      <c r="E471" s="45">
        <v>0</v>
      </c>
      <c r="F471" s="36">
        <f ca="1">SUMIF(I$3:$BB470,"入库",I471:$BB471)</f>
        <v>5</v>
      </c>
      <c r="G471" s="45">
        <f ca="1">SUMIF(J$3:$BB470,"出库",J471:$BB471)</f>
        <v>0</v>
      </c>
      <c r="H471" s="37">
        <f ca="1" t="shared" si="7"/>
        <v>5</v>
      </c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>
        <v>5</v>
      </c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</row>
    <row r="472" hidden="1" customHeight="1" spans="1:54">
      <c r="A472" s="53"/>
      <c r="B472" s="45"/>
      <c r="C472" s="45" t="s">
        <v>14</v>
      </c>
      <c r="D472" s="45"/>
      <c r="E472" s="45">
        <v>0</v>
      </c>
      <c r="F472" s="36">
        <f ca="1">SUMIF(I$3:$BB471,"入库",I472:$BB472)</f>
        <v>20</v>
      </c>
      <c r="G472" s="45">
        <f ca="1">SUMIF(J$3:$BB471,"出库",J472:$BB472)</f>
        <v>0</v>
      </c>
      <c r="H472" s="37">
        <f ca="1" t="shared" si="7"/>
        <v>20</v>
      </c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>
        <v>20</v>
      </c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</row>
    <row r="473" hidden="1" customHeight="1" spans="1:54">
      <c r="A473" s="49">
        <f>ROW()-4</f>
        <v>469</v>
      </c>
      <c r="B473" s="45" t="s">
        <v>174</v>
      </c>
      <c r="C473" s="50" t="s">
        <v>12</v>
      </c>
      <c r="D473" s="45"/>
      <c r="E473" s="45">
        <v>0</v>
      </c>
      <c r="F473" s="36">
        <f ca="1">SUMIF(I$3:$BB472,"入库",I473:$BB473)</f>
        <v>1900</v>
      </c>
      <c r="G473" s="45">
        <f ca="1">SUMIF(J$3:$BB472,"出库",J473:$BB473)</f>
        <v>288</v>
      </c>
      <c r="H473" s="37">
        <f ca="1" t="shared" si="7"/>
        <v>1612</v>
      </c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>
        <v>1900</v>
      </c>
      <c r="AD473" s="45"/>
      <c r="AE473" s="45"/>
      <c r="AF473" s="45"/>
      <c r="AG473" s="45"/>
      <c r="AH473" s="45">
        <v>88</v>
      </c>
      <c r="AI473" s="45"/>
      <c r="AJ473" s="45">
        <v>200</v>
      </c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</row>
    <row r="474" hidden="1" customHeight="1" spans="1:54">
      <c r="A474" s="51"/>
      <c r="B474" s="45"/>
      <c r="C474" s="52" t="s">
        <v>13</v>
      </c>
      <c r="D474" s="45"/>
      <c r="E474" s="45">
        <v>0</v>
      </c>
      <c r="F474" s="36">
        <f ca="1">SUMIF(I$3:$BB473,"入库",I474:$BB474)</f>
        <v>150</v>
      </c>
      <c r="G474" s="45">
        <f ca="1">SUMIF(J$3:$BB473,"出库",J474:$BB474)</f>
        <v>0</v>
      </c>
      <c r="H474" s="37">
        <f ca="1" t="shared" si="7"/>
        <v>150</v>
      </c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>
        <v>150</v>
      </c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</row>
    <row r="475" hidden="1" customHeight="1" spans="1:54">
      <c r="A475" s="53"/>
      <c r="B475" s="45"/>
      <c r="C475" s="45" t="s">
        <v>14</v>
      </c>
      <c r="D475" s="45"/>
      <c r="E475" s="45">
        <v>0</v>
      </c>
      <c r="F475" s="36">
        <f ca="1">SUMIF(I$3:$BB474,"入库",I475:$BB475)</f>
        <v>280</v>
      </c>
      <c r="G475" s="45">
        <f ca="1">SUMIF(J$3:$BB474,"出库",J475:$BB475)</f>
        <v>0</v>
      </c>
      <c r="H475" s="37">
        <f ca="1" t="shared" si="7"/>
        <v>280</v>
      </c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>
        <v>280</v>
      </c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</row>
    <row r="476" hidden="1" customHeight="1" spans="1:54">
      <c r="A476" s="49">
        <f>ROW()-4</f>
        <v>472</v>
      </c>
      <c r="B476" s="45" t="s">
        <v>175</v>
      </c>
      <c r="C476" s="50" t="s">
        <v>12</v>
      </c>
      <c r="D476" s="45"/>
      <c r="E476" s="45">
        <v>0</v>
      </c>
      <c r="F476" s="36">
        <f ca="1">SUMIF(I$3:$BB475,"入库",I476:$BB476)</f>
        <v>2250</v>
      </c>
      <c r="G476" s="45">
        <f ca="1">SUMIF(J$3:$BB475,"出库",J476:$BB476)</f>
        <v>1350</v>
      </c>
      <c r="H476" s="37">
        <f ca="1" t="shared" si="7"/>
        <v>900</v>
      </c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>
        <v>2250</v>
      </c>
      <c r="AD476" s="45"/>
      <c r="AE476" s="45"/>
      <c r="AF476" s="45"/>
      <c r="AG476" s="45"/>
      <c r="AH476" s="45">
        <v>1350</v>
      </c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</row>
    <row r="477" hidden="1" customHeight="1" spans="1:54">
      <c r="A477" s="51"/>
      <c r="B477" s="45"/>
      <c r="C477" s="52" t="s">
        <v>13</v>
      </c>
      <c r="D477" s="45"/>
      <c r="E477" s="45">
        <v>0</v>
      </c>
      <c r="F477" s="36">
        <f ca="1">SUMIF(I$3:$BB476,"入库",I477:$BB477)</f>
        <v>0</v>
      </c>
      <c r="G477" s="45">
        <f ca="1">SUMIF(J$3:$BB476,"出库",J477:$BB477)</f>
        <v>0</v>
      </c>
      <c r="H477" s="37">
        <f ca="1" t="shared" si="7"/>
        <v>0</v>
      </c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</row>
    <row r="478" hidden="1" customHeight="1" spans="1:54">
      <c r="A478" s="53"/>
      <c r="B478" s="45"/>
      <c r="C478" s="45" t="s">
        <v>14</v>
      </c>
      <c r="D478" s="45"/>
      <c r="E478" s="45">
        <v>0</v>
      </c>
      <c r="F478" s="36">
        <f ca="1">SUMIF(I$3:$BB477,"入库",I478:$BB478)</f>
        <v>40</v>
      </c>
      <c r="G478" s="45">
        <f ca="1">SUMIF(J$3:$BB477,"出库",J478:$BB478)</f>
        <v>0</v>
      </c>
      <c r="H478" s="37">
        <f ca="1" t="shared" si="7"/>
        <v>40</v>
      </c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>
        <v>40</v>
      </c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</row>
    <row r="479" hidden="1" customHeight="1" spans="1:54">
      <c r="A479" s="49">
        <f>ROW()-4</f>
        <v>475</v>
      </c>
      <c r="B479" s="45" t="s">
        <v>176</v>
      </c>
      <c r="C479" s="50" t="s">
        <v>12</v>
      </c>
      <c r="D479" s="45"/>
      <c r="E479" s="45">
        <v>0</v>
      </c>
      <c r="F479" s="36">
        <f ca="1">SUMIF(I$3:$BB478,"入库",I479:$BB479)</f>
        <v>2000</v>
      </c>
      <c r="G479" s="45">
        <f ca="1">SUMIF(J$3:$BB478,"出库",J479:$BB479)</f>
        <v>100</v>
      </c>
      <c r="H479" s="37">
        <f ca="1" t="shared" si="7"/>
        <v>1900</v>
      </c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>
        <v>2000</v>
      </c>
      <c r="AD479" s="45"/>
      <c r="AE479" s="45"/>
      <c r="AF479" s="45"/>
      <c r="AG479" s="45"/>
      <c r="AH479" s="45">
        <v>100</v>
      </c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</row>
    <row r="480" hidden="1" customHeight="1" spans="1:54">
      <c r="A480" s="51"/>
      <c r="B480" s="45"/>
      <c r="C480" s="52" t="s">
        <v>13</v>
      </c>
      <c r="D480" s="45"/>
      <c r="E480" s="45">
        <v>0</v>
      </c>
      <c r="F480" s="36">
        <f ca="1">SUMIF(I$3:$BB479,"入库",I480:$BB480)</f>
        <v>0</v>
      </c>
      <c r="G480" s="45">
        <f ca="1">SUMIF(J$3:$BB479,"出库",J480:$BB480)</f>
        <v>0</v>
      </c>
      <c r="H480" s="37">
        <f ca="1" t="shared" si="7"/>
        <v>0</v>
      </c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</row>
    <row r="481" hidden="1" customHeight="1" spans="1:54">
      <c r="A481" s="53"/>
      <c r="B481" s="45"/>
      <c r="C481" s="45" t="s">
        <v>14</v>
      </c>
      <c r="D481" s="45"/>
      <c r="E481" s="45">
        <v>0</v>
      </c>
      <c r="F481" s="36">
        <f ca="1">SUMIF(I$3:$BB480,"入库",I481:$BB481)</f>
        <v>30</v>
      </c>
      <c r="G481" s="45">
        <f ca="1">SUMIF(J$3:$BB480,"出库",J481:$BB481)</f>
        <v>0</v>
      </c>
      <c r="H481" s="37">
        <f ca="1" t="shared" si="7"/>
        <v>30</v>
      </c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>
        <v>30</v>
      </c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</row>
    <row r="482" hidden="1" customHeight="1" spans="1:54">
      <c r="A482" s="49">
        <f>ROW()-4</f>
        <v>478</v>
      </c>
      <c r="B482" s="45" t="s">
        <v>177</v>
      </c>
      <c r="C482" s="50" t="s">
        <v>12</v>
      </c>
      <c r="D482" s="45"/>
      <c r="E482" s="45">
        <v>0</v>
      </c>
      <c r="F482" s="36">
        <f ca="1">SUMIF(I$3:$BB481,"入库",I482:$BB482)</f>
        <v>1100</v>
      </c>
      <c r="G482" s="45">
        <f ca="1">SUMIF(J$3:$BB481,"出库",J482:$BB482)</f>
        <v>0</v>
      </c>
      <c r="H482" s="37">
        <f ca="1" t="shared" si="7"/>
        <v>1100</v>
      </c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>
        <v>1100</v>
      </c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</row>
    <row r="483" hidden="1" customHeight="1" spans="1:54">
      <c r="A483" s="51"/>
      <c r="B483" s="45"/>
      <c r="C483" s="52" t="s">
        <v>13</v>
      </c>
      <c r="D483" s="45"/>
      <c r="E483" s="45">
        <v>0</v>
      </c>
      <c r="F483" s="36">
        <f ca="1">SUMIF(I$3:$BB482,"入库",I483:$BB483)</f>
        <v>450</v>
      </c>
      <c r="G483" s="45">
        <f ca="1">SUMIF(J$3:$BB482,"出库",J483:$BB483)</f>
        <v>0</v>
      </c>
      <c r="H483" s="37">
        <f ca="1" t="shared" si="7"/>
        <v>450</v>
      </c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>
        <v>450</v>
      </c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</row>
    <row r="484" hidden="1" customHeight="1" spans="1:54">
      <c r="A484" s="53"/>
      <c r="B484" s="45"/>
      <c r="C484" s="45" t="s">
        <v>14</v>
      </c>
      <c r="D484" s="45"/>
      <c r="E484" s="45">
        <v>0</v>
      </c>
      <c r="F484" s="36">
        <f ca="1">SUMIF(I$3:$BB483,"入库",I484:$BB484)</f>
        <v>0</v>
      </c>
      <c r="G484" s="45">
        <f ca="1">SUMIF(J$3:$BB483,"出库",J484:$BB484)</f>
        <v>0</v>
      </c>
      <c r="H484" s="37">
        <f ca="1" t="shared" si="7"/>
        <v>0</v>
      </c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</row>
    <row r="485" hidden="1" customHeight="1" spans="1:54">
      <c r="A485" s="49">
        <f>ROW()-4</f>
        <v>481</v>
      </c>
      <c r="B485" s="45" t="s">
        <v>178</v>
      </c>
      <c r="C485" s="50" t="s">
        <v>12</v>
      </c>
      <c r="D485" s="45"/>
      <c r="E485" s="45">
        <v>0</v>
      </c>
      <c r="F485" s="36">
        <f ca="1">SUMIF(I$3:$BB484,"入库",I485:$BB485)</f>
        <v>1450</v>
      </c>
      <c r="G485" s="45">
        <f ca="1">SUMIF(J$3:$BB484,"出库",J485:$BB485)</f>
        <v>505</v>
      </c>
      <c r="H485" s="37">
        <f ca="1" t="shared" si="7"/>
        <v>945</v>
      </c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>
        <v>1450</v>
      </c>
      <c r="AB485" s="45">
        <v>505</v>
      </c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</row>
    <row r="486" hidden="1" customHeight="1" spans="1:54">
      <c r="A486" s="51"/>
      <c r="B486" s="45"/>
      <c r="C486" s="52" t="s">
        <v>13</v>
      </c>
      <c r="D486" s="45"/>
      <c r="E486" s="45">
        <v>0</v>
      </c>
      <c r="F486" s="36">
        <f ca="1">SUMIF(I$3:$BB485,"入库",I486:$BB486)</f>
        <v>550</v>
      </c>
      <c r="G486" s="45">
        <f ca="1">SUMIF(J$3:$BB485,"出库",J486:$BB486)</f>
        <v>0</v>
      </c>
      <c r="H486" s="37">
        <f ca="1" t="shared" si="7"/>
        <v>550</v>
      </c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>
        <v>550</v>
      </c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</row>
    <row r="487" hidden="1" customHeight="1" spans="1:54">
      <c r="A487" s="53"/>
      <c r="B487" s="45"/>
      <c r="C487" s="45" t="s">
        <v>14</v>
      </c>
      <c r="D487" s="45"/>
      <c r="E487" s="45">
        <v>0</v>
      </c>
      <c r="F487" s="36">
        <f ca="1">SUMIF(I$3:$BB486,"入库",I487:$BB487)</f>
        <v>20</v>
      </c>
      <c r="G487" s="45">
        <f ca="1">SUMIF(J$3:$BB486,"出库",J487:$BB487)</f>
        <v>0</v>
      </c>
      <c r="H487" s="37">
        <f ca="1" t="shared" si="7"/>
        <v>20</v>
      </c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>
        <v>20</v>
      </c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</row>
    <row r="488" hidden="1" customHeight="1" spans="1:54">
      <c r="A488" s="49">
        <f>ROW()-4</f>
        <v>484</v>
      </c>
      <c r="B488" s="45" t="s">
        <v>179</v>
      </c>
      <c r="C488" s="50" t="s">
        <v>12</v>
      </c>
      <c r="D488" s="45"/>
      <c r="E488" s="45">
        <v>0</v>
      </c>
      <c r="F488" s="36">
        <f ca="1">SUMIF(I$3:$BB487,"入库",I488:$BB488)</f>
        <v>550</v>
      </c>
      <c r="G488" s="45">
        <f ca="1">SUMIF(J$3:$BB487,"出库",J488:$BB488)</f>
        <v>50</v>
      </c>
      <c r="H488" s="37">
        <f ca="1" t="shared" si="7"/>
        <v>500</v>
      </c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>
        <v>550</v>
      </c>
      <c r="AB488" s="45"/>
      <c r="AC488" s="45"/>
      <c r="AD488" s="45"/>
      <c r="AE488" s="45"/>
      <c r="AF488" s="45"/>
      <c r="AG488" s="45"/>
      <c r="AH488" s="45">
        <v>50</v>
      </c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</row>
    <row r="489" hidden="1" customHeight="1" spans="1:54">
      <c r="A489" s="51"/>
      <c r="B489" s="45"/>
      <c r="C489" s="52" t="s">
        <v>13</v>
      </c>
      <c r="D489" s="45"/>
      <c r="E489" s="45">
        <v>0</v>
      </c>
      <c r="F489" s="36">
        <f ca="1">SUMIF(I$3:$BB488,"入库",I489:$BB489)</f>
        <v>0</v>
      </c>
      <c r="G489" s="45">
        <f ca="1">SUMIF(J$3:$BB488,"出库",J489:$BB489)</f>
        <v>0</v>
      </c>
      <c r="H489" s="37">
        <f ca="1" t="shared" si="7"/>
        <v>0</v>
      </c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</row>
    <row r="490" hidden="1" customHeight="1" spans="1:54">
      <c r="A490" s="53"/>
      <c r="B490" s="45"/>
      <c r="C490" s="45" t="s">
        <v>14</v>
      </c>
      <c r="D490" s="45"/>
      <c r="E490" s="45">
        <v>0</v>
      </c>
      <c r="F490" s="36">
        <f ca="1">SUMIF(I$3:$BB489,"入库",I490:$BB490)</f>
        <v>100</v>
      </c>
      <c r="G490" s="45">
        <f ca="1">SUMIF(J$3:$BB489,"出库",J490:$BB490)</f>
        <v>0</v>
      </c>
      <c r="H490" s="37">
        <f ca="1" t="shared" si="7"/>
        <v>100</v>
      </c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>
        <v>100</v>
      </c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</row>
    <row r="491" hidden="1" customHeight="1" spans="1:54">
      <c r="A491" s="49">
        <f>ROW()-4</f>
        <v>487</v>
      </c>
      <c r="B491" s="45" t="s">
        <v>180</v>
      </c>
      <c r="C491" s="50" t="s">
        <v>12</v>
      </c>
      <c r="D491" s="45"/>
      <c r="E491" s="45">
        <v>0</v>
      </c>
      <c r="F491" s="36">
        <f ca="1">SUMIF(I$3:$BB490,"入库",I491:$BB491)</f>
        <v>800</v>
      </c>
      <c r="G491" s="45">
        <f ca="1">SUMIF(J$3:$BB490,"出库",J491:$BB491)</f>
        <v>0</v>
      </c>
      <c r="H491" s="37">
        <f ca="1" t="shared" si="7"/>
        <v>800</v>
      </c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>
        <v>800</v>
      </c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</row>
    <row r="492" hidden="1" customHeight="1" spans="1:54">
      <c r="A492" s="51"/>
      <c r="B492" s="45"/>
      <c r="C492" s="52" t="s">
        <v>13</v>
      </c>
      <c r="D492" s="45"/>
      <c r="E492" s="45">
        <v>0</v>
      </c>
      <c r="F492" s="36">
        <f ca="1">SUMIF(I$3:$BB491,"入库",I492:$BB492)</f>
        <v>600</v>
      </c>
      <c r="G492" s="45">
        <f ca="1">SUMIF(J$3:$BB491,"出库",J492:$BB492)</f>
        <v>0</v>
      </c>
      <c r="H492" s="37">
        <f ca="1" t="shared" si="7"/>
        <v>600</v>
      </c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>
        <v>600</v>
      </c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</row>
    <row r="493" hidden="1" customHeight="1" spans="1:54">
      <c r="A493" s="53"/>
      <c r="B493" s="45"/>
      <c r="C493" s="45" t="s">
        <v>14</v>
      </c>
      <c r="D493" s="45"/>
      <c r="E493" s="45">
        <v>0</v>
      </c>
      <c r="F493" s="36">
        <f ca="1">SUMIF(I$3:$BB492,"入库",I493:$BB493)</f>
        <v>60</v>
      </c>
      <c r="G493" s="45">
        <f ca="1">SUMIF(J$3:$BB492,"出库",J493:$BB493)</f>
        <v>0</v>
      </c>
      <c r="H493" s="37">
        <f ca="1" t="shared" si="7"/>
        <v>60</v>
      </c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>
        <v>60</v>
      </c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</row>
    <row r="494" hidden="1" customHeight="1" spans="1:54">
      <c r="A494" s="49">
        <f>ROW()-4</f>
        <v>490</v>
      </c>
      <c r="B494" s="45" t="s">
        <v>181</v>
      </c>
      <c r="C494" s="50" t="s">
        <v>12</v>
      </c>
      <c r="D494" s="45"/>
      <c r="E494" s="45">
        <v>0</v>
      </c>
      <c r="F494" s="36">
        <f ca="1">SUMIF(I$3:$BB493,"入库",I494:$BB494)</f>
        <v>550</v>
      </c>
      <c r="G494" s="45">
        <f ca="1">SUMIF(J$3:$BB493,"出库",J494:$BB494)</f>
        <v>20</v>
      </c>
      <c r="H494" s="37">
        <f ca="1" t="shared" si="7"/>
        <v>530</v>
      </c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>
        <v>550</v>
      </c>
      <c r="AH494" s="45"/>
      <c r="AI494" s="45"/>
      <c r="AJ494" s="45"/>
      <c r="AK494" s="45"/>
      <c r="AL494" s="45">
        <v>20</v>
      </c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</row>
    <row r="495" hidden="1" customHeight="1" spans="1:54">
      <c r="A495" s="51"/>
      <c r="B495" s="45"/>
      <c r="C495" s="52" t="s">
        <v>13</v>
      </c>
      <c r="D495" s="45"/>
      <c r="E495" s="45">
        <v>0</v>
      </c>
      <c r="F495" s="36">
        <f ca="1">SUMIF(I$3:$BB494,"入库",I495:$BB495)</f>
        <v>8</v>
      </c>
      <c r="G495" s="45">
        <f ca="1">SUMIF(J$3:$BB494,"出库",J495:$BB495)</f>
        <v>0</v>
      </c>
      <c r="H495" s="37">
        <f ca="1" t="shared" si="7"/>
        <v>8</v>
      </c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>
        <v>8</v>
      </c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</row>
    <row r="496" hidden="1" customHeight="1" spans="1:54">
      <c r="A496" s="53"/>
      <c r="B496" s="45"/>
      <c r="C496" s="45" t="s">
        <v>14</v>
      </c>
      <c r="D496" s="45"/>
      <c r="E496" s="45">
        <v>0</v>
      </c>
      <c r="F496" s="36">
        <f ca="1">SUMIF(I$3:$BB495,"入库",I496:$BB496)</f>
        <v>0</v>
      </c>
      <c r="G496" s="45">
        <f ca="1">SUMIF(J$3:$BB495,"出库",J496:$BB496)</f>
        <v>0</v>
      </c>
      <c r="H496" s="37">
        <f ca="1" t="shared" si="7"/>
        <v>0</v>
      </c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</row>
    <row r="497" hidden="1" customHeight="1" spans="1:54">
      <c r="A497" s="49">
        <f>ROW()-4</f>
        <v>493</v>
      </c>
      <c r="B497" s="45" t="s">
        <v>182</v>
      </c>
      <c r="C497" s="50" t="s">
        <v>12</v>
      </c>
      <c r="D497" s="45"/>
      <c r="E497" s="45">
        <v>0</v>
      </c>
      <c r="F497" s="36">
        <f ca="1">SUMIF(I$3:$BB496,"入库",I497:$BB497)</f>
        <v>2450</v>
      </c>
      <c r="G497" s="45">
        <f ca="1">SUMIF(J$3:$BB496,"出库",J497:$BB497)</f>
        <v>65</v>
      </c>
      <c r="H497" s="37">
        <f ca="1" t="shared" si="7"/>
        <v>2385</v>
      </c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>
        <v>2450</v>
      </c>
      <c r="AH497" s="45"/>
      <c r="AI497" s="45"/>
      <c r="AJ497" s="45">
        <v>55</v>
      </c>
      <c r="AK497" s="45"/>
      <c r="AL497" s="45">
        <v>10</v>
      </c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</row>
    <row r="498" hidden="1" customHeight="1" spans="1:54">
      <c r="A498" s="51"/>
      <c r="B498" s="45"/>
      <c r="C498" s="52" t="s">
        <v>13</v>
      </c>
      <c r="D498" s="45"/>
      <c r="E498" s="45">
        <v>0</v>
      </c>
      <c r="F498" s="36">
        <f ca="1">SUMIF(I$3:$BB497,"入库",I498:$BB498)</f>
        <v>130</v>
      </c>
      <c r="G498" s="45">
        <f ca="1">SUMIF(J$3:$BB497,"出库",J498:$BB498)</f>
        <v>0</v>
      </c>
      <c r="H498" s="37">
        <f ca="1" t="shared" si="7"/>
        <v>130</v>
      </c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>
        <v>130</v>
      </c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</row>
    <row r="499" hidden="1" customHeight="1" spans="1:54">
      <c r="A499" s="53"/>
      <c r="B499" s="45"/>
      <c r="C499" s="45" t="s">
        <v>14</v>
      </c>
      <c r="D499" s="45"/>
      <c r="E499" s="45">
        <v>0</v>
      </c>
      <c r="F499" s="36">
        <f ca="1">SUMIF(I$3:$BB498,"入库",I499:$BB499)</f>
        <v>65</v>
      </c>
      <c r="G499" s="45">
        <f ca="1">SUMIF(J$3:$BB498,"出库",J499:$BB499)</f>
        <v>0</v>
      </c>
      <c r="H499" s="37">
        <f ca="1" t="shared" si="7"/>
        <v>65</v>
      </c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>
        <v>65</v>
      </c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</row>
    <row r="500" hidden="1" customHeight="1" spans="1:54">
      <c r="A500" s="49">
        <f>ROW()-4</f>
        <v>496</v>
      </c>
      <c r="B500" s="45" t="s">
        <v>183</v>
      </c>
      <c r="C500" s="50" t="s">
        <v>12</v>
      </c>
      <c r="D500" s="45"/>
      <c r="E500" s="45">
        <v>0</v>
      </c>
      <c r="F500" s="36">
        <f ca="1">SUMIF(I$3:$BB499,"入库",I500:$BB500)</f>
        <v>1550</v>
      </c>
      <c r="G500" s="45">
        <f ca="1">SUMIF(J$3:$BB499,"出库",J500:$BB500)</f>
        <v>460</v>
      </c>
      <c r="H500" s="37">
        <f ca="1" t="shared" si="7"/>
        <v>1090</v>
      </c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>
        <v>1550</v>
      </c>
      <c r="AD500" s="45"/>
      <c r="AE500" s="45"/>
      <c r="AF500" s="45"/>
      <c r="AG500" s="45"/>
      <c r="AH500" s="45">
        <v>300</v>
      </c>
      <c r="AI500" s="45"/>
      <c r="AJ500" s="45">
        <v>150</v>
      </c>
      <c r="AK500" s="45"/>
      <c r="AL500" s="45">
        <v>10</v>
      </c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</row>
    <row r="501" hidden="1" customHeight="1" spans="1:54">
      <c r="A501" s="51"/>
      <c r="B501" s="45"/>
      <c r="C501" s="52" t="s">
        <v>13</v>
      </c>
      <c r="D501" s="45"/>
      <c r="E501" s="45">
        <v>0</v>
      </c>
      <c r="F501" s="36">
        <f ca="1">SUMIF(I$3:$BB500,"入库",I501:$BB501)</f>
        <v>250</v>
      </c>
      <c r="G501" s="45">
        <f ca="1">SUMIF(J$3:$BB500,"出库",J501:$BB501)</f>
        <v>0</v>
      </c>
      <c r="H501" s="37">
        <f ca="1" t="shared" si="7"/>
        <v>250</v>
      </c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>
        <v>250</v>
      </c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</row>
    <row r="502" hidden="1" customHeight="1" spans="1:54">
      <c r="A502" s="53"/>
      <c r="B502" s="45"/>
      <c r="C502" s="45" t="s">
        <v>14</v>
      </c>
      <c r="D502" s="45"/>
      <c r="E502" s="45">
        <v>0</v>
      </c>
      <c r="F502" s="36">
        <f ca="1">SUMIF(I$3:$BB501,"入库",I502:$BB502)</f>
        <v>50</v>
      </c>
      <c r="G502" s="45">
        <f ca="1">SUMIF(J$3:$BB501,"出库",J502:$BB502)</f>
        <v>0</v>
      </c>
      <c r="H502" s="37">
        <f ca="1" t="shared" si="7"/>
        <v>50</v>
      </c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>
        <v>50</v>
      </c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</row>
    <row r="503" hidden="1" customHeight="1" spans="1:54">
      <c r="A503" s="49">
        <f>ROW()-4</f>
        <v>499</v>
      </c>
      <c r="B503" s="45" t="s">
        <v>184</v>
      </c>
      <c r="C503" s="50" t="s">
        <v>12</v>
      </c>
      <c r="D503" s="45"/>
      <c r="E503" s="45">
        <v>0</v>
      </c>
      <c r="F503" s="36">
        <f ca="1">SUMIF(I$3:$BB502,"入库",I503:$BB503)</f>
        <v>420</v>
      </c>
      <c r="G503" s="45">
        <f ca="1">SUMIF(J$3:$BB502,"出库",J503:$BB503)</f>
        <v>10</v>
      </c>
      <c r="H503" s="37">
        <f ca="1" t="shared" si="7"/>
        <v>410</v>
      </c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>
        <v>420</v>
      </c>
      <c r="AD503" s="45"/>
      <c r="AE503" s="45"/>
      <c r="AF503" s="45"/>
      <c r="AG503" s="45"/>
      <c r="AH503" s="45"/>
      <c r="AI503" s="45"/>
      <c r="AJ503" s="45"/>
      <c r="AK503" s="45"/>
      <c r="AL503" s="45">
        <v>10</v>
      </c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</row>
    <row r="504" hidden="1" customHeight="1" spans="1:54">
      <c r="A504" s="51"/>
      <c r="B504" s="45"/>
      <c r="C504" s="52" t="s">
        <v>13</v>
      </c>
      <c r="D504" s="45"/>
      <c r="E504" s="45">
        <v>0</v>
      </c>
      <c r="F504" s="36">
        <f ca="1">SUMIF(I$3:$BB503,"入库",I504:$BB504)</f>
        <v>10</v>
      </c>
      <c r="G504" s="45">
        <f ca="1">SUMIF(J$3:$BB503,"出库",J504:$BB504)</f>
        <v>0</v>
      </c>
      <c r="H504" s="37">
        <f ca="1" t="shared" si="7"/>
        <v>10</v>
      </c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>
        <v>10</v>
      </c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</row>
    <row r="505" hidden="1" customHeight="1" spans="1:54">
      <c r="A505" s="53"/>
      <c r="B505" s="45"/>
      <c r="C505" s="45" t="s">
        <v>14</v>
      </c>
      <c r="D505" s="45"/>
      <c r="E505" s="45">
        <v>0</v>
      </c>
      <c r="F505" s="36">
        <f ca="1">SUMIF(I$3:$BB504,"入库",I505:$BB505)</f>
        <v>80</v>
      </c>
      <c r="G505" s="45">
        <f ca="1">SUMIF(J$3:$BB504,"出库",J505:$BB505)</f>
        <v>5</v>
      </c>
      <c r="H505" s="37">
        <f ca="1" t="shared" si="7"/>
        <v>75</v>
      </c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>
        <v>80</v>
      </c>
      <c r="AD505" s="45"/>
      <c r="AE505" s="45"/>
      <c r="AF505" s="45"/>
      <c r="AG505" s="45"/>
      <c r="AH505" s="45">
        <v>5</v>
      </c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</row>
    <row r="506" hidden="1" customHeight="1" spans="1:54">
      <c r="A506" s="49">
        <f>ROW()-4</f>
        <v>502</v>
      </c>
      <c r="B506" s="45" t="s">
        <v>185</v>
      </c>
      <c r="C506" s="50" t="s">
        <v>12</v>
      </c>
      <c r="D506" s="45"/>
      <c r="E506" s="45">
        <v>0</v>
      </c>
      <c r="F506" s="36">
        <f ca="1">SUMIF(I$3:$BB505,"入库",I506:$BB506)</f>
        <v>900</v>
      </c>
      <c r="G506" s="45">
        <f ca="1">SUMIF(J$3:$BB505,"出库",J506:$BB506)</f>
        <v>10</v>
      </c>
      <c r="H506" s="37">
        <f ca="1" t="shared" si="7"/>
        <v>890</v>
      </c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>
        <v>900</v>
      </c>
      <c r="AD506" s="45"/>
      <c r="AE506" s="45"/>
      <c r="AF506" s="45"/>
      <c r="AG506" s="45"/>
      <c r="AH506" s="45"/>
      <c r="AI506" s="45"/>
      <c r="AJ506" s="45"/>
      <c r="AK506" s="45"/>
      <c r="AL506" s="45">
        <v>10</v>
      </c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</row>
    <row r="507" hidden="1" customHeight="1" spans="1:54">
      <c r="A507" s="51"/>
      <c r="B507" s="45"/>
      <c r="C507" s="52" t="s">
        <v>13</v>
      </c>
      <c r="D507" s="45"/>
      <c r="E507" s="45">
        <v>0</v>
      </c>
      <c r="F507" s="36">
        <f ca="1">SUMIF(I$3:$BB506,"入库",I507:$BB507)</f>
        <v>0</v>
      </c>
      <c r="G507" s="45">
        <f ca="1">SUMIF(J$3:$BB506,"出库",J507:$BB507)</f>
        <v>0</v>
      </c>
      <c r="H507" s="37">
        <f ca="1" t="shared" si="7"/>
        <v>0</v>
      </c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</row>
    <row r="508" hidden="1" customHeight="1" spans="1:54">
      <c r="A508" s="53"/>
      <c r="B508" s="45"/>
      <c r="C508" s="45" t="s">
        <v>14</v>
      </c>
      <c r="D508" s="45"/>
      <c r="E508" s="45">
        <v>0</v>
      </c>
      <c r="F508" s="36">
        <f ca="1">SUMIF(I$3:$BB507,"入库",I508:$BB508)</f>
        <v>0</v>
      </c>
      <c r="G508" s="45">
        <f ca="1">SUMIF(J$3:$BB507,"出库",J508:$BB508)</f>
        <v>0</v>
      </c>
      <c r="H508" s="37">
        <f ca="1" t="shared" si="7"/>
        <v>0</v>
      </c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</row>
    <row r="509" hidden="1" customHeight="1" spans="1:54">
      <c r="A509" s="49">
        <f>ROW()-4</f>
        <v>505</v>
      </c>
      <c r="B509" s="45" t="s">
        <v>186</v>
      </c>
      <c r="C509" s="50" t="s">
        <v>12</v>
      </c>
      <c r="D509" s="45"/>
      <c r="E509" s="45">
        <v>0</v>
      </c>
      <c r="F509" s="36">
        <f ca="1">SUMIF(I$3:$BB508,"入库",I509:$BB509)</f>
        <v>1700</v>
      </c>
      <c r="G509" s="45">
        <f ca="1">SUMIF(J$3:$BB508,"出库",J509:$BB509)</f>
        <v>10</v>
      </c>
      <c r="H509" s="37">
        <f ca="1" t="shared" si="7"/>
        <v>1690</v>
      </c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>
        <v>1700</v>
      </c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>
        <v>10</v>
      </c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</row>
    <row r="510" hidden="1" customHeight="1" spans="1:54">
      <c r="A510" s="51"/>
      <c r="B510" s="45"/>
      <c r="C510" s="52" t="s">
        <v>13</v>
      </c>
      <c r="D510" s="45"/>
      <c r="E510" s="45">
        <v>0</v>
      </c>
      <c r="F510" s="36">
        <f ca="1">SUMIF(I$3:$BB509,"入库",I510:$BB510)</f>
        <v>0</v>
      </c>
      <c r="G510" s="45">
        <f ca="1">SUMIF(J$3:$BB509,"出库",J510:$BB510)</f>
        <v>0</v>
      </c>
      <c r="H510" s="37">
        <f ca="1" t="shared" si="7"/>
        <v>0</v>
      </c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</row>
    <row r="511" hidden="1" customHeight="1" spans="1:54">
      <c r="A511" s="53"/>
      <c r="B511" s="45"/>
      <c r="C511" s="45" t="s">
        <v>14</v>
      </c>
      <c r="D511" s="45"/>
      <c r="E511" s="45">
        <v>0</v>
      </c>
      <c r="F511" s="36">
        <f ca="1">SUMIF(I$3:$BB510,"入库",I511:$BB511)</f>
        <v>0</v>
      </c>
      <c r="G511" s="45">
        <f ca="1">SUMIF(J$3:$BB510,"出库",J511:$BB511)</f>
        <v>0</v>
      </c>
      <c r="H511" s="37">
        <f ca="1" t="shared" si="7"/>
        <v>0</v>
      </c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</row>
    <row r="512" hidden="1" customHeight="1" spans="1:54">
      <c r="A512" s="49">
        <f>ROW()-4</f>
        <v>508</v>
      </c>
      <c r="B512" s="45" t="s">
        <v>187</v>
      </c>
      <c r="C512" s="50" t="s">
        <v>12</v>
      </c>
      <c r="D512" s="45"/>
      <c r="E512" s="45">
        <v>0</v>
      </c>
      <c r="F512" s="36">
        <f ca="1">SUMIF(I$3:$BB511,"入库",I512:$BB512)</f>
        <v>1600</v>
      </c>
      <c r="G512" s="45">
        <f ca="1">SUMIF(J$3:$BB511,"出库",J512:$BB512)</f>
        <v>35</v>
      </c>
      <c r="H512" s="37">
        <f ca="1" t="shared" si="7"/>
        <v>1565</v>
      </c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>
        <v>1600</v>
      </c>
      <c r="AB512" s="45"/>
      <c r="AC512" s="45"/>
      <c r="AD512" s="45"/>
      <c r="AE512" s="45"/>
      <c r="AF512" s="45"/>
      <c r="AG512" s="45"/>
      <c r="AH512" s="45">
        <v>25</v>
      </c>
      <c r="AI512" s="45"/>
      <c r="AJ512" s="45"/>
      <c r="AK512" s="45"/>
      <c r="AL512" s="45">
        <v>10</v>
      </c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</row>
    <row r="513" hidden="1" customHeight="1" spans="1:54">
      <c r="A513" s="51"/>
      <c r="B513" s="45"/>
      <c r="C513" s="52" t="s">
        <v>13</v>
      </c>
      <c r="D513" s="45"/>
      <c r="E513" s="45">
        <v>0</v>
      </c>
      <c r="F513" s="36">
        <f ca="1">SUMIF(I$3:$BB512,"入库",I513:$BB513)</f>
        <v>10</v>
      </c>
      <c r="G513" s="45">
        <f ca="1">SUMIF(J$3:$BB512,"出库",J513:$BB513)</f>
        <v>0</v>
      </c>
      <c r="H513" s="37">
        <f ca="1" t="shared" si="7"/>
        <v>10</v>
      </c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>
        <v>10</v>
      </c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</row>
    <row r="514" hidden="1" customHeight="1" spans="1:54">
      <c r="A514" s="53"/>
      <c r="B514" s="45"/>
      <c r="C514" s="45" t="s">
        <v>14</v>
      </c>
      <c r="D514" s="45"/>
      <c r="E514" s="45">
        <v>0</v>
      </c>
      <c r="F514" s="36">
        <f ca="1">SUMIF(I$3:$BB513,"入库",I514:$BB514)</f>
        <v>110</v>
      </c>
      <c r="G514" s="45">
        <f ca="1">SUMIF(J$3:$BB513,"出库",J514:$BB514)</f>
        <v>0</v>
      </c>
      <c r="H514" s="37">
        <f ca="1" t="shared" si="7"/>
        <v>110</v>
      </c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>
        <v>110</v>
      </c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</row>
    <row r="515" hidden="1" customHeight="1" spans="1:54">
      <c r="A515" s="49">
        <f>ROW()-4</f>
        <v>511</v>
      </c>
      <c r="B515" s="45" t="s">
        <v>188</v>
      </c>
      <c r="C515" s="50" t="s">
        <v>12</v>
      </c>
      <c r="D515" s="45"/>
      <c r="E515" s="45">
        <v>0</v>
      </c>
      <c r="F515" s="36">
        <f ca="1">SUMIF(I$3:$BB514,"入库",I515:$BB515)</f>
        <v>1100</v>
      </c>
      <c r="G515" s="45">
        <f ca="1">SUMIF(J$3:$BB514,"出库",J515:$BB515)</f>
        <v>220</v>
      </c>
      <c r="H515" s="37">
        <f ca="1" t="shared" si="7"/>
        <v>880</v>
      </c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>
        <v>1100</v>
      </c>
      <c r="AB515" s="45"/>
      <c r="AC515" s="45"/>
      <c r="AD515" s="45"/>
      <c r="AE515" s="45"/>
      <c r="AF515" s="45"/>
      <c r="AG515" s="45"/>
      <c r="AH515" s="45">
        <v>200</v>
      </c>
      <c r="AI515" s="45"/>
      <c r="AJ515" s="45">
        <v>10</v>
      </c>
      <c r="AK515" s="45"/>
      <c r="AL515" s="45">
        <v>10</v>
      </c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</row>
    <row r="516" hidden="1" customHeight="1" spans="1:54">
      <c r="A516" s="51"/>
      <c r="B516" s="45"/>
      <c r="C516" s="52" t="s">
        <v>13</v>
      </c>
      <c r="D516" s="45"/>
      <c r="E516" s="45">
        <v>0</v>
      </c>
      <c r="F516" s="36">
        <f ca="1">SUMIF(I$3:$BB515,"入库",I516:$BB516)</f>
        <v>50</v>
      </c>
      <c r="G516" s="45">
        <f ca="1">SUMIF(J$3:$BB515,"出库",J516:$BB516)</f>
        <v>0</v>
      </c>
      <c r="H516" s="37">
        <f ca="1" t="shared" si="7"/>
        <v>50</v>
      </c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>
        <v>50</v>
      </c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</row>
    <row r="517" hidden="1" customHeight="1" spans="1:54">
      <c r="A517" s="53"/>
      <c r="B517" s="45"/>
      <c r="C517" s="45" t="s">
        <v>14</v>
      </c>
      <c r="D517" s="45"/>
      <c r="E517" s="45">
        <v>0</v>
      </c>
      <c r="F517" s="36">
        <f ca="1">SUMIF(I$3:$BB516,"入库",I517:$BB517)</f>
        <v>0</v>
      </c>
      <c r="G517" s="45">
        <f ca="1">SUMIF(J$3:$BB516,"出库",J517:$BB517)</f>
        <v>0</v>
      </c>
      <c r="H517" s="37">
        <f ca="1" t="shared" ref="H517:H580" si="8">E517+F517-G517</f>
        <v>0</v>
      </c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</row>
    <row r="518" hidden="1" customHeight="1" spans="1:54">
      <c r="A518" s="49">
        <f>ROW()-4</f>
        <v>514</v>
      </c>
      <c r="B518" s="45" t="s">
        <v>189</v>
      </c>
      <c r="C518" s="50" t="s">
        <v>12</v>
      </c>
      <c r="D518" s="45"/>
      <c r="E518" s="45">
        <v>0</v>
      </c>
      <c r="F518" s="36">
        <f ca="1">SUMIF(I$3:$BB517,"入库",I518:$BB518)</f>
        <v>1450</v>
      </c>
      <c r="G518" s="45">
        <f ca="1">SUMIF(J$3:$BB517,"出库",J518:$BB518)</f>
        <v>0</v>
      </c>
      <c r="H518" s="37">
        <f ca="1" t="shared" si="8"/>
        <v>1450</v>
      </c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>
        <v>1450</v>
      </c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</row>
    <row r="519" hidden="1" customHeight="1" spans="1:54">
      <c r="A519" s="51"/>
      <c r="B519" s="45"/>
      <c r="C519" s="52" t="s">
        <v>13</v>
      </c>
      <c r="D519" s="45"/>
      <c r="E519" s="45">
        <v>0</v>
      </c>
      <c r="F519" s="36">
        <f ca="1">SUMIF(I$3:$BB518,"入库",I519:$BB519)</f>
        <v>420</v>
      </c>
      <c r="G519" s="45">
        <f ca="1">SUMIF(J$3:$BB518,"出库",J519:$BB519)</f>
        <v>0</v>
      </c>
      <c r="H519" s="37">
        <f ca="1" t="shared" si="8"/>
        <v>420</v>
      </c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>
        <v>420</v>
      </c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</row>
    <row r="520" hidden="1" customHeight="1" spans="1:54">
      <c r="A520" s="53"/>
      <c r="B520" s="45"/>
      <c r="C520" s="45" t="s">
        <v>14</v>
      </c>
      <c r="D520" s="45"/>
      <c r="E520" s="45">
        <v>0</v>
      </c>
      <c r="F520" s="36">
        <f ca="1">SUMIF(I$3:$BB519,"入库",I520:$BB520)</f>
        <v>305</v>
      </c>
      <c r="G520" s="45">
        <f ca="1">SUMIF(J$3:$BB519,"出库",J520:$BB520)</f>
        <v>0</v>
      </c>
      <c r="H520" s="37">
        <f ca="1" t="shared" si="8"/>
        <v>305</v>
      </c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>
        <v>305</v>
      </c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</row>
    <row r="521" hidden="1" customHeight="1" spans="1:54">
      <c r="A521" s="49">
        <f>ROW()-4</f>
        <v>517</v>
      </c>
      <c r="B521" s="45" t="s">
        <v>190</v>
      </c>
      <c r="C521" s="50" t="s">
        <v>12</v>
      </c>
      <c r="D521" s="45"/>
      <c r="E521" s="45">
        <v>0</v>
      </c>
      <c r="F521" s="36">
        <f ca="1">SUMIF(I$3:$BB520,"入库",I521:$BB521)</f>
        <v>500</v>
      </c>
      <c r="G521" s="45">
        <f ca="1">SUMIF(J$3:$BB520,"出库",J521:$BB521)</f>
        <v>200</v>
      </c>
      <c r="H521" s="37">
        <f ca="1" t="shared" si="8"/>
        <v>300</v>
      </c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>
        <v>500</v>
      </c>
      <c r="AH521" s="45"/>
      <c r="AI521" s="45"/>
      <c r="AJ521" s="45">
        <v>200</v>
      </c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</row>
    <row r="522" hidden="1" customHeight="1" spans="1:54">
      <c r="A522" s="51"/>
      <c r="B522" s="45"/>
      <c r="C522" s="52" t="s">
        <v>13</v>
      </c>
      <c r="D522" s="45"/>
      <c r="E522" s="45">
        <v>0</v>
      </c>
      <c r="F522" s="36">
        <f ca="1">SUMIF(I$3:$BB521,"入库",I522:$BB522)</f>
        <v>0</v>
      </c>
      <c r="G522" s="45">
        <f ca="1">SUMIF(J$3:$BB521,"出库",J522:$BB522)</f>
        <v>0</v>
      </c>
      <c r="H522" s="37">
        <f ca="1" t="shared" si="8"/>
        <v>0</v>
      </c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</row>
    <row r="523" hidden="1" customHeight="1" spans="1:54">
      <c r="A523" s="53"/>
      <c r="B523" s="45"/>
      <c r="C523" s="45" t="s">
        <v>14</v>
      </c>
      <c r="D523" s="45"/>
      <c r="E523" s="45">
        <v>0</v>
      </c>
      <c r="F523" s="36">
        <f ca="1">SUMIF(I$3:$BB522,"入库",I523:$BB523)</f>
        <v>365</v>
      </c>
      <c r="G523" s="45">
        <f ca="1">SUMIF(J$3:$BB522,"出库",J523:$BB523)</f>
        <v>0</v>
      </c>
      <c r="H523" s="37">
        <f ca="1" t="shared" si="8"/>
        <v>365</v>
      </c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>
        <v>365</v>
      </c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</row>
    <row r="524" hidden="1" customHeight="1" spans="1:54">
      <c r="A524" s="49">
        <f>ROW()-4</f>
        <v>520</v>
      </c>
      <c r="B524" s="45" t="s">
        <v>191</v>
      </c>
      <c r="C524" s="50" t="s">
        <v>12</v>
      </c>
      <c r="D524" s="45"/>
      <c r="E524" s="45">
        <v>0</v>
      </c>
      <c r="F524" s="36">
        <f ca="1">SUMIF(I$3:$BB523,"入库",I524:$BB524)</f>
        <v>2350</v>
      </c>
      <c r="G524" s="45">
        <f ca="1">SUMIF(J$3:$BB523,"出库",J524:$BB524)</f>
        <v>0</v>
      </c>
      <c r="H524" s="37">
        <f ca="1" t="shared" si="8"/>
        <v>2350</v>
      </c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>
        <v>2350</v>
      </c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</row>
    <row r="525" hidden="1" customHeight="1" spans="1:54">
      <c r="A525" s="51"/>
      <c r="B525" s="45"/>
      <c r="C525" s="52" t="s">
        <v>13</v>
      </c>
      <c r="D525" s="45"/>
      <c r="E525" s="45">
        <v>0</v>
      </c>
      <c r="F525" s="36">
        <f ca="1">SUMIF(I$3:$BB524,"入库",I525:$BB525)</f>
        <v>40</v>
      </c>
      <c r="G525" s="45">
        <f ca="1">SUMIF(J$3:$BB524,"出库",J525:$BB525)</f>
        <v>0</v>
      </c>
      <c r="H525" s="37">
        <f ca="1" t="shared" si="8"/>
        <v>40</v>
      </c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>
        <v>40</v>
      </c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</row>
    <row r="526" hidden="1" customHeight="1" spans="1:54">
      <c r="A526" s="53"/>
      <c r="B526" s="45"/>
      <c r="C526" s="45" t="s">
        <v>14</v>
      </c>
      <c r="D526" s="45"/>
      <c r="E526" s="45">
        <v>0</v>
      </c>
      <c r="F526" s="36">
        <f ca="1">SUMIF(I$3:$BB525,"入库",I526:$BB526)</f>
        <v>350</v>
      </c>
      <c r="G526" s="45">
        <f ca="1">SUMIF(J$3:$BB525,"出库",J526:$BB526)</f>
        <v>0</v>
      </c>
      <c r="H526" s="37">
        <f ca="1" t="shared" si="8"/>
        <v>350</v>
      </c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>
        <v>350</v>
      </c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</row>
    <row r="527" hidden="1" customHeight="1" spans="1:54">
      <c r="A527" s="49">
        <f>ROW()-4</f>
        <v>523</v>
      </c>
      <c r="B527" s="45" t="s">
        <v>192</v>
      </c>
      <c r="C527" s="50" t="s">
        <v>12</v>
      </c>
      <c r="D527" s="45"/>
      <c r="E527" s="45">
        <v>0</v>
      </c>
      <c r="F527" s="36">
        <f ca="1">SUMIF(I$3:$BB526,"入库",I527:$BB527)</f>
        <v>1100</v>
      </c>
      <c r="G527" s="45">
        <f ca="1">SUMIF(J$3:$BB526,"出库",J527:$BB527)</f>
        <v>0</v>
      </c>
      <c r="H527" s="37">
        <f ca="1" t="shared" si="8"/>
        <v>1100</v>
      </c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>
        <v>1100</v>
      </c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</row>
    <row r="528" hidden="1" customHeight="1" spans="1:54">
      <c r="A528" s="51"/>
      <c r="B528" s="45"/>
      <c r="C528" s="52" t="s">
        <v>13</v>
      </c>
      <c r="D528" s="45"/>
      <c r="E528" s="45">
        <v>0</v>
      </c>
      <c r="F528" s="36">
        <f ca="1">SUMIF(I$3:$BB527,"入库",I528:$BB528)</f>
        <v>225</v>
      </c>
      <c r="G528" s="45">
        <f ca="1">SUMIF(J$3:$BB527,"出库",J528:$BB528)</f>
        <v>0</v>
      </c>
      <c r="H528" s="37">
        <f ca="1" t="shared" si="8"/>
        <v>225</v>
      </c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>
        <v>225</v>
      </c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</row>
    <row r="529" hidden="1" customHeight="1" spans="1:54">
      <c r="A529" s="53"/>
      <c r="B529" s="45"/>
      <c r="C529" s="45" t="s">
        <v>14</v>
      </c>
      <c r="D529" s="45"/>
      <c r="E529" s="45">
        <v>0</v>
      </c>
      <c r="F529" s="36">
        <f ca="1">SUMIF(I$3:$BB528,"入库",I529:$BB529)</f>
        <v>30</v>
      </c>
      <c r="G529" s="45">
        <f ca="1">SUMIF(J$3:$BB528,"出库",J529:$BB529)</f>
        <v>0</v>
      </c>
      <c r="H529" s="37">
        <f ca="1" t="shared" si="8"/>
        <v>30</v>
      </c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>
        <v>30</v>
      </c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</row>
    <row r="530" hidden="1" customHeight="1" spans="1:54">
      <c r="A530" s="49">
        <f>ROW()-4</f>
        <v>526</v>
      </c>
      <c r="B530" s="45" t="s">
        <v>193</v>
      </c>
      <c r="C530" s="50" t="s">
        <v>12</v>
      </c>
      <c r="D530" s="45"/>
      <c r="E530" s="45">
        <v>0</v>
      </c>
      <c r="F530" s="36">
        <f ca="1">SUMIF(I$3:$BB529,"入库",I530:$BB530)</f>
        <v>3200</v>
      </c>
      <c r="G530" s="45">
        <f ca="1">SUMIF(J$3:$BB529,"出库",J530:$BB530)</f>
        <v>0</v>
      </c>
      <c r="H530" s="37">
        <f ca="1" t="shared" si="8"/>
        <v>3200</v>
      </c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>
        <v>3200</v>
      </c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</row>
    <row r="531" hidden="1" customHeight="1" spans="1:54">
      <c r="A531" s="51"/>
      <c r="B531" s="45"/>
      <c r="C531" s="52" t="s">
        <v>13</v>
      </c>
      <c r="D531" s="45"/>
      <c r="E531" s="45">
        <v>0</v>
      </c>
      <c r="F531" s="36">
        <f ca="1">SUMIF(I$3:$BB530,"入库",I531:$BB531)</f>
        <v>50</v>
      </c>
      <c r="G531" s="45">
        <f ca="1">SUMIF(J$3:$BB530,"出库",J531:$BB531)</f>
        <v>0</v>
      </c>
      <c r="H531" s="37">
        <f ca="1" t="shared" si="8"/>
        <v>50</v>
      </c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>
        <v>50</v>
      </c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</row>
    <row r="532" hidden="1" customHeight="1" spans="1:54">
      <c r="A532" s="53"/>
      <c r="B532" s="45"/>
      <c r="C532" s="45" t="s">
        <v>14</v>
      </c>
      <c r="D532" s="45"/>
      <c r="E532" s="45">
        <v>0</v>
      </c>
      <c r="F532" s="36">
        <f ca="1">SUMIF(I$3:$BB531,"入库",I532:$BB532)</f>
        <v>0</v>
      </c>
      <c r="G532" s="45">
        <f ca="1">SUMIF(J$3:$BB531,"出库",J532:$BB532)</f>
        <v>0</v>
      </c>
      <c r="H532" s="37">
        <f ca="1" t="shared" si="8"/>
        <v>0</v>
      </c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</row>
    <row r="533" hidden="1" customHeight="1" spans="1:54">
      <c r="A533" s="49">
        <f>ROW()-4</f>
        <v>529</v>
      </c>
      <c r="B533" s="45" t="s">
        <v>194</v>
      </c>
      <c r="C533" s="50" t="s">
        <v>12</v>
      </c>
      <c r="D533" s="45"/>
      <c r="E533" s="45">
        <v>0</v>
      </c>
      <c r="F533" s="36">
        <f ca="1">SUMIF(I$3:$BB532,"入库",I533:$BB533)</f>
        <v>2650</v>
      </c>
      <c r="G533" s="45">
        <f ca="1">SUMIF(J$3:$BB532,"出库",J533:$BB533)</f>
        <v>100</v>
      </c>
      <c r="H533" s="37">
        <f ca="1" t="shared" si="8"/>
        <v>2550</v>
      </c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>
        <v>2650</v>
      </c>
      <c r="AD533" s="45"/>
      <c r="AE533" s="45"/>
      <c r="AF533" s="45"/>
      <c r="AG533" s="45"/>
      <c r="AH533" s="45"/>
      <c r="AI533" s="45"/>
      <c r="AJ533" s="45">
        <v>100</v>
      </c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</row>
    <row r="534" hidden="1" customHeight="1" spans="1:54">
      <c r="A534" s="51"/>
      <c r="B534" s="45"/>
      <c r="C534" s="52" t="s">
        <v>13</v>
      </c>
      <c r="D534" s="45"/>
      <c r="E534" s="45">
        <v>0</v>
      </c>
      <c r="F534" s="36">
        <f ca="1">SUMIF(I$3:$BB533,"入库",I534:$BB534)</f>
        <v>5</v>
      </c>
      <c r="G534" s="45">
        <f ca="1">SUMIF(J$3:$BB533,"出库",J534:$BB534)</f>
        <v>0</v>
      </c>
      <c r="H534" s="37">
        <f ca="1" t="shared" si="8"/>
        <v>5</v>
      </c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>
        <v>5</v>
      </c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</row>
    <row r="535" hidden="1" customHeight="1" spans="1:54">
      <c r="A535" s="53"/>
      <c r="B535" s="45"/>
      <c r="C535" s="45" t="s">
        <v>14</v>
      </c>
      <c r="D535" s="45"/>
      <c r="E535" s="45">
        <v>0</v>
      </c>
      <c r="F535" s="36">
        <f ca="1">SUMIF(I$3:$BB534,"入库",I535:$BB535)</f>
        <v>300</v>
      </c>
      <c r="G535" s="45">
        <f ca="1">SUMIF(J$3:$BB534,"出库",J535:$BB535)</f>
        <v>50</v>
      </c>
      <c r="H535" s="37">
        <f ca="1" t="shared" si="8"/>
        <v>250</v>
      </c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>
        <v>300</v>
      </c>
      <c r="AD535" s="45"/>
      <c r="AE535" s="45"/>
      <c r="AF535" s="45"/>
      <c r="AG535" s="45"/>
      <c r="AH535" s="45">
        <v>50</v>
      </c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</row>
    <row r="536" hidden="1" customHeight="1" spans="1:54">
      <c r="A536" s="49">
        <f>ROW()-4</f>
        <v>532</v>
      </c>
      <c r="B536" s="45" t="s">
        <v>195</v>
      </c>
      <c r="C536" s="50" t="s">
        <v>12</v>
      </c>
      <c r="D536" s="45"/>
      <c r="E536" s="45">
        <v>0</v>
      </c>
      <c r="F536" s="36">
        <f ca="1">SUMIF(I$3:$BB535,"入库",I536:$BB536)</f>
        <v>1150</v>
      </c>
      <c r="G536" s="45">
        <f ca="1">SUMIF(J$3:$BB535,"出库",J536:$BB536)</f>
        <v>0</v>
      </c>
      <c r="H536" s="37">
        <f ca="1" t="shared" si="8"/>
        <v>1150</v>
      </c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>
        <v>1150</v>
      </c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</row>
    <row r="537" hidden="1" customHeight="1" spans="1:54">
      <c r="A537" s="51"/>
      <c r="B537" s="45"/>
      <c r="C537" s="52" t="s">
        <v>13</v>
      </c>
      <c r="D537" s="45"/>
      <c r="E537" s="45">
        <v>0</v>
      </c>
      <c r="F537" s="36">
        <f ca="1">SUMIF(I$3:$BB536,"入库",I537:$BB537)</f>
        <v>0</v>
      </c>
      <c r="G537" s="45">
        <f ca="1">SUMIF(J$3:$BB536,"出库",J537:$BB537)</f>
        <v>0</v>
      </c>
      <c r="H537" s="37">
        <f ca="1" t="shared" si="8"/>
        <v>0</v>
      </c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</row>
    <row r="538" hidden="1" customHeight="1" spans="1:54">
      <c r="A538" s="53"/>
      <c r="B538" s="45"/>
      <c r="C538" s="45" t="s">
        <v>14</v>
      </c>
      <c r="D538" s="45"/>
      <c r="E538" s="45">
        <v>0</v>
      </c>
      <c r="F538" s="36">
        <f ca="1">SUMIF(I$3:$BB537,"入库",I538:$BB538)</f>
        <v>60</v>
      </c>
      <c r="G538" s="45">
        <f ca="1">SUMIF(J$3:$BB537,"出库",J538:$BB538)</f>
        <v>0</v>
      </c>
      <c r="H538" s="37">
        <f ca="1" t="shared" si="8"/>
        <v>60</v>
      </c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>
        <v>60</v>
      </c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</row>
    <row r="539" hidden="1" customHeight="1" spans="1:54">
      <c r="A539" s="49">
        <f>ROW()-4</f>
        <v>535</v>
      </c>
      <c r="B539" s="45" t="s">
        <v>196</v>
      </c>
      <c r="C539" s="50" t="s">
        <v>12</v>
      </c>
      <c r="D539" s="45"/>
      <c r="E539" s="45">
        <v>0</v>
      </c>
      <c r="F539" s="36">
        <f ca="1">SUMIF(I$3:$BB538,"入库",I539:$BB539)</f>
        <v>1000</v>
      </c>
      <c r="G539" s="45">
        <f ca="1">SUMIF(J$3:$BB538,"出库",J539:$BB539)</f>
        <v>0</v>
      </c>
      <c r="H539" s="37">
        <f ca="1" t="shared" si="8"/>
        <v>1000</v>
      </c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>
        <v>1000</v>
      </c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</row>
    <row r="540" hidden="1" customHeight="1" spans="1:54">
      <c r="A540" s="51"/>
      <c r="B540" s="45"/>
      <c r="C540" s="52" t="s">
        <v>13</v>
      </c>
      <c r="D540" s="45"/>
      <c r="E540" s="45">
        <v>0</v>
      </c>
      <c r="F540" s="36">
        <f ca="1">SUMIF(I$3:$BB539,"入库",I540:$BB540)</f>
        <v>300</v>
      </c>
      <c r="G540" s="45">
        <f ca="1">SUMIF(J$3:$BB539,"出库",J540:$BB540)</f>
        <v>0</v>
      </c>
      <c r="H540" s="37">
        <f ca="1" t="shared" si="8"/>
        <v>300</v>
      </c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>
        <v>300</v>
      </c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</row>
    <row r="541" hidden="1" customHeight="1" spans="1:54">
      <c r="A541" s="53"/>
      <c r="B541" s="45"/>
      <c r="C541" s="45" t="s">
        <v>14</v>
      </c>
      <c r="D541" s="45"/>
      <c r="E541" s="45">
        <v>0</v>
      </c>
      <c r="F541" s="36">
        <f ca="1">SUMIF(I$3:$BB540,"入库",I541:$BB541)</f>
        <v>80</v>
      </c>
      <c r="G541" s="45">
        <f ca="1">SUMIF(J$3:$BB540,"出库",J541:$BB541)</f>
        <v>0</v>
      </c>
      <c r="H541" s="37">
        <f ca="1" t="shared" si="8"/>
        <v>80</v>
      </c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>
        <v>80</v>
      </c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</row>
    <row r="542" hidden="1" customHeight="1" spans="1:54">
      <c r="A542" s="49">
        <f>ROW()-4</f>
        <v>538</v>
      </c>
      <c r="B542" s="45" t="s">
        <v>197</v>
      </c>
      <c r="C542" s="50" t="s">
        <v>12</v>
      </c>
      <c r="D542" s="45"/>
      <c r="E542" s="45">
        <v>0</v>
      </c>
      <c r="F542" s="36">
        <f ca="1">SUMIF(I$3:$BB541,"入库",I542:$BB542)</f>
        <v>1250</v>
      </c>
      <c r="G542" s="45">
        <f ca="1">SUMIF(J$3:$BB541,"出库",J542:$BB542)</f>
        <v>500</v>
      </c>
      <c r="H542" s="37">
        <f ca="1" t="shared" si="8"/>
        <v>750</v>
      </c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>
        <v>1250</v>
      </c>
      <c r="AB542" s="45"/>
      <c r="AC542" s="45"/>
      <c r="AD542" s="45">
        <v>500</v>
      </c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</row>
    <row r="543" hidden="1" customHeight="1" spans="1:54">
      <c r="A543" s="51"/>
      <c r="B543" s="45"/>
      <c r="C543" s="52" t="s">
        <v>13</v>
      </c>
      <c r="D543" s="45"/>
      <c r="E543" s="45">
        <v>0</v>
      </c>
      <c r="F543" s="36">
        <f ca="1">SUMIF(I$3:$BB542,"入库",I543:$BB543)</f>
        <v>40</v>
      </c>
      <c r="G543" s="45">
        <f ca="1">SUMIF(J$3:$BB542,"出库",J543:$BB543)</f>
        <v>0</v>
      </c>
      <c r="H543" s="37">
        <f ca="1" t="shared" si="8"/>
        <v>40</v>
      </c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>
        <v>40</v>
      </c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</row>
    <row r="544" hidden="1" customHeight="1" spans="1:54">
      <c r="A544" s="53"/>
      <c r="B544" s="45"/>
      <c r="C544" s="45" t="s">
        <v>14</v>
      </c>
      <c r="D544" s="45"/>
      <c r="E544" s="45">
        <v>0</v>
      </c>
      <c r="F544" s="36">
        <f ca="1">SUMIF(I$3:$BB543,"入库",I544:$BB544)</f>
        <v>10</v>
      </c>
      <c r="G544" s="45">
        <f ca="1">SUMIF(J$3:$BB543,"出库",J544:$BB544)</f>
        <v>0</v>
      </c>
      <c r="H544" s="37">
        <f ca="1" t="shared" si="8"/>
        <v>10</v>
      </c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>
        <v>10</v>
      </c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</row>
    <row r="545" hidden="1" customHeight="1" spans="1:54">
      <c r="A545" s="49">
        <f>ROW()-4</f>
        <v>541</v>
      </c>
      <c r="B545" s="45" t="s">
        <v>198</v>
      </c>
      <c r="C545" s="50" t="s">
        <v>12</v>
      </c>
      <c r="D545" s="45"/>
      <c r="E545" s="45">
        <v>0</v>
      </c>
      <c r="F545" s="36">
        <f ca="1">SUMIF(I$3:$BB544,"入库",I545:$BB545)</f>
        <v>2000</v>
      </c>
      <c r="G545" s="45">
        <f ca="1">SUMIF(J$3:$BB544,"出库",J545:$BB545)</f>
        <v>0</v>
      </c>
      <c r="H545" s="37">
        <f ca="1" t="shared" si="8"/>
        <v>2000</v>
      </c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>
        <v>2000</v>
      </c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</row>
    <row r="546" hidden="1" customHeight="1" spans="1:54">
      <c r="A546" s="51"/>
      <c r="B546" s="45"/>
      <c r="C546" s="52" t="s">
        <v>13</v>
      </c>
      <c r="D546" s="45"/>
      <c r="E546" s="45">
        <v>0</v>
      </c>
      <c r="F546" s="36">
        <f ca="1">SUMIF(I$3:$BB545,"入库",I546:$BB546)</f>
        <v>10</v>
      </c>
      <c r="G546" s="45">
        <f ca="1">SUMIF(J$3:$BB545,"出库",J546:$BB546)</f>
        <v>0</v>
      </c>
      <c r="H546" s="37">
        <f ca="1" t="shared" si="8"/>
        <v>10</v>
      </c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>
        <v>10</v>
      </c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</row>
    <row r="547" hidden="1" customHeight="1" spans="1:54">
      <c r="A547" s="53"/>
      <c r="B547" s="45"/>
      <c r="C547" s="45" t="s">
        <v>14</v>
      </c>
      <c r="D547" s="45"/>
      <c r="E547" s="45">
        <v>0</v>
      </c>
      <c r="F547" s="36">
        <f ca="1">SUMIF(I$3:$BB546,"入库",I547:$BB547)</f>
        <v>50</v>
      </c>
      <c r="G547" s="45">
        <f ca="1">SUMIF(J$3:$BB546,"出库",J547:$BB547)</f>
        <v>0</v>
      </c>
      <c r="H547" s="37">
        <f ca="1" t="shared" si="8"/>
        <v>50</v>
      </c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>
        <v>50</v>
      </c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</row>
    <row r="548" hidden="1" customHeight="1" spans="1:54">
      <c r="A548" s="49">
        <f>ROW()-4</f>
        <v>544</v>
      </c>
      <c r="B548" s="45" t="s">
        <v>199</v>
      </c>
      <c r="C548" s="50" t="s">
        <v>12</v>
      </c>
      <c r="D548" s="45"/>
      <c r="E548" s="45">
        <v>0</v>
      </c>
      <c r="F548" s="36">
        <f ca="1">SUMIF(I$3:$BB547,"入库",I548:$BB548)</f>
        <v>2800</v>
      </c>
      <c r="G548" s="45">
        <f ca="1">SUMIF(J$3:$BB547,"出库",J548:$BB548)</f>
        <v>30</v>
      </c>
      <c r="H548" s="37">
        <f ca="1" t="shared" si="8"/>
        <v>2770</v>
      </c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>
        <v>2800</v>
      </c>
      <c r="AH548" s="45"/>
      <c r="AI548" s="45"/>
      <c r="AJ548" s="45">
        <v>30</v>
      </c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</row>
    <row r="549" hidden="1" customHeight="1" spans="1:54">
      <c r="A549" s="51"/>
      <c r="B549" s="45"/>
      <c r="C549" s="52" t="s">
        <v>13</v>
      </c>
      <c r="D549" s="45"/>
      <c r="E549" s="45">
        <v>0</v>
      </c>
      <c r="F549" s="36">
        <f ca="1">SUMIF(I$3:$BB548,"入库",I549:$BB549)</f>
        <v>20</v>
      </c>
      <c r="G549" s="45">
        <f ca="1">SUMIF(J$3:$BB548,"出库",J549:$BB549)</f>
        <v>0</v>
      </c>
      <c r="H549" s="37">
        <f ca="1" t="shared" si="8"/>
        <v>20</v>
      </c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>
        <v>20</v>
      </c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</row>
    <row r="550" hidden="1" customHeight="1" spans="1:54">
      <c r="A550" s="53"/>
      <c r="B550" s="45"/>
      <c r="C550" s="45" t="s">
        <v>14</v>
      </c>
      <c r="D550" s="45"/>
      <c r="E550" s="45">
        <v>0</v>
      </c>
      <c r="F550" s="36">
        <f ca="1">SUMIF(I$3:$BB549,"入库",I550:$BB550)</f>
        <v>0</v>
      </c>
      <c r="G550" s="45">
        <f ca="1">SUMIF(J$3:$BB549,"出库",J550:$BB550)</f>
        <v>0</v>
      </c>
      <c r="H550" s="37">
        <f ca="1" t="shared" si="8"/>
        <v>0</v>
      </c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</row>
    <row r="551" hidden="1" customHeight="1" spans="1:54">
      <c r="A551" s="49">
        <f>ROW()-4</f>
        <v>547</v>
      </c>
      <c r="B551" s="45" t="s">
        <v>200</v>
      </c>
      <c r="C551" s="50" t="s">
        <v>12</v>
      </c>
      <c r="D551" s="45"/>
      <c r="E551" s="45">
        <v>0</v>
      </c>
      <c r="F551" s="36">
        <f ca="1">SUMIF(I$3:$BB550,"入库",I551:$BB551)</f>
        <v>1050</v>
      </c>
      <c r="G551" s="45">
        <f ca="1">SUMIF(J$3:$BB550,"出库",J551:$BB551)</f>
        <v>36</v>
      </c>
      <c r="H551" s="37">
        <f ca="1" t="shared" si="8"/>
        <v>1014</v>
      </c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>
        <v>1050</v>
      </c>
      <c r="AH551" s="45"/>
      <c r="AI551" s="45"/>
      <c r="AJ551" s="45">
        <v>36</v>
      </c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</row>
    <row r="552" hidden="1" customHeight="1" spans="1:54">
      <c r="A552" s="51"/>
      <c r="B552" s="45"/>
      <c r="C552" s="52" t="s">
        <v>13</v>
      </c>
      <c r="D552" s="45"/>
      <c r="E552" s="45">
        <v>0</v>
      </c>
      <c r="F552" s="36">
        <f ca="1">SUMIF(I$3:$BB551,"入库",I552:$BB552)</f>
        <v>10</v>
      </c>
      <c r="G552" s="45">
        <f ca="1">SUMIF(J$3:$BB551,"出库",J552:$BB552)</f>
        <v>0</v>
      </c>
      <c r="H552" s="37">
        <f ca="1" t="shared" si="8"/>
        <v>10</v>
      </c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>
        <v>10</v>
      </c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</row>
    <row r="553" hidden="1" customHeight="1" spans="1:54">
      <c r="A553" s="53"/>
      <c r="B553" s="45"/>
      <c r="C553" s="45" t="s">
        <v>14</v>
      </c>
      <c r="D553" s="45"/>
      <c r="E553" s="45">
        <v>0</v>
      </c>
      <c r="F553" s="36">
        <f ca="1">SUMIF(I$3:$BB552,"入库",I553:$BB553)</f>
        <v>500</v>
      </c>
      <c r="G553" s="45">
        <f ca="1">SUMIF(J$3:$BB552,"出库",J553:$BB553)</f>
        <v>0</v>
      </c>
      <c r="H553" s="37">
        <f ca="1" t="shared" si="8"/>
        <v>500</v>
      </c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>
        <v>500</v>
      </c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</row>
    <row r="554" hidden="1" customHeight="1" spans="1:54">
      <c r="A554" s="49">
        <f>ROW()-4</f>
        <v>550</v>
      </c>
      <c r="B554" s="45" t="s">
        <v>201</v>
      </c>
      <c r="C554" s="50" t="s">
        <v>12</v>
      </c>
      <c r="D554" s="45"/>
      <c r="E554" s="45">
        <v>0</v>
      </c>
      <c r="F554" s="36">
        <f ca="1">SUMIF(I$3:$BB553,"入库",I554:$BB554)</f>
        <v>2000</v>
      </c>
      <c r="G554" s="45">
        <f ca="1">SUMIF(J$3:$BB553,"出库",J554:$BB554)</f>
        <v>130</v>
      </c>
      <c r="H554" s="37">
        <f ca="1" t="shared" si="8"/>
        <v>1870</v>
      </c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>
        <v>2000</v>
      </c>
      <c r="AD554" s="45"/>
      <c r="AE554" s="45"/>
      <c r="AF554" s="45"/>
      <c r="AG554" s="45"/>
      <c r="AH554" s="45">
        <v>130</v>
      </c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</row>
    <row r="555" hidden="1" customHeight="1" spans="1:54">
      <c r="A555" s="51"/>
      <c r="B555" s="45"/>
      <c r="C555" s="52" t="s">
        <v>13</v>
      </c>
      <c r="D555" s="45"/>
      <c r="E555" s="45">
        <v>0</v>
      </c>
      <c r="F555" s="36">
        <f ca="1">SUMIF(I$3:$BB554,"入库",I555:$BB555)</f>
        <v>50</v>
      </c>
      <c r="G555" s="45">
        <f ca="1">SUMIF(J$3:$BB554,"出库",J555:$BB555)</f>
        <v>0</v>
      </c>
      <c r="H555" s="37">
        <f ca="1" t="shared" si="8"/>
        <v>50</v>
      </c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>
        <v>50</v>
      </c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</row>
    <row r="556" hidden="1" customHeight="1" spans="1:54">
      <c r="A556" s="53"/>
      <c r="B556" s="45"/>
      <c r="C556" s="45" t="s">
        <v>14</v>
      </c>
      <c r="D556" s="45"/>
      <c r="E556" s="45">
        <v>0</v>
      </c>
      <c r="F556" s="36">
        <f ca="1">SUMIF(I$3:$BB555,"入库",I556:$BB556)</f>
        <v>0</v>
      </c>
      <c r="G556" s="45">
        <f ca="1">SUMIF(J$3:$BB555,"出库",J556:$BB556)</f>
        <v>0</v>
      </c>
      <c r="H556" s="37">
        <f ca="1" t="shared" si="8"/>
        <v>0</v>
      </c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</row>
    <row r="557" hidden="1" customHeight="1" spans="1:54">
      <c r="A557" s="49">
        <f>ROW()-4</f>
        <v>553</v>
      </c>
      <c r="B557" s="45" t="s">
        <v>202</v>
      </c>
      <c r="C557" s="50" t="s">
        <v>12</v>
      </c>
      <c r="D557" s="45"/>
      <c r="E557" s="45">
        <v>0</v>
      </c>
      <c r="F557" s="36">
        <f ca="1">SUMIF(I$3:$BB556,"入库",I557:$BB557)</f>
        <v>900</v>
      </c>
      <c r="G557" s="45">
        <f ca="1">SUMIF(J$3:$BB556,"出库",J557:$BB557)</f>
        <v>0</v>
      </c>
      <c r="H557" s="37">
        <f ca="1" t="shared" si="8"/>
        <v>900</v>
      </c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>
        <v>900</v>
      </c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</row>
    <row r="558" hidden="1" customHeight="1" spans="1:54">
      <c r="A558" s="51"/>
      <c r="B558" s="45"/>
      <c r="C558" s="52" t="s">
        <v>13</v>
      </c>
      <c r="D558" s="45"/>
      <c r="E558" s="45">
        <v>0</v>
      </c>
      <c r="F558" s="36">
        <f ca="1">SUMIF(I$3:$BB557,"入库",I558:$BB558)</f>
        <v>70</v>
      </c>
      <c r="G558" s="45">
        <f ca="1">SUMIF(J$3:$BB557,"出库",J558:$BB558)</f>
        <v>0</v>
      </c>
      <c r="H558" s="37">
        <f ca="1" t="shared" si="8"/>
        <v>70</v>
      </c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>
        <v>70</v>
      </c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</row>
    <row r="559" hidden="1" customHeight="1" spans="1:54">
      <c r="A559" s="53"/>
      <c r="B559" s="45"/>
      <c r="C559" s="45" t="s">
        <v>14</v>
      </c>
      <c r="D559" s="45"/>
      <c r="E559" s="45">
        <v>0</v>
      </c>
      <c r="F559" s="36">
        <f ca="1">SUMIF(I$3:$BB558,"入库",I559:$BB559)</f>
        <v>40</v>
      </c>
      <c r="G559" s="45">
        <f ca="1">SUMIF(J$3:$BB558,"出库",J559:$BB559)</f>
        <v>0</v>
      </c>
      <c r="H559" s="37">
        <f ca="1" t="shared" si="8"/>
        <v>40</v>
      </c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>
        <v>40</v>
      </c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</row>
    <row r="560" hidden="1" customHeight="1" spans="1:54">
      <c r="A560" s="49">
        <f>ROW()-4</f>
        <v>556</v>
      </c>
      <c r="B560" s="45" t="s">
        <v>203</v>
      </c>
      <c r="C560" s="50" t="s">
        <v>12</v>
      </c>
      <c r="D560" s="45"/>
      <c r="E560" s="45">
        <v>0</v>
      </c>
      <c r="F560" s="36">
        <f ca="1">SUMIF(I$3:$BB559,"入库",I560:$BB560)</f>
        <v>760</v>
      </c>
      <c r="G560" s="45">
        <f ca="1">SUMIF(J$3:$BB559,"出库",J560:$BB560)</f>
        <v>0</v>
      </c>
      <c r="H560" s="37">
        <f ca="1" t="shared" si="8"/>
        <v>760</v>
      </c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>
        <v>760</v>
      </c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</row>
    <row r="561" hidden="1" customHeight="1" spans="1:54">
      <c r="A561" s="51"/>
      <c r="B561" s="45"/>
      <c r="C561" s="52" t="s">
        <v>13</v>
      </c>
      <c r="D561" s="45"/>
      <c r="E561" s="45">
        <v>0</v>
      </c>
      <c r="F561" s="36">
        <f ca="1">SUMIF(I$3:$BB560,"入库",I561:$BB561)</f>
        <v>250</v>
      </c>
      <c r="G561" s="45">
        <f ca="1">SUMIF(J$3:$BB560,"出库",J561:$BB561)</f>
        <v>0</v>
      </c>
      <c r="H561" s="37">
        <f ca="1" t="shared" si="8"/>
        <v>250</v>
      </c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>
        <v>250</v>
      </c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</row>
    <row r="562" hidden="1" customHeight="1" spans="1:54">
      <c r="A562" s="53"/>
      <c r="B562" s="45"/>
      <c r="C562" s="45" t="s">
        <v>14</v>
      </c>
      <c r="D562" s="45"/>
      <c r="E562" s="45">
        <v>0</v>
      </c>
      <c r="F562" s="36">
        <f ca="1">SUMIF(I$3:$BB561,"入库",I562:$BB562)</f>
        <v>10</v>
      </c>
      <c r="G562" s="45">
        <f ca="1">SUMIF(J$3:$BB561,"出库",J562:$BB562)</f>
        <v>0</v>
      </c>
      <c r="H562" s="37">
        <f ca="1" t="shared" si="8"/>
        <v>10</v>
      </c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>
        <v>10</v>
      </c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</row>
    <row r="563" hidden="1" customHeight="1" spans="1:54">
      <c r="A563" s="49">
        <f>ROW()-4</f>
        <v>559</v>
      </c>
      <c r="B563" s="45" t="s">
        <v>204</v>
      </c>
      <c r="C563" s="50" t="s">
        <v>12</v>
      </c>
      <c r="D563" s="45"/>
      <c r="E563" s="45">
        <v>0</v>
      </c>
      <c r="F563" s="36">
        <f ca="1">SUMIF(I$3:$BB562,"入库",I563:$BB563)</f>
        <v>5</v>
      </c>
      <c r="G563" s="45">
        <f ca="1">SUMIF(J$3:$BB562,"出库",J563:$BB563)</f>
        <v>0</v>
      </c>
      <c r="H563" s="37">
        <f ca="1" t="shared" si="8"/>
        <v>5</v>
      </c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>
        <v>5</v>
      </c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</row>
    <row r="564" hidden="1" customHeight="1" spans="1:54">
      <c r="A564" s="51"/>
      <c r="B564" s="45"/>
      <c r="C564" s="52" t="s">
        <v>13</v>
      </c>
      <c r="D564" s="45"/>
      <c r="E564" s="45">
        <v>0</v>
      </c>
      <c r="F564" s="36">
        <f ca="1">SUMIF(I$3:$BB563,"入库",I564:$BB564)</f>
        <v>150</v>
      </c>
      <c r="G564" s="45">
        <f ca="1">SUMIF(J$3:$BB563,"出库",J564:$BB564)</f>
        <v>0</v>
      </c>
      <c r="H564" s="37">
        <f ca="1" t="shared" si="8"/>
        <v>150</v>
      </c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>
        <v>150</v>
      </c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</row>
    <row r="565" hidden="1" customHeight="1" spans="1:54">
      <c r="A565" s="53"/>
      <c r="B565" s="45"/>
      <c r="C565" s="45" t="s">
        <v>14</v>
      </c>
      <c r="D565" s="45"/>
      <c r="E565" s="45">
        <v>0</v>
      </c>
      <c r="F565" s="36">
        <f ca="1">SUMIF(I$3:$BB564,"入库",I565:$BB565)</f>
        <v>0</v>
      </c>
      <c r="G565" s="45">
        <f ca="1">SUMIF(J$3:$BB564,"出库",J565:$BB565)</f>
        <v>0</v>
      </c>
      <c r="H565" s="37">
        <f ca="1" t="shared" si="8"/>
        <v>0</v>
      </c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</row>
    <row r="566" hidden="1" customHeight="1" spans="1:54">
      <c r="A566" s="49">
        <f>ROW()-4</f>
        <v>562</v>
      </c>
      <c r="B566" s="45" t="s">
        <v>205</v>
      </c>
      <c r="C566" s="50" t="s">
        <v>12</v>
      </c>
      <c r="D566" s="45"/>
      <c r="E566" s="45">
        <v>0</v>
      </c>
      <c r="F566" s="36">
        <f ca="1">SUMIF(I$3:$BB565,"入库",I566:$BB566)</f>
        <v>350</v>
      </c>
      <c r="G566" s="45">
        <f ca="1">SUMIF(J$3:$BB565,"出库",J566:$BB566)</f>
        <v>0</v>
      </c>
      <c r="H566" s="37">
        <f ca="1" t="shared" si="8"/>
        <v>350</v>
      </c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>
        <v>350</v>
      </c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</row>
    <row r="567" hidden="1" customHeight="1" spans="1:54">
      <c r="A567" s="51"/>
      <c r="B567" s="45"/>
      <c r="C567" s="52" t="s">
        <v>13</v>
      </c>
      <c r="D567" s="45"/>
      <c r="E567" s="45">
        <v>0</v>
      </c>
      <c r="F567" s="36">
        <f ca="1">SUMIF(I$3:$BB566,"入库",I567:$BB567)</f>
        <v>30</v>
      </c>
      <c r="G567" s="45">
        <f ca="1">SUMIF(J$3:$BB566,"出库",J567:$BB567)</f>
        <v>0</v>
      </c>
      <c r="H567" s="37">
        <f ca="1" t="shared" si="8"/>
        <v>30</v>
      </c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>
        <v>30</v>
      </c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</row>
    <row r="568" hidden="1" customHeight="1" spans="1:54">
      <c r="A568" s="53"/>
      <c r="B568" s="45"/>
      <c r="C568" s="45" t="s">
        <v>14</v>
      </c>
      <c r="D568" s="45"/>
      <c r="E568" s="45">
        <v>0</v>
      </c>
      <c r="F568" s="36">
        <f ca="1">SUMIF(I$3:$BB567,"入库",I568:$BB568)</f>
        <v>220</v>
      </c>
      <c r="G568" s="45">
        <f ca="1">SUMIF(J$3:$BB567,"出库",J568:$BB568)</f>
        <v>0</v>
      </c>
      <c r="H568" s="37">
        <f ca="1" t="shared" si="8"/>
        <v>220</v>
      </c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>
        <v>220</v>
      </c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</row>
    <row r="569" hidden="1" customHeight="1" spans="1:54">
      <c r="A569" s="49">
        <f>ROW()-4</f>
        <v>565</v>
      </c>
      <c r="B569" s="45" t="s">
        <v>206</v>
      </c>
      <c r="C569" s="50" t="s">
        <v>12</v>
      </c>
      <c r="D569" s="45"/>
      <c r="E569" s="45">
        <v>0</v>
      </c>
      <c r="F569" s="36">
        <f ca="1">SUMIF(I$3:$BB568,"入库",I569:$BB569)</f>
        <v>720</v>
      </c>
      <c r="G569" s="45">
        <f ca="1">SUMIF(J$3:$BB568,"出库",J569:$BB569)</f>
        <v>3</v>
      </c>
      <c r="H569" s="37">
        <f ca="1" t="shared" si="8"/>
        <v>717</v>
      </c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>
        <v>720</v>
      </c>
      <c r="AB569" s="45"/>
      <c r="AC569" s="45"/>
      <c r="AD569" s="45"/>
      <c r="AE569" s="45"/>
      <c r="AF569" s="45"/>
      <c r="AG569" s="45"/>
      <c r="AH569" s="45">
        <v>3</v>
      </c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</row>
    <row r="570" hidden="1" customHeight="1" spans="1:54">
      <c r="A570" s="51"/>
      <c r="B570" s="45"/>
      <c r="C570" s="52" t="s">
        <v>13</v>
      </c>
      <c r="D570" s="45"/>
      <c r="E570" s="45">
        <v>0</v>
      </c>
      <c r="F570" s="36">
        <f ca="1">SUMIF(I$3:$BB569,"入库",I570:$BB570)</f>
        <v>0</v>
      </c>
      <c r="G570" s="45">
        <f ca="1">SUMIF(J$3:$BB569,"出库",J570:$BB570)</f>
        <v>0</v>
      </c>
      <c r="H570" s="37">
        <f ca="1" t="shared" si="8"/>
        <v>0</v>
      </c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</row>
    <row r="571" hidden="1" customHeight="1" spans="1:54">
      <c r="A571" s="53"/>
      <c r="B571" s="45"/>
      <c r="C571" s="45" t="s">
        <v>14</v>
      </c>
      <c r="D571" s="45"/>
      <c r="E571" s="45">
        <v>0</v>
      </c>
      <c r="F571" s="36">
        <f ca="1">SUMIF(I$3:$BB570,"入库",I571:$BB571)</f>
        <v>0</v>
      </c>
      <c r="G571" s="45">
        <f ca="1">SUMIF(J$3:$BB570,"出库",J571:$BB571)</f>
        <v>0</v>
      </c>
      <c r="H571" s="37">
        <f ca="1" t="shared" si="8"/>
        <v>0</v>
      </c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</row>
    <row r="572" hidden="1" customHeight="1" spans="1:54">
      <c r="A572" s="49">
        <f>ROW()-4</f>
        <v>568</v>
      </c>
      <c r="B572" s="45" t="s">
        <v>207</v>
      </c>
      <c r="C572" s="50" t="s">
        <v>12</v>
      </c>
      <c r="D572" s="45"/>
      <c r="E572" s="45">
        <v>0</v>
      </c>
      <c r="F572" s="36">
        <f ca="1">SUMIF(I$3:$BB571,"入库",I572:$BB572)</f>
        <v>1150</v>
      </c>
      <c r="G572" s="45">
        <f ca="1">SUMIF(J$3:$BB571,"出库",J572:$BB572)</f>
        <v>0</v>
      </c>
      <c r="H572" s="37">
        <f ca="1" t="shared" si="8"/>
        <v>1150</v>
      </c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>
        <v>1150</v>
      </c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</row>
    <row r="573" hidden="1" customHeight="1" spans="1:54">
      <c r="A573" s="51"/>
      <c r="B573" s="45"/>
      <c r="C573" s="52" t="s">
        <v>13</v>
      </c>
      <c r="D573" s="45"/>
      <c r="E573" s="45">
        <v>0</v>
      </c>
      <c r="F573" s="36">
        <f ca="1">SUMIF(I$3:$BB572,"入库",I573:$BB573)</f>
        <v>130</v>
      </c>
      <c r="G573" s="45">
        <f ca="1">SUMIF(J$3:$BB572,"出库",J573:$BB573)</f>
        <v>0</v>
      </c>
      <c r="H573" s="37">
        <f ca="1" t="shared" si="8"/>
        <v>130</v>
      </c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>
        <v>130</v>
      </c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</row>
    <row r="574" hidden="1" customHeight="1" spans="1:54">
      <c r="A574" s="53"/>
      <c r="B574" s="45"/>
      <c r="C574" s="45" t="s">
        <v>14</v>
      </c>
      <c r="D574" s="45"/>
      <c r="E574" s="45">
        <v>0</v>
      </c>
      <c r="F574" s="36">
        <f ca="1">SUMIF(I$3:$BB573,"入库",I574:$BB574)</f>
        <v>630</v>
      </c>
      <c r="G574" s="45">
        <f ca="1">SUMIF(J$3:$BB573,"出库",J574:$BB574)</f>
        <v>0</v>
      </c>
      <c r="H574" s="37">
        <f ca="1" t="shared" si="8"/>
        <v>630</v>
      </c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>
        <v>630</v>
      </c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</row>
    <row r="575" hidden="1" customHeight="1" spans="1:54">
      <c r="A575" s="49">
        <f>ROW()-4</f>
        <v>571</v>
      </c>
      <c r="B575" s="45" t="s">
        <v>208</v>
      </c>
      <c r="C575" s="50" t="s">
        <v>12</v>
      </c>
      <c r="D575" s="45"/>
      <c r="E575" s="45">
        <v>0</v>
      </c>
      <c r="F575" s="36">
        <f ca="1">SUMIF(I$3:$BB574,"入库",I575:$BB575)</f>
        <v>3800</v>
      </c>
      <c r="G575" s="45">
        <f ca="1">SUMIF(J$3:$BB574,"出库",J575:$BB575)</f>
        <v>122</v>
      </c>
      <c r="H575" s="37">
        <f ca="1" t="shared" si="8"/>
        <v>3678</v>
      </c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>
        <v>3800</v>
      </c>
      <c r="AH575" s="45"/>
      <c r="AI575" s="45"/>
      <c r="AJ575" s="45">
        <v>102</v>
      </c>
      <c r="AK575" s="45"/>
      <c r="AL575" s="45">
        <v>20</v>
      </c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</row>
    <row r="576" hidden="1" customHeight="1" spans="1:54">
      <c r="A576" s="51"/>
      <c r="B576" s="45"/>
      <c r="C576" s="52" t="s">
        <v>13</v>
      </c>
      <c r="D576" s="45"/>
      <c r="E576" s="45">
        <v>0</v>
      </c>
      <c r="F576" s="36">
        <f ca="1">SUMIF(I$3:$BB575,"入库",I576:$BB576)</f>
        <v>200</v>
      </c>
      <c r="G576" s="45">
        <f ca="1">SUMIF(J$3:$BB575,"出库",J576:$BB576)</f>
        <v>0</v>
      </c>
      <c r="H576" s="37">
        <f ca="1" t="shared" si="8"/>
        <v>200</v>
      </c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>
        <v>200</v>
      </c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</row>
    <row r="577" hidden="1" customHeight="1" spans="1:54">
      <c r="A577" s="53"/>
      <c r="B577" s="45"/>
      <c r="C577" s="45" t="s">
        <v>14</v>
      </c>
      <c r="D577" s="45"/>
      <c r="E577" s="45">
        <v>0</v>
      </c>
      <c r="F577" s="36">
        <f ca="1">SUMIF(I$3:$BB576,"入库",I577:$BB577)</f>
        <v>0</v>
      </c>
      <c r="G577" s="45">
        <f ca="1">SUMIF(J$3:$BB576,"出库",J577:$BB577)</f>
        <v>0</v>
      </c>
      <c r="H577" s="37">
        <f ca="1" t="shared" si="8"/>
        <v>0</v>
      </c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</row>
    <row r="578" hidden="1" customHeight="1" spans="1:54">
      <c r="A578" s="49">
        <f>ROW()-4</f>
        <v>574</v>
      </c>
      <c r="B578" s="45" t="s">
        <v>209</v>
      </c>
      <c r="C578" s="50" t="s">
        <v>12</v>
      </c>
      <c r="D578" s="45"/>
      <c r="E578" s="45">
        <v>0</v>
      </c>
      <c r="F578" s="36">
        <f ca="1">SUMIF(I$3:$BB577,"入库",I578:$BB578)</f>
        <v>550</v>
      </c>
      <c r="G578" s="45">
        <f ca="1">SUMIF(J$3:$BB577,"出库",J578:$BB578)</f>
        <v>100</v>
      </c>
      <c r="H578" s="37">
        <f ca="1" t="shared" si="8"/>
        <v>450</v>
      </c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>
        <v>550</v>
      </c>
      <c r="AH578" s="45"/>
      <c r="AI578" s="45"/>
      <c r="AJ578" s="45">
        <v>100</v>
      </c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</row>
    <row r="579" hidden="1" customHeight="1" spans="1:54">
      <c r="A579" s="51"/>
      <c r="B579" s="45"/>
      <c r="C579" s="52" t="s">
        <v>13</v>
      </c>
      <c r="D579" s="45"/>
      <c r="E579" s="45">
        <v>0</v>
      </c>
      <c r="F579" s="36">
        <f ca="1">SUMIF(I$3:$BB578,"入库",I579:$BB579)</f>
        <v>5</v>
      </c>
      <c r="G579" s="45">
        <f ca="1">SUMIF(J$3:$BB578,"出库",J579:$BB579)</f>
        <v>0</v>
      </c>
      <c r="H579" s="37">
        <f ca="1" t="shared" si="8"/>
        <v>5</v>
      </c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>
        <v>5</v>
      </c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</row>
    <row r="580" hidden="1" customHeight="1" spans="1:54">
      <c r="A580" s="53"/>
      <c r="B580" s="45"/>
      <c r="C580" s="45" t="s">
        <v>14</v>
      </c>
      <c r="D580" s="45"/>
      <c r="E580" s="45">
        <v>0</v>
      </c>
      <c r="F580" s="36">
        <f ca="1">SUMIF(I$3:$BB579,"入库",I580:$BB580)</f>
        <v>310</v>
      </c>
      <c r="G580" s="45">
        <f ca="1">SUMIF(J$3:$BB579,"出库",J580:$BB580)</f>
        <v>20</v>
      </c>
      <c r="H580" s="37">
        <f ca="1" t="shared" si="8"/>
        <v>290</v>
      </c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>
        <v>310</v>
      </c>
      <c r="AH580" s="45"/>
      <c r="AI580" s="45"/>
      <c r="AJ580" s="45">
        <v>20</v>
      </c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</row>
    <row r="581" hidden="1" customHeight="1" spans="1:54">
      <c r="A581" s="49">
        <f>ROW()-4</f>
        <v>577</v>
      </c>
      <c r="B581" s="45" t="s">
        <v>210</v>
      </c>
      <c r="C581" s="50" t="s">
        <v>12</v>
      </c>
      <c r="D581" s="45"/>
      <c r="E581" s="45">
        <v>0</v>
      </c>
      <c r="F581" s="36">
        <f ca="1">SUMIF(I$3:$BB580,"入库",I581:$BB581)</f>
        <v>520</v>
      </c>
      <c r="G581" s="45">
        <f ca="1">SUMIF(J$3:$BB580,"出库",J581:$BB581)</f>
        <v>200</v>
      </c>
      <c r="H581" s="37">
        <f ca="1" t="shared" ref="H581:H644" si="9">E581+F581-G581</f>
        <v>320</v>
      </c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>
        <v>520</v>
      </c>
      <c r="AD581" s="45"/>
      <c r="AE581" s="45"/>
      <c r="AF581" s="45"/>
      <c r="AG581" s="45"/>
      <c r="AH581" s="45">
        <v>200</v>
      </c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</row>
    <row r="582" hidden="1" customHeight="1" spans="1:54">
      <c r="A582" s="51"/>
      <c r="B582" s="45"/>
      <c r="C582" s="52" t="s">
        <v>13</v>
      </c>
      <c r="D582" s="45"/>
      <c r="E582" s="45">
        <v>0</v>
      </c>
      <c r="F582" s="36">
        <f ca="1">SUMIF(I$3:$BB581,"入库",I582:$BB582)</f>
        <v>150</v>
      </c>
      <c r="G582" s="45">
        <f ca="1">SUMIF(J$3:$BB581,"出库",J582:$BB582)</f>
        <v>0</v>
      </c>
      <c r="H582" s="37">
        <f ca="1" t="shared" si="9"/>
        <v>150</v>
      </c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>
        <v>150</v>
      </c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</row>
    <row r="583" hidden="1" customHeight="1" spans="1:54">
      <c r="A583" s="53"/>
      <c r="B583" s="45"/>
      <c r="C583" s="45" t="s">
        <v>14</v>
      </c>
      <c r="D583" s="45"/>
      <c r="E583" s="45">
        <v>0</v>
      </c>
      <c r="F583" s="36">
        <f ca="1">SUMIF(I$3:$BB582,"入库",I583:$BB583)</f>
        <v>50</v>
      </c>
      <c r="G583" s="45">
        <f ca="1">SUMIF(J$3:$BB582,"出库",J583:$BB583)</f>
        <v>0</v>
      </c>
      <c r="H583" s="37">
        <f ca="1" t="shared" si="9"/>
        <v>50</v>
      </c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>
        <v>50</v>
      </c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</row>
    <row r="584" hidden="1" customHeight="1" spans="1:54">
      <c r="A584" s="49">
        <f>ROW()-4</f>
        <v>580</v>
      </c>
      <c r="B584" s="45" t="s">
        <v>211</v>
      </c>
      <c r="C584" s="50" t="s">
        <v>12</v>
      </c>
      <c r="D584" s="45"/>
      <c r="E584" s="45">
        <v>0</v>
      </c>
      <c r="F584" s="36">
        <f ca="1">SUMIF(I$3:$BB583,"入库",I584:$BB584)</f>
        <v>1900</v>
      </c>
      <c r="G584" s="45">
        <f ca="1">SUMIF(J$3:$BB583,"出库",J584:$BB584)</f>
        <v>3</v>
      </c>
      <c r="H584" s="37">
        <f ca="1" t="shared" si="9"/>
        <v>1897</v>
      </c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>
        <v>1900</v>
      </c>
      <c r="AD584" s="45"/>
      <c r="AE584" s="45"/>
      <c r="AF584" s="45"/>
      <c r="AG584" s="45"/>
      <c r="AH584" s="45"/>
      <c r="AI584" s="45"/>
      <c r="AJ584" s="45"/>
      <c r="AK584" s="45"/>
      <c r="AL584" s="45">
        <v>3</v>
      </c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</row>
    <row r="585" hidden="1" customHeight="1" spans="1:54">
      <c r="A585" s="51"/>
      <c r="B585" s="45"/>
      <c r="C585" s="52" t="s">
        <v>13</v>
      </c>
      <c r="D585" s="45"/>
      <c r="E585" s="45">
        <v>0</v>
      </c>
      <c r="F585" s="36">
        <f ca="1">SUMIF(I$3:$BB584,"入库",I585:$BB585)</f>
        <v>160</v>
      </c>
      <c r="G585" s="45">
        <f ca="1">SUMIF(J$3:$BB584,"出库",J585:$BB585)</f>
        <v>0</v>
      </c>
      <c r="H585" s="37">
        <f ca="1" t="shared" si="9"/>
        <v>160</v>
      </c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>
        <v>160</v>
      </c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</row>
    <row r="586" hidden="1" customHeight="1" spans="1:54">
      <c r="A586" s="53"/>
      <c r="B586" s="45"/>
      <c r="C586" s="45" t="s">
        <v>14</v>
      </c>
      <c r="D586" s="45"/>
      <c r="E586" s="45">
        <v>0</v>
      </c>
      <c r="F586" s="36">
        <f ca="1">SUMIF(I$3:$BB585,"入库",I586:$BB586)</f>
        <v>5</v>
      </c>
      <c r="G586" s="45">
        <f ca="1">SUMIF(J$3:$BB585,"出库",J586:$BB586)</f>
        <v>0</v>
      </c>
      <c r="H586" s="37">
        <f ca="1" t="shared" si="9"/>
        <v>5</v>
      </c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>
        <v>5</v>
      </c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</row>
    <row r="587" hidden="1" customHeight="1" spans="1:54">
      <c r="A587" s="49">
        <f>ROW()-4</f>
        <v>583</v>
      </c>
      <c r="B587" s="45" t="s">
        <v>212</v>
      </c>
      <c r="C587" s="50" t="s">
        <v>12</v>
      </c>
      <c r="D587" s="45"/>
      <c r="E587" s="45">
        <v>0</v>
      </c>
      <c r="F587" s="36">
        <f ca="1">SUMIF(I$3:$BB586,"入库",I587:$BB587)</f>
        <v>2150</v>
      </c>
      <c r="G587" s="45">
        <f ca="1">SUMIF(J$3:$BB586,"出库",J587:$BB587)</f>
        <v>1</v>
      </c>
      <c r="H587" s="37">
        <f ca="1" t="shared" si="9"/>
        <v>2149</v>
      </c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>
        <v>2150</v>
      </c>
      <c r="AD587" s="45"/>
      <c r="AE587" s="45"/>
      <c r="AF587" s="45"/>
      <c r="AG587" s="45"/>
      <c r="AH587" s="45">
        <v>1</v>
      </c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</row>
    <row r="588" hidden="1" customHeight="1" spans="1:54">
      <c r="A588" s="51"/>
      <c r="B588" s="45"/>
      <c r="C588" s="52" t="s">
        <v>13</v>
      </c>
      <c r="D588" s="45"/>
      <c r="E588" s="45">
        <v>0</v>
      </c>
      <c r="F588" s="36">
        <f ca="1">SUMIF(I$3:$BB587,"入库",I588:$BB588)</f>
        <v>60</v>
      </c>
      <c r="G588" s="45">
        <f ca="1">SUMIF(J$3:$BB587,"出库",J588:$BB588)</f>
        <v>0</v>
      </c>
      <c r="H588" s="37">
        <f ca="1" t="shared" si="9"/>
        <v>60</v>
      </c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>
        <v>60</v>
      </c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</row>
    <row r="589" hidden="1" customHeight="1" spans="1:54">
      <c r="A589" s="53"/>
      <c r="B589" s="45"/>
      <c r="C589" s="45" t="s">
        <v>14</v>
      </c>
      <c r="D589" s="45"/>
      <c r="E589" s="45">
        <v>0</v>
      </c>
      <c r="F589" s="36">
        <f ca="1">SUMIF(I$3:$BB588,"入库",I589:$BB589)</f>
        <v>130</v>
      </c>
      <c r="G589" s="45">
        <f ca="1">SUMIF(J$3:$BB588,"出库",J589:$BB589)</f>
        <v>0</v>
      </c>
      <c r="H589" s="37">
        <f ca="1" t="shared" si="9"/>
        <v>130</v>
      </c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>
        <v>130</v>
      </c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</row>
    <row r="590" hidden="1" customHeight="1" spans="1:54">
      <c r="A590" s="49">
        <f>ROW()-4</f>
        <v>586</v>
      </c>
      <c r="B590" s="45" t="s">
        <v>213</v>
      </c>
      <c r="C590" s="50" t="s">
        <v>12</v>
      </c>
      <c r="D590" s="45"/>
      <c r="E590" s="45">
        <v>0</v>
      </c>
      <c r="F590" s="36">
        <f ca="1">SUMIF(I$3:$BB589,"入库",I590:$BB590)</f>
        <v>300</v>
      </c>
      <c r="G590" s="45">
        <f ca="1">SUMIF(J$3:$BB589,"出库",J590:$BB590)</f>
        <v>200</v>
      </c>
      <c r="H590" s="37">
        <f ca="1" t="shared" si="9"/>
        <v>100</v>
      </c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>
        <v>300</v>
      </c>
      <c r="AB590" s="45"/>
      <c r="AC590" s="45"/>
      <c r="AD590" s="45"/>
      <c r="AE590" s="45"/>
      <c r="AF590" s="45"/>
      <c r="AG590" s="45"/>
      <c r="AH590" s="45">
        <v>200</v>
      </c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</row>
    <row r="591" hidden="1" customHeight="1" spans="1:54">
      <c r="A591" s="51"/>
      <c r="B591" s="45"/>
      <c r="C591" s="52" t="s">
        <v>13</v>
      </c>
      <c r="D591" s="45"/>
      <c r="E591" s="45">
        <v>0</v>
      </c>
      <c r="F591" s="36">
        <f ca="1">SUMIF(I$3:$BB590,"入库",I591:$BB591)</f>
        <v>100</v>
      </c>
      <c r="G591" s="45">
        <f ca="1">SUMIF(J$3:$BB590,"出库",J591:$BB591)</f>
        <v>0</v>
      </c>
      <c r="H591" s="37">
        <f ca="1" t="shared" si="9"/>
        <v>100</v>
      </c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>
        <v>100</v>
      </c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</row>
    <row r="592" hidden="1" customHeight="1" spans="1:54">
      <c r="A592" s="53"/>
      <c r="B592" s="45"/>
      <c r="C592" s="45" t="s">
        <v>14</v>
      </c>
      <c r="D592" s="45"/>
      <c r="E592" s="45">
        <v>0</v>
      </c>
      <c r="F592" s="36">
        <f ca="1">SUMIF(I$3:$BB591,"入库",I592:$BB592)</f>
        <v>100</v>
      </c>
      <c r="G592" s="45">
        <f ca="1">SUMIF(J$3:$BB591,"出库",J592:$BB592)</f>
        <v>0</v>
      </c>
      <c r="H592" s="37">
        <f ca="1" t="shared" si="9"/>
        <v>100</v>
      </c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>
        <v>100</v>
      </c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</row>
    <row r="593" hidden="1" customHeight="1" spans="1:54">
      <c r="A593" s="49">
        <f>ROW()-4</f>
        <v>589</v>
      </c>
      <c r="B593" s="45" t="s">
        <v>214</v>
      </c>
      <c r="C593" s="50" t="s">
        <v>12</v>
      </c>
      <c r="D593" s="45"/>
      <c r="E593" s="45">
        <v>0</v>
      </c>
      <c r="F593" s="36">
        <f ca="1">SUMIF(I$3:$BB592,"入库",I593:$BB593)</f>
        <v>900</v>
      </c>
      <c r="G593" s="45">
        <f ca="1">SUMIF(J$3:$BB592,"出库",J593:$BB593)</f>
        <v>32</v>
      </c>
      <c r="H593" s="37">
        <f ca="1" t="shared" si="9"/>
        <v>868</v>
      </c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>
        <v>900</v>
      </c>
      <c r="AB593" s="45"/>
      <c r="AC593" s="45"/>
      <c r="AD593" s="45"/>
      <c r="AE593" s="45"/>
      <c r="AF593" s="45"/>
      <c r="AG593" s="45"/>
      <c r="AH593" s="45">
        <v>32</v>
      </c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</row>
    <row r="594" hidden="1" customHeight="1" spans="1:54">
      <c r="A594" s="51"/>
      <c r="B594" s="45"/>
      <c r="C594" s="52" t="s">
        <v>13</v>
      </c>
      <c r="D594" s="45"/>
      <c r="E594" s="45">
        <v>0</v>
      </c>
      <c r="F594" s="36">
        <f ca="1">SUMIF(I$3:$BB593,"入库",I594:$BB594)</f>
        <v>400</v>
      </c>
      <c r="G594" s="45">
        <f ca="1">SUMIF(J$3:$BB593,"出库",J594:$BB594)</f>
        <v>0</v>
      </c>
      <c r="H594" s="37">
        <f ca="1" t="shared" si="9"/>
        <v>400</v>
      </c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>
        <v>400</v>
      </c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</row>
    <row r="595" hidden="1" customHeight="1" spans="1:54">
      <c r="A595" s="53"/>
      <c r="B595" s="45"/>
      <c r="C595" s="45" t="s">
        <v>14</v>
      </c>
      <c r="D595" s="45"/>
      <c r="E595" s="45">
        <v>0</v>
      </c>
      <c r="F595" s="36">
        <f ca="1">SUMIF(I$3:$BB594,"入库",I595:$BB595)</f>
        <v>0</v>
      </c>
      <c r="G595" s="45">
        <f ca="1">SUMIF(J$3:$BB594,"出库",J595:$BB595)</f>
        <v>0</v>
      </c>
      <c r="H595" s="37">
        <f ca="1" t="shared" si="9"/>
        <v>0</v>
      </c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</row>
    <row r="596" hidden="1" customHeight="1" spans="1:54">
      <c r="A596" s="49">
        <f>ROW()-4</f>
        <v>592</v>
      </c>
      <c r="B596" s="45" t="s">
        <v>127</v>
      </c>
      <c r="C596" s="50" t="s">
        <v>12</v>
      </c>
      <c r="D596" s="45"/>
      <c r="E596" s="45">
        <v>0</v>
      </c>
      <c r="F596" s="36">
        <f ca="1">SUMIF(I$3:$BB595,"入库",I596:$BB596)</f>
        <v>50</v>
      </c>
      <c r="G596" s="45">
        <f ca="1">SUMIF(J$3:$BB595,"出库",J596:$BB596)</f>
        <v>35</v>
      </c>
      <c r="H596" s="37">
        <f ca="1" t="shared" si="9"/>
        <v>15</v>
      </c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>
        <v>50</v>
      </c>
      <c r="AB596" s="45"/>
      <c r="AC596" s="45"/>
      <c r="AD596" s="45"/>
      <c r="AE596" s="45"/>
      <c r="AF596" s="45"/>
      <c r="AG596" s="45"/>
      <c r="AH596" s="45">
        <v>30</v>
      </c>
      <c r="AI596" s="45"/>
      <c r="AJ596" s="45">
        <v>5</v>
      </c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</row>
    <row r="597" hidden="1" customHeight="1" spans="1:54">
      <c r="A597" s="51"/>
      <c r="B597" s="45"/>
      <c r="C597" s="52" t="s">
        <v>13</v>
      </c>
      <c r="D597" s="45"/>
      <c r="E597" s="45">
        <v>0</v>
      </c>
      <c r="F597" s="36">
        <f ca="1">SUMIF(I$3:$BB596,"入库",I597:$BB597)</f>
        <v>10</v>
      </c>
      <c r="G597" s="45">
        <f ca="1">SUMIF(J$3:$BB596,"出库",J597:$BB597)</f>
        <v>0</v>
      </c>
      <c r="H597" s="37">
        <f ca="1" t="shared" si="9"/>
        <v>10</v>
      </c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>
        <v>10</v>
      </c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</row>
    <row r="598" hidden="1" customHeight="1" spans="1:54">
      <c r="A598" s="53"/>
      <c r="B598" s="45"/>
      <c r="C598" s="45" t="s">
        <v>14</v>
      </c>
      <c r="D598" s="45"/>
      <c r="E598" s="45">
        <v>0</v>
      </c>
      <c r="F598" s="36">
        <f ca="1">SUMIF(I$3:$BB597,"入库",I598:$BB598)</f>
        <v>10</v>
      </c>
      <c r="G598" s="45">
        <f ca="1">SUMIF(J$3:$BB597,"出库",J598:$BB598)</f>
        <v>0</v>
      </c>
      <c r="H598" s="37">
        <f ca="1" t="shared" si="9"/>
        <v>10</v>
      </c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>
        <v>10</v>
      </c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</row>
    <row r="599" hidden="1" customHeight="1" spans="1:54">
      <c r="A599" s="49">
        <f>ROW()-4</f>
        <v>595</v>
      </c>
      <c r="B599" s="45" t="s">
        <v>215</v>
      </c>
      <c r="C599" s="50" t="s">
        <v>12</v>
      </c>
      <c r="D599" s="45"/>
      <c r="E599" s="45">
        <v>0</v>
      </c>
      <c r="F599" s="36">
        <f ca="1">SUMIF(I$3:$BB598,"入库",I599:$BB599)</f>
        <v>600</v>
      </c>
      <c r="G599" s="45">
        <f ca="1">SUMIF(J$3:$BB598,"出库",J599:$BB599)</f>
        <v>0</v>
      </c>
      <c r="H599" s="37">
        <f ca="1" t="shared" si="9"/>
        <v>600</v>
      </c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>
        <v>600</v>
      </c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</row>
    <row r="600" hidden="1" customHeight="1" spans="1:54">
      <c r="A600" s="51"/>
      <c r="B600" s="45"/>
      <c r="C600" s="52" t="s">
        <v>13</v>
      </c>
      <c r="D600" s="45"/>
      <c r="E600" s="45">
        <v>0</v>
      </c>
      <c r="F600" s="36">
        <f ca="1">SUMIF(I$3:$BB599,"入库",I600:$BB600)</f>
        <v>0</v>
      </c>
      <c r="G600" s="45">
        <f ca="1">SUMIF(J$3:$BB599,"出库",J600:$BB600)</f>
        <v>0</v>
      </c>
      <c r="H600" s="37">
        <f ca="1" t="shared" si="9"/>
        <v>0</v>
      </c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</row>
    <row r="601" hidden="1" customHeight="1" spans="1:54">
      <c r="A601" s="53"/>
      <c r="B601" s="45"/>
      <c r="C601" s="45" t="s">
        <v>14</v>
      </c>
      <c r="D601" s="45"/>
      <c r="E601" s="45">
        <v>0</v>
      </c>
      <c r="F601" s="36">
        <f ca="1">SUMIF(I$3:$BB600,"入库",I601:$BB601)</f>
        <v>0</v>
      </c>
      <c r="G601" s="45">
        <f ca="1">SUMIF(J$3:$BB600,"出库",J601:$BB601)</f>
        <v>0</v>
      </c>
      <c r="H601" s="37">
        <f ca="1" t="shared" si="9"/>
        <v>0</v>
      </c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</row>
    <row r="602" hidden="1" customHeight="1" spans="1:54">
      <c r="A602" s="49">
        <f>ROW()-4</f>
        <v>598</v>
      </c>
      <c r="B602" s="45" t="s">
        <v>216</v>
      </c>
      <c r="C602" s="50" t="s">
        <v>12</v>
      </c>
      <c r="D602" s="45"/>
      <c r="E602" s="45">
        <v>0</v>
      </c>
      <c r="F602" s="36">
        <f ca="1">SUMIF(I$3:$BB601,"入库",I602:$BB602)</f>
        <v>100</v>
      </c>
      <c r="G602" s="45">
        <f ca="1">SUMIF(J$3:$BB601,"出库",J602:$BB602)</f>
        <v>0</v>
      </c>
      <c r="H602" s="37">
        <f ca="1" t="shared" si="9"/>
        <v>100</v>
      </c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>
        <v>100</v>
      </c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</row>
    <row r="603" hidden="1" customHeight="1" spans="1:54">
      <c r="A603" s="51"/>
      <c r="B603" s="45"/>
      <c r="C603" s="52" t="s">
        <v>13</v>
      </c>
      <c r="D603" s="45"/>
      <c r="E603" s="45">
        <v>0</v>
      </c>
      <c r="F603" s="36">
        <f ca="1">SUMIF(I$3:$BB602,"入库",I603:$BB603)</f>
        <v>300</v>
      </c>
      <c r="G603" s="45">
        <f ca="1">SUMIF(J$3:$BB602,"出库",J603:$BB603)</f>
        <v>0</v>
      </c>
      <c r="H603" s="37">
        <f ca="1" t="shared" si="9"/>
        <v>300</v>
      </c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>
        <v>300</v>
      </c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</row>
    <row r="604" hidden="1" customHeight="1" spans="1:54">
      <c r="A604" s="53"/>
      <c r="B604" s="45"/>
      <c r="C604" s="45" t="s">
        <v>14</v>
      </c>
      <c r="D604" s="45"/>
      <c r="E604" s="45">
        <v>0</v>
      </c>
      <c r="F604" s="36">
        <f ca="1">SUMIF(I$3:$BB603,"入库",I604:$BB604)</f>
        <v>700</v>
      </c>
      <c r="G604" s="45">
        <f ca="1">SUMIF(J$3:$BB603,"出库",J604:$BB604)</f>
        <v>0</v>
      </c>
      <c r="H604" s="37">
        <f ca="1" t="shared" si="9"/>
        <v>700</v>
      </c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>
        <v>700</v>
      </c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</row>
    <row r="605" hidden="1" customHeight="1" spans="1:54">
      <c r="A605" s="49">
        <f>ROW()-4</f>
        <v>601</v>
      </c>
      <c r="B605" s="45" t="s">
        <v>217</v>
      </c>
      <c r="C605" s="50" t="s">
        <v>12</v>
      </c>
      <c r="D605" s="45"/>
      <c r="E605" s="45">
        <v>0</v>
      </c>
      <c r="F605" s="36">
        <f ca="1">SUMIF(I$3:$BB604,"入库",I605:$BB605)</f>
        <v>600</v>
      </c>
      <c r="G605" s="45">
        <f ca="1">SUMIF(J$3:$BB604,"出库",J605:$BB605)</f>
        <v>0</v>
      </c>
      <c r="H605" s="37">
        <f ca="1" t="shared" si="9"/>
        <v>600</v>
      </c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>
        <v>600</v>
      </c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</row>
    <row r="606" hidden="1" customHeight="1" spans="1:54">
      <c r="A606" s="51"/>
      <c r="B606" s="45"/>
      <c r="C606" s="52" t="s">
        <v>13</v>
      </c>
      <c r="D606" s="45"/>
      <c r="E606" s="45">
        <v>0</v>
      </c>
      <c r="F606" s="36">
        <f ca="1">SUMIF(I$3:$BB605,"入库",I606:$BB606)</f>
        <v>0</v>
      </c>
      <c r="G606" s="45">
        <f ca="1">SUMIF(J$3:$BB605,"出库",J606:$BB606)</f>
        <v>0</v>
      </c>
      <c r="H606" s="37">
        <f ca="1" t="shared" si="9"/>
        <v>0</v>
      </c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</row>
    <row r="607" hidden="1" customHeight="1" spans="1:54">
      <c r="A607" s="53"/>
      <c r="B607" s="45"/>
      <c r="C607" s="45" t="s">
        <v>14</v>
      </c>
      <c r="D607" s="45"/>
      <c r="E607" s="45">
        <v>0</v>
      </c>
      <c r="F607" s="36">
        <f ca="1">SUMIF(I$3:$BB606,"入库",I607:$BB607)</f>
        <v>350</v>
      </c>
      <c r="G607" s="45">
        <f ca="1">SUMIF(J$3:$BB606,"出库",J607:$BB607)</f>
        <v>0</v>
      </c>
      <c r="H607" s="37">
        <f ca="1" t="shared" si="9"/>
        <v>350</v>
      </c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>
        <v>350</v>
      </c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</row>
    <row r="608" hidden="1" customHeight="1" spans="1:54">
      <c r="A608" s="49">
        <f>ROW()-4</f>
        <v>604</v>
      </c>
      <c r="B608" s="45" t="s">
        <v>218</v>
      </c>
      <c r="C608" s="50" t="s">
        <v>12</v>
      </c>
      <c r="D608" s="45"/>
      <c r="E608" s="45">
        <v>0</v>
      </c>
      <c r="F608" s="36">
        <f ca="1">SUMIF(I$3:$BB607,"入库",I608:$BB608)</f>
        <v>850</v>
      </c>
      <c r="G608" s="45">
        <f ca="1">SUMIF(J$3:$BB607,"出库",J608:$BB608)</f>
        <v>100</v>
      </c>
      <c r="H608" s="37">
        <f ca="1" t="shared" si="9"/>
        <v>750</v>
      </c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>
        <v>850</v>
      </c>
      <c r="AD608" s="45"/>
      <c r="AE608" s="45"/>
      <c r="AF608" s="45"/>
      <c r="AG608" s="45"/>
      <c r="AH608" s="45">
        <v>100</v>
      </c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</row>
    <row r="609" hidden="1" customHeight="1" spans="1:54">
      <c r="A609" s="51"/>
      <c r="B609" s="45"/>
      <c r="C609" s="52" t="s">
        <v>13</v>
      </c>
      <c r="D609" s="45"/>
      <c r="E609" s="45">
        <v>0</v>
      </c>
      <c r="F609" s="36">
        <f ca="1">SUMIF(I$3:$BB608,"入库",I609:$BB609)</f>
        <v>260</v>
      </c>
      <c r="G609" s="45">
        <f ca="1">SUMIF(J$3:$BB608,"出库",J609:$BB609)</f>
        <v>2</v>
      </c>
      <c r="H609" s="37">
        <f ca="1" t="shared" si="9"/>
        <v>258</v>
      </c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>
        <v>260</v>
      </c>
      <c r="AD609" s="45"/>
      <c r="AE609" s="45"/>
      <c r="AF609" s="45"/>
      <c r="AG609" s="45"/>
      <c r="AH609" s="45"/>
      <c r="AI609" s="45"/>
      <c r="AJ609" s="45">
        <v>2</v>
      </c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</row>
    <row r="610" hidden="1" customHeight="1" spans="1:54">
      <c r="A610" s="53"/>
      <c r="B610" s="45"/>
      <c r="C610" s="45" t="s">
        <v>14</v>
      </c>
      <c r="D610" s="45"/>
      <c r="E610" s="45">
        <v>0</v>
      </c>
      <c r="F610" s="36">
        <f ca="1">SUMIF(I$3:$BB609,"入库",I610:$BB610)</f>
        <v>30</v>
      </c>
      <c r="G610" s="45">
        <f ca="1">SUMIF(J$3:$BB609,"出库",J610:$BB610)</f>
        <v>0</v>
      </c>
      <c r="H610" s="37">
        <f ca="1" t="shared" si="9"/>
        <v>30</v>
      </c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>
        <v>30</v>
      </c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</row>
    <row r="611" hidden="1" customHeight="1" spans="1:54">
      <c r="A611" s="49">
        <f>ROW()-4</f>
        <v>607</v>
      </c>
      <c r="B611" s="45" t="s">
        <v>219</v>
      </c>
      <c r="C611" s="50" t="s">
        <v>12</v>
      </c>
      <c r="D611" s="45"/>
      <c r="E611" s="45">
        <v>0</v>
      </c>
      <c r="F611" s="36">
        <f ca="1">SUMIF(I$3:$BB610,"入库",I611:$BB611)</f>
        <v>60</v>
      </c>
      <c r="G611" s="45">
        <f ca="1">SUMIF(J$3:$BB610,"出库",J611:$BB611)</f>
        <v>0</v>
      </c>
      <c r="H611" s="37">
        <f ca="1" t="shared" si="9"/>
        <v>60</v>
      </c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>
        <v>60</v>
      </c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</row>
    <row r="612" hidden="1" customHeight="1" spans="1:54">
      <c r="A612" s="51"/>
      <c r="B612" s="45"/>
      <c r="C612" s="52" t="s">
        <v>13</v>
      </c>
      <c r="D612" s="45"/>
      <c r="E612" s="45">
        <v>0</v>
      </c>
      <c r="F612" s="36">
        <f ca="1">SUMIF(I$3:$BB611,"入库",I612:$BB612)</f>
        <v>100</v>
      </c>
      <c r="G612" s="45">
        <f ca="1">SUMIF(J$3:$BB611,"出库",J612:$BB612)</f>
        <v>0</v>
      </c>
      <c r="H612" s="37">
        <f ca="1" t="shared" si="9"/>
        <v>100</v>
      </c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>
        <v>100</v>
      </c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</row>
    <row r="613" hidden="1" customHeight="1" spans="1:54">
      <c r="A613" s="53"/>
      <c r="B613" s="45"/>
      <c r="C613" s="45" t="s">
        <v>14</v>
      </c>
      <c r="D613" s="45"/>
      <c r="E613" s="45">
        <v>0</v>
      </c>
      <c r="F613" s="36">
        <f ca="1">SUMIF(I$3:$BB612,"入库",I613:$BB613)</f>
        <v>130</v>
      </c>
      <c r="G613" s="45">
        <f ca="1">SUMIF(J$3:$BB612,"出库",J613:$BB613)</f>
        <v>0</v>
      </c>
      <c r="H613" s="37">
        <f ca="1" t="shared" si="9"/>
        <v>130</v>
      </c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>
        <v>130</v>
      </c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</row>
    <row r="614" hidden="1" customHeight="1" spans="1:54">
      <c r="A614" s="49">
        <f>ROW()-4</f>
        <v>610</v>
      </c>
      <c r="B614" s="45" t="s">
        <v>220</v>
      </c>
      <c r="C614" s="50" t="s">
        <v>12</v>
      </c>
      <c r="D614" s="45"/>
      <c r="E614" s="45">
        <v>0</v>
      </c>
      <c r="F614" s="36">
        <f ca="1">SUMIF(I$3:$BB613,"入库",I614:$BB614)</f>
        <v>1250</v>
      </c>
      <c r="G614" s="45">
        <f ca="1">SUMIF(J$3:$BB613,"出库",J614:$BB614)</f>
        <v>0</v>
      </c>
      <c r="H614" s="37">
        <f ca="1" t="shared" si="9"/>
        <v>1250</v>
      </c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>
        <v>1250</v>
      </c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</row>
    <row r="615" hidden="1" customHeight="1" spans="1:54">
      <c r="A615" s="51"/>
      <c r="B615" s="45"/>
      <c r="C615" s="52" t="s">
        <v>13</v>
      </c>
      <c r="D615" s="45"/>
      <c r="E615" s="45">
        <v>0</v>
      </c>
      <c r="F615" s="36">
        <f ca="1">SUMIF(I$3:$BB614,"入库",I615:$BB615)</f>
        <v>0</v>
      </c>
      <c r="G615" s="45">
        <f ca="1">SUMIF(J$3:$BB614,"出库",J615:$BB615)</f>
        <v>0</v>
      </c>
      <c r="H615" s="37">
        <f ca="1" t="shared" si="9"/>
        <v>0</v>
      </c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</row>
    <row r="616" hidden="1" customHeight="1" spans="1:54">
      <c r="A616" s="53"/>
      <c r="B616" s="45"/>
      <c r="C616" s="45" t="s">
        <v>14</v>
      </c>
      <c r="D616" s="45"/>
      <c r="E616" s="45">
        <v>0</v>
      </c>
      <c r="F616" s="36">
        <f ca="1">SUMIF(I$3:$BB615,"入库",I616:$BB616)</f>
        <v>0</v>
      </c>
      <c r="G616" s="45">
        <f ca="1">SUMIF(J$3:$BB615,"出库",J616:$BB616)</f>
        <v>0</v>
      </c>
      <c r="H616" s="37">
        <f ca="1" t="shared" si="9"/>
        <v>0</v>
      </c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</row>
    <row r="617" hidden="1" customHeight="1" spans="1:54">
      <c r="A617" s="49">
        <f>ROW()-4</f>
        <v>613</v>
      </c>
      <c r="B617" s="45" t="s">
        <v>221</v>
      </c>
      <c r="C617" s="50" t="s">
        <v>12</v>
      </c>
      <c r="D617" s="45"/>
      <c r="E617" s="45">
        <v>0</v>
      </c>
      <c r="F617" s="36">
        <f ca="1">SUMIF(I$3:$BB616,"入库",I617:$BB617)</f>
        <v>1850</v>
      </c>
      <c r="G617" s="45">
        <f ca="1">SUMIF(J$3:$BB616,"出库",J617:$BB617)</f>
        <v>0</v>
      </c>
      <c r="H617" s="37">
        <f ca="1" t="shared" si="9"/>
        <v>1850</v>
      </c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>
        <v>950</v>
      </c>
      <c r="AB617" s="45"/>
      <c r="AC617" s="45">
        <v>900</v>
      </c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</row>
    <row r="618" hidden="1" customHeight="1" spans="1:54">
      <c r="A618" s="51"/>
      <c r="B618" s="45"/>
      <c r="C618" s="52" t="s">
        <v>13</v>
      </c>
      <c r="D618" s="45"/>
      <c r="E618" s="45">
        <v>0</v>
      </c>
      <c r="F618" s="36">
        <f ca="1">SUMIF(I$3:$BB617,"入库",I618:$BB618)</f>
        <v>11</v>
      </c>
      <c r="G618" s="45">
        <f ca="1">SUMIF(J$3:$BB617,"出库",J618:$BB618)</f>
        <v>0</v>
      </c>
      <c r="H618" s="37">
        <f ca="1" t="shared" si="9"/>
        <v>11</v>
      </c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>
        <v>11</v>
      </c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</row>
    <row r="619" hidden="1" customHeight="1" spans="1:54">
      <c r="A619" s="53"/>
      <c r="B619" s="45"/>
      <c r="C619" s="45" t="s">
        <v>14</v>
      </c>
      <c r="D619" s="45"/>
      <c r="E619" s="45">
        <v>0</v>
      </c>
      <c r="F619" s="36">
        <f ca="1">SUMIF(I$3:$BB618,"入库",I619:$BB619)</f>
        <v>0</v>
      </c>
      <c r="G619" s="45">
        <f ca="1">SUMIF(J$3:$BB618,"出库",J619:$BB619)</f>
        <v>0</v>
      </c>
      <c r="H619" s="37">
        <f ca="1" t="shared" si="9"/>
        <v>0</v>
      </c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</row>
    <row r="620" hidden="1" customHeight="1" spans="1:54">
      <c r="A620" s="49">
        <f>ROW()-4</f>
        <v>616</v>
      </c>
      <c r="B620" s="45" t="s">
        <v>222</v>
      </c>
      <c r="C620" s="50" t="s">
        <v>12</v>
      </c>
      <c r="D620" s="45"/>
      <c r="E620" s="45">
        <v>0</v>
      </c>
      <c r="F620" s="36">
        <f ca="1">SUMIF(I$3:$BB619,"入库",I620:$BB620)</f>
        <v>500</v>
      </c>
      <c r="G620" s="45">
        <f ca="1">SUMIF(J$3:$BB619,"出库",J620:$BB620)</f>
        <v>0</v>
      </c>
      <c r="H620" s="37">
        <f ca="1" t="shared" si="9"/>
        <v>500</v>
      </c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>
        <v>500</v>
      </c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</row>
    <row r="621" hidden="1" customHeight="1" spans="1:54">
      <c r="A621" s="51"/>
      <c r="B621" s="45"/>
      <c r="C621" s="52" t="s">
        <v>13</v>
      </c>
      <c r="D621" s="45"/>
      <c r="E621" s="45">
        <v>0</v>
      </c>
      <c r="F621" s="36">
        <f ca="1">SUMIF(I$3:$BB620,"入库",I621:$BB621)</f>
        <v>0</v>
      </c>
      <c r="G621" s="45">
        <f ca="1">SUMIF(J$3:$BB620,"出库",J621:$BB621)</f>
        <v>0</v>
      </c>
      <c r="H621" s="37">
        <f ca="1" t="shared" si="9"/>
        <v>0</v>
      </c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</row>
    <row r="622" hidden="1" customHeight="1" spans="1:54">
      <c r="A622" s="53"/>
      <c r="B622" s="45"/>
      <c r="C622" s="45" t="s">
        <v>14</v>
      </c>
      <c r="D622" s="45"/>
      <c r="E622" s="45">
        <v>0</v>
      </c>
      <c r="F622" s="36">
        <f ca="1">SUMIF(I$3:$BB621,"入库",I622:$BB622)</f>
        <v>0</v>
      </c>
      <c r="G622" s="45">
        <f ca="1">SUMIF(J$3:$BB621,"出库",J622:$BB622)</f>
        <v>0</v>
      </c>
      <c r="H622" s="37">
        <f ca="1" t="shared" si="9"/>
        <v>0</v>
      </c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</row>
    <row r="623" hidden="1" customHeight="1" spans="1:54">
      <c r="A623" s="49">
        <f>ROW()-4</f>
        <v>619</v>
      </c>
      <c r="B623" s="45" t="s">
        <v>223</v>
      </c>
      <c r="C623" s="50" t="s">
        <v>12</v>
      </c>
      <c r="D623" s="45"/>
      <c r="E623" s="45">
        <v>0</v>
      </c>
      <c r="F623" s="36">
        <f ca="1">SUMIF(I$3:$BB622,"入库",I623:$BB623)</f>
        <v>0</v>
      </c>
      <c r="G623" s="45">
        <f ca="1">SUMIF(J$3:$BB622,"出库",J623:$BB623)</f>
        <v>0</v>
      </c>
      <c r="H623" s="37">
        <f ca="1" t="shared" si="9"/>
        <v>0</v>
      </c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</row>
    <row r="624" hidden="1" customHeight="1" spans="1:54">
      <c r="A624" s="51"/>
      <c r="B624" s="45"/>
      <c r="C624" s="52" t="s">
        <v>13</v>
      </c>
      <c r="D624" s="45"/>
      <c r="E624" s="45">
        <v>0</v>
      </c>
      <c r="F624" s="36">
        <f ca="1">SUMIF(I$3:$BB623,"入库",I624:$BB624)</f>
        <v>0</v>
      </c>
      <c r="G624" s="45">
        <f ca="1">SUMIF(J$3:$BB623,"出库",J624:$BB624)</f>
        <v>0</v>
      </c>
      <c r="H624" s="37">
        <f ca="1" t="shared" si="9"/>
        <v>0</v>
      </c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</row>
    <row r="625" hidden="1" customHeight="1" spans="1:54">
      <c r="A625" s="53"/>
      <c r="B625" s="45"/>
      <c r="C625" s="45" t="s">
        <v>14</v>
      </c>
      <c r="D625" s="45"/>
      <c r="E625" s="45">
        <v>0</v>
      </c>
      <c r="F625" s="36">
        <f ca="1">SUMIF(I$3:$BB624,"入库",I625:$BB625)</f>
        <v>0</v>
      </c>
      <c r="G625" s="45">
        <f ca="1">SUMIF(J$3:$BB624,"出库",J625:$BB625)</f>
        <v>0</v>
      </c>
      <c r="H625" s="37">
        <f ca="1" t="shared" si="9"/>
        <v>0</v>
      </c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</row>
    <row r="626" hidden="1" customHeight="1" spans="1:54">
      <c r="A626" s="49">
        <f>ROW()-4</f>
        <v>622</v>
      </c>
      <c r="B626" s="45" t="s">
        <v>224</v>
      </c>
      <c r="C626" s="50" t="s">
        <v>12</v>
      </c>
      <c r="D626" s="45"/>
      <c r="E626" s="45">
        <v>0</v>
      </c>
      <c r="F626" s="36">
        <f ca="1">SUMIF(I$3:$BB625,"入库",I626:$BB626)</f>
        <v>1950</v>
      </c>
      <c r="G626" s="45">
        <f ca="1">SUMIF(J$3:$BB625,"出库",J626:$BB626)</f>
        <v>80</v>
      </c>
      <c r="H626" s="37">
        <f ca="1" t="shared" si="9"/>
        <v>1870</v>
      </c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>
        <v>1950</v>
      </c>
      <c r="AJ626" s="45">
        <v>80</v>
      </c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</row>
    <row r="627" hidden="1" customHeight="1" spans="1:54">
      <c r="A627" s="51"/>
      <c r="B627" s="45"/>
      <c r="C627" s="52" t="s">
        <v>13</v>
      </c>
      <c r="D627" s="45"/>
      <c r="E627" s="45">
        <v>0</v>
      </c>
      <c r="F627" s="36">
        <f ca="1">SUMIF(I$3:$BB626,"入库",I627:$BB627)</f>
        <v>110</v>
      </c>
      <c r="G627" s="45">
        <f ca="1">SUMIF(J$3:$BB626,"出库",J627:$BB627)</f>
        <v>0</v>
      </c>
      <c r="H627" s="37">
        <f ca="1" t="shared" si="9"/>
        <v>110</v>
      </c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>
        <v>110</v>
      </c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</row>
    <row r="628" hidden="1" customHeight="1" spans="1:54">
      <c r="A628" s="53"/>
      <c r="B628" s="45"/>
      <c r="C628" s="45" t="s">
        <v>14</v>
      </c>
      <c r="D628" s="45"/>
      <c r="E628" s="45">
        <v>0</v>
      </c>
      <c r="F628" s="36">
        <f ca="1">SUMIF(I$3:$BB627,"入库",I628:$BB628)</f>
        <v>10</v>
      </c>
      <c r="G628" s="45">
        <f ca="1">SUMIF(J$3:$BB627,"出库",J628:$BB628)</f>
        <v>0</v>
      </c>
      <c r="H628" s="37">
        <f ca="1" t="shared" si="9"/>
        <v>10</v>
      </c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>
        <v>10</v>
      </c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</row>
    <row r="629" hidden="1" customHeight="1" spans="1:54">
      <c r="A629" s="49">
        <f>ROW()-4</f>
        <v>625</v>
      </c>
      <c r="B629" s="45" t="s">
        <v>225</v>
      </c>
      <c r="C629" s="50" t="s">
        <v>12</v>
      </c>
      <c r="D629" s="45"/>
      <c r="E629" s="45">
        <v>0</v>
      </c>
      <c r="F629" s="36">
        <f ca="1">SUMIF(I$3:$BB628,"入库",I629:$BB629)</f>
        <v>1650</v>
      </c>
      <c r="G629" s="45">
        <f ca="1">SUMIF(J$3:$BB628,"出库",J629:$BB629)</f>
        <v>0</v>
      </c>
      <c r="H629" s="37">
        <f ca="1" t="shared" si="9"/>
        <v>1650</v>
      </c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>
        <v>1650</v>
      </c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</row>
    <row r="630" hidden="1" customHeight="1" spans="1:54">
      <c r="A630" s="51"/>
      <c r="B630" s="45"/>
      <c r="C630" s="52" t="s">
        <v>13</v>
      </c>
      <c r="D630" s="45"/>
      <c r="E630" s="45">
        <v>0</v>
      </c>
      <c r="F630" s="36">
        <f ca="1">SUMIF(I$3:$BB629,"入库",I630:$BB630)</f>
        <v>450</v>
      </c>
      <c r="G630" s="45">
        <f ca="1">SUMIF(J$3:$BB629,"出库",J630:$BB630)</f>
        <v>0</v>
      </c>
      <c r="H630" s="37">
        <f ca="1" t="shared" si="9"/>
        <v>450</v>
      </c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>
        <v>450</v>
      </c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</row>
    <row r="631" hidden="1" customHeight="1" spans="1:54">
      <c r="A631" s="53"/>
      <c r="B631" s="45"/>
      <c r="C631" s="45" t="s">
        <v>14</v>
      </c>
      <c r="D631" s="45"/>
      <c r="E631" s="45">
        <v>0</v>
      </c>
      <c r="F631" s="36">
        <f ca="1">SUMIF(I$3:$BB630,"入库",I631:$BB631)</f>
        <v>50</v>
      </c>
      <c r="G631" s="45">
        <f ca="1">SUMIF(J$3:$BB630,"出库",J631:$BB631)</f>
        <v>0</v>
      </c>
      <c r="H631" s="37">
        <f ca="1" t="shared" si="9"/>
        <v>50</v>
      </c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>
        <v>50</v>
      </c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</row>
    <row r="632" hidden="1" customHeight="1" spans="1:54">
      <c r="A632" s="49">
        <f>ROW()-4</f>
        <v>628</v>
      </c>
      <c r="B632" s="45" t="s">
        <v>226</v>
      </c>
      <c r="C632" s="50" t="s">
        <v>12</v>
      </c>
      <c r="D632" s="45"/>
      <c r="E632" s="45">
        <v>0</v>
      </c>
      <c r="F632" s="36">
        <f ca="1">SUMIF(I$3:$BB631,"入库",I632:$BB632)</f>
        <v>1850</v>
      </c>
      <c r="G632" s="45">
        <f ca="1">SUMIF(J$3:$BB631,"出库",J632:$BB632)</f>
        <v>200</v>
      </c>
      <c r="H632" s="37">
        <f ca="1" t="shared" si="9"/>
        <v>1650</v>
      </c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>
        <v>1850</v>
      </c>
      <c r="AH632" s="45"/>
      <c r="AI632" s="45"/>
      <c r="AJ632" s="45">
        <v>200</v>
      </c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</row>
    <row r="633" hidden="1" customHeight="1" spans="1:54">
      <c r="A633" s="51"/>
      <c r="B633" s="45"/>
      <c r="C633" s="52" t="s">
        <v>13</v>
      </c>
      <c r="D633" s="45"/>
      <c r="E633" s="45">
        <v>0</v>
      </c>
      <c r="F633" s="36">
        <f ca="1">SUMIF(I$3:$BB632,"入库",I633:$BB633)</f>
        <v>0</v>
      </c>
      <c r="G633" s="45">
        <f ca="1">SUMIF(J$3:$BB632,"出库",J633:$BB633)</f>
        <v>0</v>
      </c>
      <c r="H633" s="37">
        <f ca="1" t="shared" si="9"/>
        <v>0</v>
      </c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</row>
    <row r="634" hidden="1" customHeight="1" spans="1:54">
      <c r="A634" s="53"/>
      <c r="B634" s="45"/>
      <c r="C634" s="45" t="s">
        <v>14</v>
      </c>
      <c r="D634" s="45"/>
      <c r="E634" s="45">
        <v>0</v>
      </c>
      <c r="F634" s="36">
        <f ca="1">SUMIF(I$3:$BB633,"入库",I634:$BB634)</f>
        <v>10</v>
      </c>
      <c r="G634" s="45">
        <f ca="1">SUMIF(J$3:$BB633,"出库",J634:$BB634)</f>
        <v>0</v>
      </c>
      <c r="H634" s="37">
        <f ca="1" t="shared" si="9"/>
        <v>10</v>
      </c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>
        <v>10</v>
      </c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</row>
    <row r="635" hidden="1" customHeight="1" spans="1:54">
      <c r="A635" s="49">
        <f>ROW()-4</f>
        <v>631</v>
      </c>
      <c r="B635" s="45" t="s">
        <v>227</v>
      </c>
      <c r="C635" s="50" t="s">
        <v>12</v>
      </c>
      <c r="D635" s="45"/>
      <c r="E635" s="45">
        <v>0</v>
      </c>
      <c r="F635" s="36">
        <f ca="1">SUMIF(I$3:$BB634,"入库",I635:$BB635)</f>
        <v>550</v>
      </c>
      <c r="G635" s="45">
        <f ca="1">SUMIF(J$3:$BB634,"出库",J635:$BB635)</f>
        <v>5</v>
      </c>
      <c r="H635" s="37">
        <f ca="1" t="shared" si="9"/>
        <v>545</v>
      </c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>
        <v>550</v>
      </c>
      <c r="AD635" s="45"/>
      <c r="AE635" s="45"/>
      <c r="AF635" s="45"/>
      <c r="AG635" s="45"/>
      <c r="AH635" s="45"/>
      <c r="AI635" s="45"/>
      <c r="AJ635" s="45">
        <v>5</v>
      </c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</row>
    <row r="636" hidden="1" customHeight="1" spans="1:54">
      <c r="A636" s="51"/>
      <c r="B636" s="45"/>
      <c r="C636" s="52" t="s">
        <v>13</v>
      </c>
      <c r="D636" s="45"/>
      <c r="E636" s="45">
        <v>0</v>
      </c>
      <c r="F636" s="36">
        <f ca="1">SUMIF(I$3:$BB635,"入库",I636:$BB636)</f>
        <v>50</v>
      </c>
      <c r="G636" s="45">
        <f ca="1">SUMIF(J$3:$BB635,"出库",J636:$BB636)</f>
        <v>0</v>
      </c>
      <c r="H636" s="37">
        <f ca="1" t="shared" si="9"/>
        <v>50</v>
      </c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>
        <v>50</v>
      </c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</row>
    <row r="637" hidden="1" customHeight="1" spans="1:54">
      <c r="A637" s="53"/>
      <c r="B637" s="45"/>
      <c r="C637" s="45" t="s">
        <v>14</v>
      </c>
      <c r="D637" s="45"/>
      <c r="E637" s="45">
        <v>0</v>
      </c>
      <c r="F637" s="36">
        <f ca="1">SUMIF(I$3:$BB636,"入库",I637:$BB637)</f>
        <v>20</v>
      </c>
      <c r="G637" s="45">
        <f ca="1">SUMIF(J$3:$BB636,"出库",J637:$BB637)</f>
        <v>3</v>
      </c>
      <c r="H637" s="37">
        <f ca="1" t="shared" si="9"/>
        <v>17</v>
      </c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>
        <v>20</v>
      </c>
      <c r="AD637" s="45"/>
      <c r="AE637" s="45"/>
      <c r="AF637" s="45"/>
      <c r="AG637" s="45"/>
      <c r="AH637" s="45"/>
      <c r="AI637" s="45"/>
      <c r="AJ637" s="45">
        <v>3</v>
      </c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</row>
    <row r="638" hidden="1" customHeight="1" spans="1:54">
      <c r="A638" s="49">
        <f>ROW()-4</f>
        <v>634</v>
      </c>
      <c r="B638" s="45" t="s">
        <v>228</v>
      </c>
      <c r="C638" s="50" t="s">
        <v>12</v>
      </c>
      <c r="D638" s="45"/>
      <c r="E638" s="45">
        <v>0</v>
      </c>
      <c r="F638" s="36">
        <f ca="1">SUMIF(I$3:$BB637,"入库",I638:$BB638)</f>
        <v>1200</v>
      </c>
      <c r="G638" s="45">
        <f ca="1">SUMIF(J$3:$BB637,"出库",J638:$BB638)</f>
        <v>90</v>
      </c>
      <c r="H638" s="37">
        <f ca="1" t="shared" si="9"/>
        <v>1110</v>
      </c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>
        <v>1200</v>
      </c>
      <c r="AD638" s="45"/>
      <c r="AE638" s="45"/>
      <c r="AF638" s="45"/>
      <c r="AG638" s="45"/>
      <c r="AH638" s="45">
        <v>90</v>
      </c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</row>
    <row r="639" hidden="1" customHeight="1" spans="1:54">
      <c r="A639" s="51"/>
      <c r="B639" s="45"/>
      <c r="C639" s="52" t="s">
        <v>13</v>
      </c>
      <c r="D639" s="45"/>
      <c r="E639" s="45">
        <v>0</v>
      </c>
      <c r="F639" s="36">
        <f ca="1">SUMIF(I$3:$BB638,"入库",I639:$BB639)</f>
        <v>0</v>
      </c>
      <c r="G639" s="45">
        <f ca="1">SUMIF(J$3:$BB638,"出库",J639:$BB639)</f>
        <v>0</v>
      </c>
      <c r="H639" s="37">
        <f ca="1" t="shared" si="9"/>
        <v>0</v>
      </c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</row>
    <row r="640" hidden="1" customHeight="1" spans="1:54">
      <c r="A640" s="53"/>
      <c r="B640" s="45"/>
      <c r="C640" s="45" t="s">
        <v>14</v>
      </c>
      <c r="D640" s="45"/>
      <c r="E640" s="45">
        <v>0</v>
      </c>
      <c r="F640" s="36">
        <f ca="1">SUMIF(I$3:$BB639,"入库",I640:$BB640)</f>
        <v>30</v>
      </c>
      <c r="G640" s="45">
        <f ca="1">SUMIF(J$3:$BB639,"出库",J640:$BB640)</f>
        <v>0</v>
      </c>
      <c r="H640" s="37">
        <f ca="1" t="shared" si="9"/>
        <v>30</v>
      </c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>
        <v>30</v>
      </c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</row>
    <row r="641" hidden="1" customHeight="1" spans="1:54">
      <c r="A641" s="49">
        <f>ROW()-4</f>
        <v>637</v>
      </c>
      <c r="B641" s="45" t="s">
        <v>229</v>
      </c>
      <c r="C641" s="52" t="s">
        <v>13</v>
      </c>
      <c r="D641" s="45"/>
      <c r="E641" s="45">
        <v>0</v>
      </c>
      <c r="F641" s="36">
        <f ca="1">SUMIF(I$3:$BB640,"入库",I641:$BB641)</f>
        <v>20</v>
      </c>
      <c r="G641" s="45">
        <f ca="1">SUMIF(J$3:$BB640,"出库",J641:$BB641)</f>
        <v>0</v>
      </c>
      <c r="H641" s="37">
        <f ca="1" t="shared" si="9"/>
        <v>20</v>
      </c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>
        <v>20</v>
      </c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</row>
    <row r="642" hidden="1" customHeight="1" spans="1:54">
      <c r="A642" s="51"/>
      <c r="B642" s="45"/>
      <c r="C642" s="45" t="s">
        <v>14</v>
      </c>
      <c r="D642" s="45"/>
      <c r="E642" s="45">
        <v>0</v>
      </c>
      <c r="F642" s="36">
        <f ca="1">SUMIF(I$3:$BB641,"入库",I642:$BB642)</f>
        <v>30</v>
      </c>
      <c r="G642" s="45">
        <f ca="1">SUMIF(J$3:$BB641,"出库",J642:$BB642)</f>
        <v>2</v>
      </c>
      <c r="H642" s="37">
        <f ca="1" t="shared" si="9"/>
        <v>28</v>
      </c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>
        <v>30</v>
      </c>
      <c r="AD642" s="45"/>
      <c r="AE642" s="45"/>
      <c r="AF642" s="45"/>
      <c r="AG642" s="45"/>
      <c r="AH642" s="45"/>
      <c r="AI642" s="45"/>
      <c r="AJ642" s="45">
        <v>2</v>
      </c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</row>
    <row r="643" hidden="1" customHeight="1" spans="1:54">
      <c r="A643" s="53"/>
      <c r="B643" s="45"/>
      <c r="C643" s="50" t="s">
        <v>12</v>
      </c>
      <c r="D643" s="45"/>
      <c r="E643" s="45">
        <v>0</v>
      </c>
      <c r="F643" s="36">
        <f ca="1">SUMIF(I$3:$BB642,"入库",I643:$BB643)</f>
        <v>720</v>
      </c>
      <c r="G643" s="45">
        <f ca="1">SUMIF(J$3:$BB642,"出库",J643:$BB643)</f>
        <v>0</v>
      </c>
      <c r="H643" s="37">
        <f ca="1" t="shared" si="9"/>
        <v>720</v>
      </c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>
        <v>720</v>
      </c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</row>
    <row r="644" hidden="1" customHeight="1" spans="1:54">
      <c r="A644" s="49">
        <f>ROW()-4</f>
        <v>640</v>
      </c>
      <c r="B644" s="45" t="s">
        <v>230</v>
      </c>
      <c r="C644" s="52" t="s">
        <v>13</v>
      </c>
      <c r="D644" s="45"/>
      <c r="E644" s="45">
        <v>0</v>
      </c>
      <c r="F644" s="36">
        <f ca="1">SUMIF(I$3:$BB643,"入库",I644:$BB644)</f>
        <v>30</v>
      </c>
      <c r="G644" s="45">
        <f ca="1">SUMIF(J$3:$BB643,"出库",J644:$BB644)</f>
        <v>0</v>
      </c>
      <c r="H644" s="37">
        <f ca="1" t="shared" si="9"/>
        <v>30</v>
      </c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>
        <v>30</v>
      </c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</row>
    <row r="645" hidden="1" customHeight="1" spans="1:54">
      <c r="A645" s="51"/>
      <c r="B645" s="45"/>
      <c r="C645" s="45" t="s">
        <v>14</v>
      </c>
      <c r="D645" s="45"/>
      <c r="E645" s="45">
        <v>0</v>
      </c>
      <c r="F645" s="36">
        <f ca="1">SUMIF(I$3:$BB644,"入库",I645:$BB645)</f>
        <v>80</v>
      </c>
      <c r="G645" s="45">
        <f ca="1">SUMIF(J$3:$BB644,"出库",J645:$BB645)</f>
        <v>0</v>
      </c>
      <c r="H645" s="37">
        <f ca="1" t="shared" ref="H645:H708" si="10">E645+F645-G645</f>
        <v>80</v>
      </c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>
        <v>80</v>
      </c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</row>
    <row r="646" hidden="1" customHeight="1" spans="1:54">
      <c r="A646" s="53"/>
      <c r="B646" s="45"/>
      <c r="C646" s="50" t="s">
        <v>12</v>
      </c>
      <c r="D646" s="45"/>
      <c r="E646" s="45">
        <v>0</v>
      </c>
      <c r="F646" s="36">
        <f ca="1">SUMIF(I$3:$BB645,"入库",I646:$BB646)</f>
        <v>800</v>
      </c>
      <c r="G646" s="45">
        <f ca="1">SUMIF(J$3:$BB645,"出库",J646:$BB646)</f>
        <v>0</v>
      </c>
      <c r="H646" s="37">
        <f ca="1" t="shared" si="10"/>
        <v>800</v>
      </c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>
        <v>800</v>
      </c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</row>
    <row r="647" hidden="1" customHeight="1" spans="1:54">
      <c r="A647" s="49">
        <f>ROW()-4</f>
        <v>643</v>
      </c>
      <c r="B647" s="45" t="s">
        <v>231</v>
      </c>
      <c r="C647" s="52" t="s">
        <v>13</v>
      </c>
      <c r="D647" s="45"/>
      <c r="E647" s="45">
        <v>0</v>
      </c>
      <c r="F647" s="36">
        <f ca="1">SUMIF(I$3:$BB646,"入库",I647:$BB647)</f>
        <v>0</v>
      </c>
      <c r="G647" s="45">
        <f ca="1">SUMIF(J$3:$BB646,"出库",J647:$BB647)</f>
        <v>0</v>
      </c>
      <c r="H647" s="37">
        <f ca="1" t="shared" si="10"/>
        <v>0</v>
      </c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</row>
    <row r="648" hidden="1" customHeight="1" spans="1:54">
      <c r="A648" s="51"/>
      <c r="B648" s="45"/>
      <c r="C648" s="45" t="s">
        <v>14</v>
      </c>
      <c r="D648" s="45"/>
      <c r="E648" s="45">
        <v>0</v>
      </c>
      <c r="F648" s="36">
        <f ca="1">SUMIF(I$3:$BB647,"入库",I648:$BB648)</f>
        <v>0</v>
      </c>
      <c r="G648" s="45">
        <f ca="1">SUMIF(J$3:$BB647,"出库",J648:$BB648)</f>
        <v>0</v>
      </c>
      <c r="H648" s="37">
        <f ca="1" t="shared" si="10"/>
        <v>0</v>
      </c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</row>
    <row r="649" hidden="1" customHeight="1" spans="1:54">
      <c r="A649" s="53"/>
      <c r="B649" s="45"/>
      <c r="C649" s="50" t="s">
        <v>12</v>
      </c>
      <c r="D649" s="45"/>
      <c r="E649" s="45">
        <v>0</v>
      </c>
      <c r="F649" s="36">
        <f ca="1">SUMIF(I$3:$BB648,"入库",I649:$BB649)</f>
        <v>800</v>
      </c>
      <c r="G649" s="45">
        <f ca="1">SUMIF(J$3:$BB648,"出库",J649:$BB649)</f>
        <v>50</v>
      </c>
      <c r="H649" s="37">
        <f ca="1" t="shared" si="10"/>
        <v>750</v>
      </c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>
        <v>800</v>
      </c>
      <c r="AB649" s="45"/>
      <c r="AC649" s="45"/>
      <c r="AD649" s="45"/>
      <c r="AE649" s="45"/>
      <c r="AF649" s="45"/>
      <c r="AG649" s="45"/>
      <c r="AH649" s="45">
        <v>50</v>
      </c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</row>
    <row r="650" hidden="1" customHeight="1" spans="1:54">
      <c r="A650" s="49">
        <f>ROW()-4</f>
        <v>646</v>
      </c>
      <c r="B650" s="45" t="s">
        <v>232</v>
      </c>
      <c r="C650" s="52" t="s">
        <v>13</v>
      </c>
      <c r="D650" s="45"/>
      <c r="E650" s="45">
        <v>0</v>
      </c>
      <c r="F650" s="36">
        <f ca="1">SUMIF(I$3:$BB649,"入库",I650:$BB650)</f>
        <v>10</v>
      </c>
      <c r="G650" s="45">
        <f ca="1">SUMIF(J$3:$BB649,"出库",J650:$BB650)</f>
        <v>0</v>
      </c>
      <c r="H650" s="37">
        <f ca="1" t="shared" si="10"/>
        <v>10</v>
      </c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>
        <v>10</v>
      </c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</row>
    <row r="651" hidden="1" customHeight="1" spans="1:54">
      <c r="A651" s="51"/>
      <c r="B651" s="45"/>
      <c r="C651" s="45" t="s">
        <v>14</v>
      </c>
      <c r="D651" s="45"/>
      <c r="E651" s="45">
        <v>0</v>
      </c>
      <c r="F651" s="36">
        <f ca="1">SUMIF(I$3:$BB650,"入库",I651:$BB651)</f>
        <v>0</v>
      </c>
      <c r="G651" s="45">
        <f ca="1">SUMIF(J$3:$BB650,"出库",J651:$BB651)</f>
        <v>0</v>
      </c>
      <c r="H651" s="37">
        <f ca="1" t="shared" si="10"/>
        <v>0</v>
      </c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</row>
    <row r="652" hidden="1" customHeight="1" spans="1:54">
      <c r="A652" s="53"/>
      <c r="B652" s="45"/>
      <c r="C652" s="50" t="s">
        <v>12</v>
      </c>
      <c r="D652" s="45"/>
      <c r="E652" s="45">
        <v>0</v>
      </c>
      <c r="F652" s="36">
        <f ca="1">SUMIF(I$3:$BB651,"入库",I652:$BB652)</f>
        <v>400</v>
      </c>
      <c r="G652" s="45">
        <f ca="1">SUMIF(J$3:$BB651,"出库",J652:$BB652)</f>
        <v>101</v>
      </c>
      <c r="H652" s="37">
        <f ca="1" t="shared" si="10"/>
        <v>299</v>
      </c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>
        <v>400</v>
      </c>
      <c r="AB652" s="45"/>
      <c r="AC652" s="45"/>
      <c r="AD652" s="45"/>
      <c r="AE652" s="45"/>
      <c r="AF652" s="45"/>
      <c r="AG652" s="45"/>
      <c r="AH652" s="45">
        <v>100</v>
      </c>
      <c r="AI652" s="45"/>
      <c r="AJ652" s="45">
        <v>1</v>
      </c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</row>
    <row r="653" hidden="1" customHeight="1" spans="1:54">
      <c r="A653" s="49">
        <f>ROW()-4</f>
        <v>649</v>
      </c>
      <c r="B653" s="49" t="s">
        <v>233</v>
      </c>
      <c r="C653" s="52" t="s">
        <v>13</v>
      </c>
      <c r="D653" s="45"/>
      <c r="E653" s="45">
        <v>0</v>
      </c>
      <c r="F653" s="36">
        <f ca="1">SUMIF(I$3:$BB652,"入库",I653:$BB653)</f>
        <v>5</v>
      </c>
      <c r="G653" s="45">
        <f ca="1">SUMIF(J$3:$BB652,"出库",J653:$BB653)</f>
        <v>0</v>
      </c>
      <c r="H653" s="37">
        <f ca="1" t="shared" si="10"/>
        <v>5</v>
      </c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>
        <v>5</v>
      </c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</row>
    <row r="654" hidden="1" customHeight="1" spans="1:54">
      <c r="A654" s="51"/>
      <c r="B654" s="51"/>
      <c r="C654" s="45" t="s">
        <v>14</v>
      </c>
      <c r="D654" s="45"/>
      <c r="E654" s="45">
        <v>0</v>
      </c>
      <c r="F654" s="36">
        <f ca="1">SUMIF(I$3:$BB653,"入库",I654:$BB654)</f>
        <v>80</v>
      </c>
      <c r="G654" s="45">
        <f ca="1">SUMIF(J$3:$BB653,"出库",J654:$BB654)</f>
        <v>0</v>
      </c>
      <c r="H654" s="37">
        <f ca="1" t="shared" si="10"/>
        <v>80</v>
      </c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>
        <v>80</v>
      </c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</row>
    <row r="655" hidden="1" customHeight="1" spans="1:54">
      <c r="A655" s="53"/>
      <c r="B655" s="53"/>
      <c r="C655" s="50" t="s">
        <v>12</v>
      </c>
      <c r="D655" s="45"/>
      <c r="E655" s="45">
        <v>0</v>
      </c>
      <c r="F655" s="36">
        <f ca="1">SUMIF(I$3:$BB654,"入库",I655:$BB655)</f>
        <v>1400</v>
      </c>
      <c r="G655" s="45">
        <f ca="1">SUMIF(J$3:$BB654,"出库",J655:$BB655)</f>
        <v>0</v>
      </c>
      <c r="H655" s="37">
        <f ca="1" t="shared" si="10"/>
        <v>1400</v>
      </c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>
        <v>1400</v>
      </c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</row>
    <row r="656" hidden="1" customHeight="1" spans="1:54">
      <c r="A656" s="49">
        <f>ROW()-4</f>
        <v>652</v>
      </c>
      <c r="B656" s="49" t="s">
        <v>234</v>
      </c>
      <c r="C656" s="52" t="s">
        <v>13</v>
      </c>
      <c r="D656" s="45"/>
      <c r="E656" s="45">
        <v>0</v>
      </c>
      <c r="F656" s="36">
        <f ca="1">SUMIF(I$3:$BB655,"入库",I656:$BB656)</f>
        <v>360</v>
      </c>
      <c r="G656" s="45">
        <f ca="1">SUMIF(J$3:$BB655,"出库",J656:$BB656)</f>
        <v>0</v>
      </c>
      <c r="H656" s="37">
        <f ca="1" t="shared" si="10"/>
        <v>360</v>
      </c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>
        <v>360</v>
      </c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</row>
    <row r="657" hidden="1" customHeight="1" spans="1:54">
      <c r="A657" s="51"/>
      <c r="B657" s="51"/>
      <c r="C657" s="45" t="s">
        <v>14</v>
      </c>
      <c r="D657" s="45"/>
      <c r="E657" s="45">
        <v>0</v>
      </c>
      <c r="F657" s="36">
        <f ca="1">SUMIF(I$3:$BB656,"入库",I657:$BB657)</f>
        <v>0</v>
      </c>
      <c r="G657" s="45">
        <f ca="1">SUMIF(J$3:$BB656,"出库",J657:$BB657)</f>
        <v>0</v>
      </c>
      <c r="H657" s="37">
        <f ca="1" t="shared" si="10"/>
        <v>0</v>
      </c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</row>
    <row r="658" hidden="1" customHeight="1" spans="1:54">
      <c r="A658" s="53"/>
      <c r="B658" s="53"/>
      <c r="C658" s="50" t="s">
        <v>12</v>
      </c>
      <c r="D658" s="45"/>
      <c r="E658" s="45">
        <v>0</v>
      </c>
      <c r="F658" s="36">
        <f ca="1">SUMIF(I$3:$BB657,"入库",I658:$BB658)</f>
        <v>4850</v>
      </c>
      <c r="G658" s="45">
        <f ca="1">SUMIF(J$3:$BB657,"出库",J658:$BB658)</f>
        <v>1</v>
      </c>
      <c r="H658" s="37">
        <f ca="1" t="shared" si="10"/>
        <v>4849</v>
      </c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>
        <v>4850</v>
      </c>
      <c r="AH658" s="45"/>
      <c r="AI658" s="45"/>
      <c r="AJ658" s="45">
        <v>1</v>
      </c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</row>
    <row r="659" hidden="1" customHeight="1" spans="1:54">
      <c r="A659" s="49">
        <f>ROW()-4</f>
        <v>655</v>
      </c>
      <c r="B659" s="49" t="s">
        <v>235</v>
      </c>
      <c r="C659" s="52" t="s">
        <v>13</v>
      </c>
      <c r="D659" s="45"/>
      <c r="E659" s="45">
        <v>0</v>
      </c>
      <c r="F659" s="36">
        <f ca="1">SUMIF(I$3:$BB658,"入库",I659:$BB659)</f>
        <v>24</v>
      </c>
      <c r="G659" s="45">
        <f ca="1">SUMIF(J$3:$BB658,"出库",J659:$BB659)</f>
        <v>0</v>
      </c>
      <c r="H659" s="37">
        <f ca="1" t="shared" si="10"/>
        <v>24</v>
      </c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>
        <v>24</v>
      </c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</row>
    <row r="660" hidden="1" customHeight="1" spans="1:54">
      <c r="A660" s="51"/>
      <c r="B660" s="51"/>
      <c r="C660" s="45" t="s">
        <v>14</v>
      </c>
      <c r="D660" s="45"/>
      <c r="E660" s="45">
        <v>0</v>
      </c>
      <c r="F660" s="36">
        <f ca="1">SUMIF(I$3:$BB659,"入库",I660:$BB660)</f>
        <v>50</v>
      </c>
      <c r="G660" s="45">
        <f ca="1">SUMIF(J$3:$BB659,"出库",J660:$BB660)</f>
        <v>0</v>
      </c>
      <c r="H660" s="37">
        <f ca="1" t="shared" si="10"/>
        <v>50</v>
      </c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>
        <v>50</v>
      </c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</row>
    <row r="661" hidden="1" customHeight="1" spans="1:54">
      <c r="A661" s="53"/>
      <c r="B661" s="53"/>
      <c r="C661" s="50" t="s">
        <v>12</v>
      </c>
      <c r="D661" s="45"/>
      <c r="E661" s="45">
        <v>0</v>
      </c>
      <c r="F661" s="36">
        <f ca="1">SUMIF(I$3:$BB660,"入库",I661:$BB661)</f>
        <v>880</v>
      </c>
      <c r="G661" s="45">
        <f ca="1">SUMIF(J$3:$BB660,"出库",J661:$BB661)</f>
        <v>71</v>
      </c>
      <c r="H661" s="37">
        <f ca="1" t="shared" si="10"/>
        <v>809</v>
      </c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>
        <v>880</v>
      </c>
      <c r="AH661" s="45"/>
      <c r="AI661" s="45"/>
      <c r="AJ661" s="45">
        <v>71</v>
      </c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</row>
    <row r="662" hidden="1" customHeight="1" spans="1:54">
      <c r="A662" s="49">
        <f>ROW()-4</f>
        <v>658</v>
      </c>
      <c r="B662" s="49" t="s">
        <v>236</v>
      </c>
      <c r="C662" s="52" t="s">
        <v>13</v>
      </c>
      <c r="D662" s="45"/>
      <c r="E662" s="45">
        <v>0</v>
      </c>
      <c r="F662" s="36">
        <f ca="1">SUMIF(I$3:$BB661,"入库",I662:$BB662)</f>
        <v>30</v>
      </c>
      <c r="G662" s="45">
        <f ca="1">SUMIF(J$3:$BB661,"出库",J662:$BB662)</f>
        <v>0</v>
      </c>
      <c r="H662" s="37">
        <f ca="1" t="shared" si="10"/>
        <v>30</v>
      </c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>
        <v>30</v>
      </c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</row>
    <row r="663" hidden="1" customHeight="1" spans="1:54">
      <c r="A663" s="51"/>
      <c r="B663" s="51"/>
      <c r="C663" s="45" t="s">
        <v>14</v>
      </c>
      <c r="D663" s="45"/>
      <c r="E663" s="45">
        <v>0</v>
      </c>
      <c r="F663" s="36">
        <f ca="1">SUMIF(I$3:$BB662,"入库",I663:$BB663)</f>
        <v>110</v>
      </c>
      <c r="G663" s="45">
        <f ca="1">SUMIF(J$3:$BB662,"出库",J663:$BB663)</f>
        <v>0</v>
      </c>
      <c r="H663" s="37">
        <f ca="1" t="shared" si="10"/>
        <v>110</v>
      </c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>
        <v>110</v>
      </c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</row>
    <row r="664" hidden="1" customHeight="1" spans="1:54">
      <c r="A664" s="53"/>
      <c r="B664" s="53"/>
      <c r="C664" s="50" t="s">
        <v>12</v>
      </c>
      <c r="D664" s="45"/>
      <c r="E664" s="45">
        <v>0</v>
      </c>
      <c r="F664" s="36">
        <f ca="1">SUMIF(I$3:$BB663,"入库",I664:$BB664)</f>
        <v>250</v>
      </c>
      <c r="G664" s="45">
        <f ca="1">SUMIF(J$3:$BB663,"出库",J664:$BB664)</f>
        <v>200</v>
      </c>
      <c r="H664" s="37">
        <f ca="1" t="shared" si="10"/>
        <v>50</v>
      </c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>
        <v>250</v>
      </c>
      <c r="AD664" s="45"/>
      <c r="AE664" s="45"/>
      <c r="AF664" s="45"/>
      <c r="AG664" s="45"/>
      <c r="AH664" s="45"/>
      <c r="AI664" s="45"/>
      <c r="AJ664" s="45">
        <v>200</v>
      </c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</row>
    <row r="665" hidden="1" customHeight="1" spans="1:54">
      <c r="A665" s="49">
        <f>ROW()-4</f>
        <v>661</v>
      </c>
      <c r="B665" s="49" t="s">
        <v>237</v>
      </c>
      <c r="C665" s="52" t="s">
        <v>13</v>
      </c>
      <c r="D665" s="45"/>
      <c r="E665" s="45">
        <v>0</v>
      </c>
      <c r="F665" s="36">
        <f ca="1">SUMIF(I$3:$BB664,"入库",I665:$BB665)</f>
        <v>20</v>
      </c>
      <c r="G665" s="45">
        <f ca="1">SUMIF(J$3:$BB664,"出库",J665:$BB665)</f>
        <v>0</v>
      </c>
      <c r="H665" s="37">
        <f ca="1" t="shared" si="10"/>
        <v>20</v>
      </c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>
        <v>20</v>
      </c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</row>
    <row r="666" hidden="1" customHeight="1" spans="1:54">
      <c r="A666" s="51"/>
      <c r="B666" s="51"/>
      <c r="C666" s="45" t="s">
        <v>14</v>
      </c>
      <c r="D666" s="45"/>
      <c r="E666" s="45">
        <v>0</v>
      </c>
      <c r="F666" s="36">
        <f ca="1">SUMIF(I$3:$BB665,"入库",I666:$BB666)</f>
        <v>15</v>
      </c>
      <c r="G666" s="45">
        <f ca="1">SUMIF(J$3:$BB665,"出库",J666:$BB666)</f>
        <v>2</v>
      </c>
      <c r="H666" s="37">
        <f ca="1" t="shared" si="10"/>
        <v>13</v>
      </c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>
        <v>15</v>
      </c>
      <c r="AD666" s="45"/>
      <c r="AE666" s="45"/>
      <c r="AF666" s="45"/>
      <c r="AG666" s="45"/>
      <c r="AH666" s="45"/>
      <c r="AI666" s="45"/>
      <c r="AJ666" s="45"/>
      <c r="AK666" s="45"/>
      <c r="AL666" s="45">
        <v>2</v>
      </c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</row>
    <row r="667" hidden="1" customHeight="1" spans="1:54">
      <c r="A667" s="53"/>
      <c r="B667" s="53"/>
      <c r="C667" s="50" t="s">
        <v>12</v>
      </c>
      <c r="D667" s="45"/>
      <c r="E667" s="45">
        <v>0</v>
      </c>
      <c r="F667" s="36">
        <f ca="1">SUMIF(I$3:$BB666,"入库",I667:$BB667)</f>
        <v>1700</v>
      </c>
      <c r="G667" s="45">
        <f ca="1">SUMIF(J$3:$BB666,"出库",J667:$BB667)</f>
        <v>158</v>
      </c>
      <c r="H667" s="37">
        <f ca="1" t="shared" si="10"/>
        <v>1542</v>
      </c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>
        <v>1700</v>
      </c>
      <c r="AD667" s="45"/>
      <c r="AE667" s="45"/>
      <c r="AF667" s="45"/>
      <c r="AG667" s="45"/>
      <c r="AH667" s="45"/>
      <c r="AI667" s="45"/>
      <c r="AJ667" s="45">
        <v>158</v>
      </c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</row>
    <row r="668" hidden="1" customHeight="1" spans="1:54">
      <c r="A668" s="49">
        <f>ROW()-4</f>
        <v>664</v>
      </c>
      <c r="B668" s="49" t="s">
        <v>238</v>
      </c>
      <c r="C668" s="52" t="s">
        <v>13</v>
      </c>
      <c r="D668" s="45"/>
      <c r="E668" s="45">
        <v>0</v>
      </c>
      <c r="F668" s="36">
        <f ca="1">SUMIF(I$3:$BB667,"入库",I668:$BB668)</f>
        <v>760</v>
      </c>
      <c r="G668" s="45">
        <f ca="1">SUMIF(J$3:$BB667,"出库",J668:$BB668)</f>
        <v>0</v>
      </c>
      <c r="H668" s="37">
        <f ca="1" t="shared" si="10"/>
        <v>760</v>
      </c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>
        <v>760</v>
      </c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</row>
    <row r="669" hidden="1" customHeight="1" spans="1:54">
      <c r="A669" s="51"/>
      <c r="B669" s="51"/>
      <c r="C669" s="45" t="s">
        <v>14</v>
      </c>
      <c r="D669" s="45"/>
      <c r="E669" s="45">
        <v>0</v>
      </c>
      <c r="F669" s="36">
        <f ca="1">SUMIF(I$3:$BB668,"入库",I669:$BB669)</f>
        <v>0</v>
      </c>
      <c r="G669" s="45">
        <f ca="1">SUMIF(J$3:$BB668,"出库",J669:$BB669)</f>
        <v>0</v>
      </c>
      <c r="H669" s="37">
        <f ca="1" t="shared" si="10"/>
        <v>0</v>
      </c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</row>
    <row r="670" hidden="1" customHeight="1" spans="1:54">
      <c r="A670" s="53"/>
      <c r="B670" s="53"/>
      <c r="C670" s="50" t="s">
        <v>12</v>
      </c>
      <c r="D670" s="45"/>
      <c r="E670" s="45">
        <v>0</v>
      </c>
      <c r="F670" s="36">
        <f ca="1">SUMIF(I$3:$BB669,"入库",I670:$BB670)</f>
        <v>1200</v>
      </c>
      <c r="G670" s="45">
        <f ca="1">SUMIF(J$3:$BB669,"出库",J670:$BB670)</f>
        <v>0</v>
      </c>
      <c r="H670" s="37">
        <f ca="1" t="shared" si="10"/>
        <v>1200</v>
      </c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>
        <v>1200</v>
      </c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</row>
    <row r="671" hidden="1" customHeight="1" spans="1:54">
      <c r="A671" s="49">
        <f>ROW()-4</f>
        <v>667</v>
      </c>
      <c r="B671" s="49" t="s">
        <v>239</v>
      </c>
      <c r="C671" s="52" t="s">
        <v>13</v>
      </c>
      <c r="D671" s="45"/>
      <c r="E671" s="45">
        <v>0</v>
      </c>
      <c r="F671" s="36">
        <f ca="1">SUMIF(I$3:$BB670,"入库",I671:$BB671)</f>
        <v>20</v>
      </c>
      <c r="G671" s="45">
        <f ca="1">SUMIF(J$3:$BB670,"出库",J671:$BB671)</f>
        <v>0</v>
      </c>
      <c r="H671" s="37">
        <f ca="1" t="shared" si="10"/>
        <v>20</v>
      </c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>
        <v>20</v>
      </c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</row>
    <row r="672" hidden="1" customHeight="1" spans="1:54">
      <c r="A672" s="51"/>
      <c r="B672" s="51"/>
      <c r="C672" s="45" t="s">
        <v>14</v>
      </c>
      <c r="D672" s="45"/>
      <c r="E672" s="45">
        <v>0</v>
      </c>
      <c r="F672" s="36">
        <f ca="1">SUMIF(I$3:$BB671,"入库",I672:$BB672)</f>
        <v>0</v>
      </c>
      <c r="G672" s="45">
        <f ca="1">SUMIF(J$3:$BB671,"出库",J672:$BB672)</f>
        <v>0</v>
      </c>
      <c r="H672" s="37">
        <f ca="1" t="shared" si="10"/>
        <v>0</v>
      </c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</row>
    <row r="673" hidden="1" customHeight="1" spans="1:54">
      <c r="A673" s="53"/>
      <c r="B673" s="53"/>
      <c r="C673" s="50" t="s">
        <v>12</v>
      </c>
      <c r="D673" s="45"/>
      <c r="E673" s="45">
        <v>0</v>
      </c>
      <c r="F673" s="36">
        <f ca="1">SUMIF(I$3:$BB672,"入库",I673:$BB673)</f>
        <v>100</v>
      </c>
      <c r="G673" s="45">
        <f ca="1">SUMIF(J$3:$BB672,"出库",J673:$BB673)</f>
        <v>0</v>
      </c>
      <c r="H673" s="37">
        <f ca="1" t="shared" si="10"/>
        <v>100</v>
      </c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>
        <v>100</v>
      </c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</row>
    <row r="674" hidden="1" customHeight="1" spans="1:54">
      <c r="A674" s="49">
        <f>ROW()-4</f>
        <v>670</v>
      </c>
      <c r="B674" s="49" t="s">
        <v>240</v>
      </c>
      <c r="C674" s="52" t="s">
        <v>13</v>
      </c>
      <c r="D674" s="45"/>
      <c r="E674" s="45">
        <v>0</v>
      </c>
      <c r="F674" s="36">
        <f ca="1">SUMIF(I$3:$BB673,"入库",I674:$BB674)</f>
        <v>0</v>
      </c>
      <c r="G674" s="45">
        <f ca="1">SUMIF(J$3:$BB673,"出库",J674:$BB674)</f>
        <v>0</v>
      </c>
      <c r="H674" s="37">
        <f ca="1" t="shared" si="10"/>
        <v>0</v>
      </c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</row>
    <row r="675" hidden="1" customHeight="1" spans="1:54">
      <c r="A675" s="51"/>
      <c r="B675" s="51"/>
      <c r="C675" s="45" t="s">
        <v>14</v>
      </c>
      <c r="D675" s="45"/>
      <c r="E675" s="45">
        <v>0</v>
      </c>
      <c r="F675" s="36">
        <f ca="1">SUMIF(I$3:$BB674,"入库",I675:$BB675)</f>
        <v>0</v>
      </c>
      <c r="G675" s="45">
        <f ca="1">SUMIF(J$3:$BB674,"出库",J675:$BB675)</f>
        <v>0</v>
      </c>
      <c r="H675" s="37">
        <f ca="1" t="shared" si="10"/>
        <v>0</v>
      </c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</row>
    <row r="676" hidden="1" customHeight="1" spans="1:54">
      <c r="A676" s="53"/>
      <c r="B676" s="53"/>
      <c r="C676" s="50" t="s">
        <v>12</v>
      </c>
      <c r="D676" s="45"/>
      <c r="E676" s="45">
        <v>0</v>
      </c>
      <c r="F676" s="36">
        <f ca="1">SUMIF(I$3:$BB675,"入库",I676:$BB676)</f>
        <v>400</v>
      </c>
      <c r="G676" s="45">
        <f ca="1">SUMIF(J$3:$BB675,"出库",J676:$BB676)</f>
        <v>0</v>
      </c>
      <c r="H676" s="37">
        <f ca="1" t="shared" si="10"/>
        <v>400</v>
      </c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>
        <v>400</v>
      </c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</row>
    <row r="677" hidden="1" customHeight="1" spans="1:54">
      <c r="A677" s="49">
        <f>ROW()-4</f>
        <v>673</v>
      </c>
      <c r="B677" s="49" t="s">
        <v>241</v>
      </c>
      <c r="C677" s="52" t="s">
        <v>13</v>
      </c>
      <c r="D677" s="45"/>
      <c r="E677" s="45">
        <v>0</v>
      </c>
      <c r="F677" s="36">
        <f ca="1">SUMIF(I$3:$BB676,"入库",I677:$BB677)</f>
        <v>0</v>
      </c>
      <c r="G677" s="45">
        <f ca="1">SUMIF(J$3:$BB676,"出库",J677:$BB677)</f>
        <v>0</v>
      </c>
      <c r="H677" s="37">
        <f ca="1" t="shared" si="10"/>
        <v>0</v>
      </c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</row>
    <row r="678" hidden="1" customHeight="1" spans="1:54">
      <c r="A678" s="51"/>
      <c r="B678" s="51"/>
      <c r="C678" s="45" t="s">
        <v>14</v>
      </c>
      <c r="D678" s="45"/>
      <c r="E678" s="45">
        <v>0</v>
      </c>
      <c r="F678" s="36">
        <f ca="1">SUMIF(I$3:$BB677,"入库",I678:$BB678)</f>
        <v>0</v>
      </c>
      <c r="G678" s="45">
        <f ca="1">SUMIF(J$3:$BB677,"出库",J678:$BB678)</f>
        <v>0</v>
      </c>
      <c r="H678" s="37">
        <f ca="1" t="shared" si="10"/>
        <v>0</v>
      </c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</row>
    <row r="679" hidden="1" customHeight="1" spans="1:54">
      <c r="A679" s="53"/>
      <c r="B679" s="53"/>
      <c r="C679" s="50" t="s">
        <v>12</v>
      </c>
      <c r="D679" s="45"/>
      <c r="E679" s="45">
        <v>0</v>
      </c>
      <c r="F679" s="36">
        <f ca="1">SUMIF(I$3:$BB678,"入库",I679:$BB679)</f>
        <v>170</v>
      </c>
      <c r="G679" s="45">
        <f ca="1">SUMIF(J$3:$BB678,"出库",J679:$BB679)</f>
        <v>120</v>
      </c>
      <c r="H679" s="37">
        <f ca="1" t="shared" si="10"/>
        <v>50</v>
      </c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>
        <v>170</v>
      </c>
      <c r="AB679" s="45">
        <v>10</v>
      </c>
      <c r="AC679" s="45"/>
      <c r="AD679" s="45"/>
      <c r="AE679" s="45"/>
      <c r="AF679" s="45"/>
      <c r="AG679" s="45"/>
      <c r="AH679" s="45">
        <v>110</v>
      </c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</row>
    <row r="680" hidden="1" customHeight="1" spans="1:54">
      <c r="A680" s="49">
        <f>ROW()-4</f>
        <v>676</v>
      </c>
      <c r="B680" s="49" t="s">
        <v>242</v>
      </c>
      <c r="C680" s="52" t="s">
        <v>13</v>
      </c>
      <c r="D680" s="45"/>
      <c r="E680" s="45">
        <v>0</v>
      </c>
      <c r="F680" s="36">
        <f ca="1">SUMIF(I$3:$BB679,"入库",I680:$BB680)</f>
        <v>1450</v>
      </c>
      <c r="G680" s="45">
        <f ca="1">SUMIF(J$3:$BB679,"出库",J680:$BB680)</f>
        <v>0</v>
      </c>
      <c r="H680" s="37">
        <f ca="1" t="shared" si="10"/>
        <v>1450</v>
      </c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>
        <v>1450</v>
      </c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</row>
    <row r="681" hidden="1" customHeight="1" spans="1:54">
      <c r="A681" s="51"/>
      <c r="B681" s="51"/>
      <c r="C681" s="45" t="s">
        <v>14</v>
      </c>
      <c r="D681" s="45"/>
      <c r="E681" s="45">
        <v>0</v>
      </c>
      <c r="F681" s="36">
        <f ca="1">SUMIF(I$3:$BB680,"入库",I681:$BB681)</f>
        <v>20</v>
      </c>
      <c r="G681" s="45">
        <f ca="1">SUMIF(J$3:$BB680,"出库",J681:$BB681)</f>
        <v>0</v>
      </c>
      <c r="H681" s="37">
        <f ca="1" t="shared" si="10"/>
        <v>20</v>
      </c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>
        <v>20</v>
      </c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</row>
    <row r="682" hidden="1" customHeight="1" spans="1:54">
      <c r="A682" s="53"/>
      <c r="B682" s="53"/>
      <c r="C682" s="50" t="s">
        <v>12</v>
      </c>
      <c r="D682" s="45"/>
      <c r="E682" s="45">
        <v>0</v>
      </c>
      <c r="F682" s="36">
        <f ca="1">SUMIF(I$3:$BB681,"入库",I682:$BB682)</f>
        <v>50</v>
      </c>
      <c r="G682" s="45">
        <f ca="1">SUMIF(J$3:$BB681,"出库",J682:$BB682)</f>
        <v>0</v>
      </c>
      <c r="H682" s="37">
        <f ca="1" t="shared" si="10"/>
        <v>50</v>
      </c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>
        <v>50</v>
      </c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</row>
    <row r="683" hidden="1" customHeight="1" spans="1:54">
      <c r="A683" s="49">
        <f>ROW()-4</f>
        <v>679</v>
      </c>
      <c r="B683" s="49" t="s">
        <v>243</v>
      </c>
      <c r="C683" s="52" t="s">
        <v>13</v>
      </c>
      <c r="D683" s="45"/>
      <c r="E683" s="45">
        <v>0</v>
      </c>
      <c r="F683" s="36">
        <f ca="1">SUMIF(I$3:$BB682,"入库",I683:$BB683)</f>
        <v>270</v>
      </c>
      <c r="G683" s="45">
        <f ca="1">SUMIF(J$3:$BB682,"出库",J683:$BB683)</f>
        <v>0</v>
      </c>
      <c r="H683" s="37">
        <f ca="1" t="shared" si="10"/>
        <v>270</v>
      </c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>
        <v>270</v>
      </c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</row>
    <row r="684" hidden="1" customHeight="1" spans="1:54">
      <c r="A684" s="51"/>
      <c r="B684" s="51"/>
      <c r="C684" s="45" t="s">
        <v>14</v>
      </c>
      <c r="D684" s="45"/>
      <c r="E684" s="45">
        <v>0</v>
      </c>
      <c r="F684" s="36">
        <f ca="1">SUMIF(I$3:$BB683,"入库",I684:$BB684)</f>
        <v>100</v>
      </c>
      <c r="G684" s="45">
        <f ca="1">SUMIF(J$3:$BB683,"出库",J684:$BB684)</f>
        <v>0</v>
      </c>
      <c r="H684" s="37">
        <f ca="1" t="shared" si="10"/>
        <v>100</v>
      </c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>
        <v>100</v>
      </c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</row>
    <row r="685" hidden="1" customHeight="1" spans="1:54">
      <c r="A685" s="53"/>
      <c r="B685" s="53"/>
      <c r="C685" s="50" t="s">
        <v>12</v>
      </c>
      <c r="D685" s="45"/>
      <c r="E685" s="45">
        <v>0</v>
      </c>
      <c r="F685" s="36">
        <f ca="1">SUMIF(I$3:$BB684,"入库",I685:$BB685)</f>
        <v>2200</v>
      </c>
      <c r="G685" s="45">
        <f ca="1">SUMIF(J$3:$BB684,"出库",J685:$BB685)</f>
        <v>0</v>
      </c>
      <c r="H685" s="37">
        <f ca="1" t="shared" si="10"/>
        <v>2200</v>
      </c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>
        <v>2200</v>
      </c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</row>
    <row r="686" hidden="1" customHeight="1" spans="1:54">
      <c r="A686" s="49">
        <f>ROW()-4</f>
        <v>682</v>
      </c>
      <c r="B686" s="49" t="s">
        <v>244</v>
      </c>
      <c r="C686" s="52" t="s">
        <v>13</v>
      </c>
      <c r="D686" s="45"/>
      <c r="E686" s="45">
        <v>0</v>
      </c>
      <c r="F686" s="36">
        <f ca="1">SUMIF(I$3:$BB685,"入库",I686:$BB686)</f>
        <v>950</v>
      </c>
      <c r="G686" s="45">
        <f ca="1">SUMIF(J$3:$BB685,"出库",J686:$BB686)</f>
        <v>18</v>
      </c>
      <c r="H686" s="37">
        <f ca="1" t="shared" si="10"/>
        <v>932</v>
      </c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>
        <v>950</v>
      </c>
      <c r="AH686" s="45"/>
      <c r="AI686" s="45"/>
      <c r="AJ686" s="45">
        <v>18</v>
      </c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</row>
    <row r="687" hidden="1" customHeight="1" spans="1:54">
      <c r="A687" s="51"/>
      <c r="B687" s="51"/>
      <c r="C687" s="45" t="s">
        <v>14</v>
      </c>
      <c r="D687" s="45"/>
      <c r="E687" s="45">
        <v>0</v>
      </c>
      <c r="F687" s="36">
        <f ca="1">SUMIF(I$3:$BB686,"入库",I687:$BB687)</f>
        <v>470</v>
      </c>
      <c r="G687" s="45">
        <f ca="1">SUMIF(J$3:$BB686,"出库",J687:$BB687)</f>
        <v>0</v>
      </c>
      <c r="H687" s="37">
        <f ca="1" t="shared" si="10"/>
        <v>470</v>
      </c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>
        <v>470</v>
      </c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</row>
    <row r="688" hidden="1" customHeight="1" spans="1:54">
      <c r="A688" s="53"/>
      <c r="B688" s="53"/>
      <c r="C688" s="50" t="s">
        <v>12</v>
      </c>
      <c r="D688" s="45"/>
      <c r="E688" s="45">
        <v>0</v>
      </c>
      <c r="F688" s="36">
        <f ca="1">SUMIF(I$3:$BB687,"入库",I688:$BB688)</f>
        <v>760</v>
      </c>
      <c r="G688" s="45">
        <f ca="1">SUMIF(J$3:$BB687,"出库",J688:$BB688)</f>
        <v>0</v>
      </c>
      <c r="H688" s="37">
        <f ca="1" t="shared" si="10"/>
        <v>760</v>
      </c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>
        <v>760</v>
      </c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</row>
    <row r="689" hidden="1" customHeight="1" spans="1:54">
      <c r="A689" s="49">
        <f>ROW()-4</f>
        <v>685</v>
      </c>
      <c r="B689" s="49" t="s">
        <v>245</v>
      </c>
      <c r="C689" s="52" t="s">
        <v>13</v>
      </c>
      <c r="D689" s="45"/>
      <c r="E689" s="45">
        <v>0</v>
      </c>
      <c r="F689" s="36">
        <f ca="1">SUMIF(I$3:$BB688,"入库",I689:$BB689)</f>
        <v>10</v>
      </c>
      <c r="G689" s="45">
        <f ca="1">SUMIF(J$3:$BB688,"出库",J689:$BB689)</f>
        <v>0</v>
      </c>
      <c r="H689" s="37">
        <f ca="1" t="shared" si="10"/>
        <v>10</v>
      </c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>
        <v>10</v>
      </c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</row>
    <row r="690" hidden="1" customHeight="1" spans="1:54">
      <c r="A690" s="51"/>
      <c r="B690" s="51"/>
      <c r="C690" s="45" t="s">
        <v>14</v>
      </c>
      <c r="D690" s="45"/>
      <c r="E690" s="45">
        <v>0</v>
      </c>
      <c r="F690" s="36">
        <f ca="1">SUMIF(I$3:$BB689,"入库",I690:$BB690)</f>
        <v>50</v>
      </c>
      <c r="G690" s="45">
        <f ca="1">SUMIF(J$3:$BB689,"出库",J690:$BB690)</f>
        <v>0</v>
      </c>
      <c r="H690" s="37">
        <f ca="1" t="shared" si="10"/>
        <v>50</v>
      </c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>
        <v>50</v>
      </c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</row>
    <row r="691" hidden="1" customHeight="1" spans="1:54">
      <c r="A691" s="53"/>
      <c r="B691" s="53"/>
      <c r="C691" s="50" t="s">
        <v>12</v>
      </c>
      <c r="D691" s="45"/>
      <c r="E691" s="45">
        <v>0</v>
      </c>
      <c r="F691" s="36">
        <f ca="1">SUMIF(I$3:$BB690,"入库",I691:$BB691)</f>
        <v>900</v>
      </c>
      <c r="G691" s="45">
        <f ca="1">SUMIF(J$3:$BB690,"出库",J691:$BB691)</f>
        <v>0</v>
      </c>
      <c r="H691" s="37">
        <f ca="1" t="shared" si="10"/>
        <v>900</v>
      </c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>
        <v>900</v>
      </c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</row>
    <row r="692" hidden="1" customHeight="1" spans="1:54">
      <c r="A692" s="49">
        <f>ROW()-4</f>
        <v>688</v>
      </c>
      <c r="B692" s="49" t="s">
        <v>246</v>
      </c>
      <c r="C692" s="52" t="s">
        <v>13</v>
      </c>
      <c r="D692" s="45"/>
      <c r="E692" s="45">
        <v>0</v>
      </c>
      <c r="F692" s="36">
        <f ca="1">SUMIF(I$3:$BB691,"入库",I692:$BB692)</f>
        <v>50</v>
      </c>
      <c r="G692" s="45">
        <f ca="1">SUMIF(J$3:$BB691,"出库",J692:$BB692)</f>
        <v>0</v>
      </c>
      <c r="H692" s="37">
        <f ca="1" t="shared" si="10"/>
        <v>50</v>
      </c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>
        <v>50</v>
      </c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</row>
    <row r="693" hidden="1" customHeight="1" spans="1:54">
      <c r="A693" s="51"/>
      <c r="B693" s="51"/>
      <c r="C693" s="45" t="s">
        <v>14</v>
      </c>
      <c r="D693" s="45"/>
      <c r="E693" s="45">
        <v>0</v>
      </c>
      <c r="F693" s="36">
        <f ca="1">SUMIF(I$3:$BB692,"入库",I693:$BB693)</f>
        <v>40</v>
      </c>
      <c r="G693" s="45">
        <f ca="1">SUMIF(J$3:$BB692,"出库",J693:$BB693)</f>
        <v>0</v>
      </c>
      <c r="H693" s="37">
        <f ca="1" t="shared" si="10"/>
        <v>40</v>
      </c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>
        <v>40</v>
      </c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</row>
    <row r="694" hidden="1" customHeight="1" spans="1:54">
      <c r="A694" s="53"/>
      <c r="B694" s="53"/>
      <c r="C694" s="50" t="s">
        <v>12</v>
      </c>
      <c r="D694" s="45"/>
      <c r="E694" s="45">
        <v>0</v>
      </c>
      <c r="F694" s="36">
        <f ca="1">SUMIF(I$3:$BB693,"入库",I694:$BB694)</f>
        <v>750</v>
      </c>
      <c r="G694" s="45">
        <f ca="1">SUMIF(J$3:$BB693,"出库",J694:$BB694)</f>
        <v>50</v>
      </c>
      <c r="H694" s="37">
        <f ca="1" t="shared" si="10"/>
        <v>700</v>
      </c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>
        <v>750</v>
      </c>
      <c r="AD694" s="45"/>
      <c r="AE694" s="45"/>
      <c r="AF694" s="45"/>
      <c r="AG694" s="45"/>
      <c r="AH694" s="45">
        <v>50</v>
      </c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</row>
    <row r="695" hidden="1" customHeight="1" spans="1:54">
      <c r="A695" s="49">
        <f>ROW()-4</f>
        <v>691</v>
      </c>
      <c r="B695" s="49" t="s">
        <v>247</v>
      </c>
      <c r="C695" s="52" t="s">
        <v>13</v>
      </c>
      <c r="D695" s="45"/>
      <c r="E695" s="45">
        <v>0</v>
      </c>
      <c r="F695" s="36">
        <f ca="1">SUMIF(I$3:$BB694,"入库",I695:$BB695)</f>
        <v>5</v>
      </c>
      <c r="G695" s="45">
        <f ca="1">SUMIF(J$3:$BB694,"出库",J695:$BB695)</f>
        <v>0</v>
      </c>
      <c r="H695" s="37">
        <f ca="1" t="shared" si="10"/>
        <v>5</v>
      </c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>
        <v>5</v>
      </c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</row>
    <row r="696" hidden="1" customHeight="1" spans="1:54">
      <c r="A696" s="51"/>
      <c r="B696" s="51"/>
      <c r="C696" s="45" t="s">
        <v>14</v>
      </c>
      <c r="D696" s="45"/>
      <c r="E696" s="45">
        <v>0</v>
      </c>
      <c r="F696" s="36">
        <f ca="1">SUMIF(I$3:$BB695,"入库",I696:$BB696)</f>
        <v>400</v>
      </c>
      <c r="G696" s="45">
        <f ca="1">SUMIF(J$3:$BB695,"出库",J696:$BB696)</f>
        <v>0</v>
      </c>
      <c r="H696" s="37">
        <f ca="1" t="shared" si="10"/>
        <v>400</v>
      </c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>
        <v>400</v>
      </c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</row>
    <row r="697" hidden="1" customHeight="1" spans="1:54">
      <c r="A697" s="53"/>
      <c r="B697" s="53"/>
      <c r="C697" s="50" t="s">
        <v>12</v>
      </c>
      <c r="D697" s="45"/>
      <c r="E697" s="45">
        <v>0</v>
      </c>
      <c r="F697" s="36">
        <f ca="1">SUMIF(I$3:$BB696,"入库",I697:$BB697)</f>
        <v>1400</v>
      </c>
      <c r="G697" s="45">
        <f ca="1">SUMIF(J$3:$BB696,"出库",J697:$BB697)</f>
        <v>10</v>
      </c>
      <c r="H697" s="37">
        <f ca="1" t="shared" si="10"/>
        <v>1390</v>
      </c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>
        <v>1400</v>
      </c>
      <c r="AD697" s="45"/>
      <c r="AE697" s="45"/>
      <c r="AF697" s="45"/>
      <c r="AG697" s="45"/>
      <c r="AH697" s="45">
        <v>10</v>
      </c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</row>
    <row r="698" hidden="1" customHeight="1" spans="1:54">
      <c r="A698" s="49">
        <f>ROW()-4</f>
        <v>694</v>
      </c>
      <c r="B698" s="49" t="s">
        <v>248</v>
      </c>
      <c r="C698" s="52" t="s">
        <v>13</v>
      </c>
      <c r="D698" s="45"/>
      <c r="E698" s="45">
        <v>0</v>
      </c>
      <c r="F698" s="36">
        <f ca="1">SUMIF(I$3:$BB697,"入库",I698:$BB698)</f>
        <v>350</v>
      </c>
      <c r="G698" s="45">
        <f ca="1">SUMIF(J$3:$BB697,"出库",J698:$BB698)</f>
        <v>0</v>
      </c>
      <c r="H698" s="37">
        <f ca="1" t="shared" si="10"/>
        <v>350</v>
      </c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>
        <v>350</v>
      </c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</row>
    <row r="699" hidden="1" customHeight="1" spans="1:54">
      <c r="A699" s="51"/>
      <c r="B699" s="51"/>
      <c r="C699" s="45" t="s">
        <v>14</v>
      </c>
      <c r="D699" s="45"/>
      <c r="E699" s="45">
        <v>0</v>
      </c>
      <c r="F699" s="36">
        <f ca="1">SUMIF(I$3:$BB698,"入库",I699:$BB699)</f>
        <v>10</v>
      </c>
      <c r="G699" s="45">
        <f ca="1">SUMIF(J$3:$BB698,"出库",J699:$BB699)</f>
        <v>0</v>
      </c>
      <c r="H699" s="37">
        <f ca="1" t="shared" si="10"/>
        <v>10</v>
      </c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>
        <v>10</v>
      </c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</row>
    <row r="700" hidden="1" customHeight="1" spans="1:54">
      <c r="A700" s="53"/>
      <c r="B700" s="53"/>
      <c r="C700" s="50" t="s">
        <v>12</v>
      </c>
      <c r="D700" s="45"/>
      <c r="E700" s="45">
        <v>0</v>
      </c>
      <c r="F700" s="36">
        <f ca="1">SUMIF(I$3:$BB699,"入库",I700:$BB700)</f>
        <v>600</v>
      </c>
      <c r="G700" s="45">
        <f ca="1">SUMIF(J$3:$BB699,"出库",J700:$BB700)</f>
        <v>0</v>
      </c>
      <c r="H700" s="37">
        <f ca="1" t="shared" si="10"/>
        <v>600</v>
      </c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>
        <v>600</v>
      </c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</row>
    <row r="701" hidden="1" customHeight="1" spans="1:54">
      <c r="A701" s="49">
        <f>ROW()-4</f>
        <v>697</v>
      </c>
      <c r="B701" s="49" t="s">
        <v>249</v>
      </c>
      <c r="C701" s="52" t="s">
        <v>13</v>
      </c>
      <c r="D701" s="45"/>
      <c r="E701" s="45">
        <v>0</v>
      </c>
      <c r="F701" s="36">
        <f ca="1">SUMIF(I$3:$BB700,"入库",I701:$BB701)</f>
        <v>250</v>
      </c>
      <c r="G701" s="45">
        <f ca="1">SUMIF(J$3:$BB700,"出库",J701:$BB701)</f>
        <v>0</v>
      </c>
      <c r="H701" s="37">
        <f ca="1" t="shared" si="10"/>
        <v>250</v>
      </c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>
        <v>250</v>
      </c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</row>
    <row r="702" hidden="1" customHeight="1" spans="1:54">
      <c r="A702" s="51"/>
      <c r="B702" s="51"/>
      <c r="C702" s="45" t="s">
        <v>14</v>
      </c>
      <c r="D702" s="45"/>
      <c r="E702" s="45">
        <v>0</v>
      </c>
      <c r="F702" s="36">
        <f ca="1">SUMIF(I$3:$BB701,"入库",I702:$BB702)</f>
        <v>10</v>
      </c>
      <c r="G702" s="45">
        <f ca="1">SUMIF(J$3:$BB701,"出库",J702:$BB702)</f>
        <v>0</v>
      </c>
      <c r="H702" s="37">
        <f ca="1" t="shared" si="10"/>
        <v>10</v>
      </c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>
        <v>10</v>
      </c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</row>
    <row r="703" hidden="1" customHeight="1" spans="1:54">
      <c r="A703" s="53"/>
      <c r="B703" s="53"/>
      <c r="C703" s="50" t="s">
        <v>12</v>
      </c>
      <c r="D703" s="45"/>
      <c r="E703" s="45">
        <v>0</v>
      </c>
      <c r="F703" s="36">
        <f ca="1">SUMIF(I$3:$BB702,"入库",I703:$BB703)</f>
        <v>60</v>
      </c>
      <c r="G703" s="45">
        <f ca="1">SUMIF(J$3:$BB702,"出库",J703:$BB703)</f>
        <v>20</v>
      </c>
      <c r="H703" s="37">
        <f ca="1" t="shared" si="10"/>
        <v>40</v>
      </c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>
        <v>60</v>
      </c>
      <c r="AB703" s="45"/>
      <c r="AC703" s="45"/>
      <c r="AD703" s="45"/>
      <c r="AE703" s="45"/>
      <c r="AF703" s="45"/>
      <c r="AG703" s="45"/>
      <c r="AH703" s="45">
        <v>20</v>
      </c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</row>
    <row r="704" hidden="1" customHeight="1" spans="1:54">
      <c r="A704" s="49">
        <f>ROW()-4</f>
        <v>700</v>
      </c>
      <c r="B704" s="49" t="s">
        <v>250</v>
      </c>
      <c r="C704" s="52" t="s">
        <v>13</v>
      </c>
      <c r="D704" s="45"/>
      <c r="E704" s="45">
        <v>0</v>
      </c>
      <c r="F704" s="36">
        <f ca="1">SUMIF(I$3:$BB703,"入库",I704:$BB704)</f>
        <v>0</v>
      </c>
      <c r="G704" s="45">
        <f ca="1">SUMIF(J$3:$BB703,"出库",J704:$BB704)</f>
        <v>0</v>
      </c>
      <c r="H704" s="37">
        <f ca="1" t="shared" si="10"/>
        <v>0</v>
      </c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</row>
    <row r="705" hidden="1" customHeight="1" spans="1:54">
      <c r="A705" s="51"/>
      <c r="B705" s="51"/>
      <c r="C705" s="45" t="s">
        <v>14</v>
      </c>
      <c r="D705" s="45"/>
      <c r="E705" s="45">
        <v>0</v>
      </c>
      <c r="F705" s="36">
        <f ca="1">SUMIF(I$3:$BB704,"入库",I705:$BB705)</f>
        <v>20</v>
      </c>
      <c r="G705" s="45">
        <f ca="1">SUMIF(J$3:$BB704,"出库",J705:$BB705)</f>
        <v>0</v>
      </c>
      <c r="H705" s="37">
        <f ca="1" t="shared" si="10"/>
        <v>20</v>
      </c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>
        <v>20</v>
      </c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</row>
    <row r="706" hidden="1" customHeight="1" spans="1:54">
      <c r="A706" s="53"/>
      <c r="B706" s="53"/>
      <c r="C706" s="50" t="s">
        <v>12</v>
      </c>
      <c r="D706" s="45"/>
      <c r="E706" s="45">
        <v>0</v>
      </c>
      <c r="F706" s="36">
        <f ca="1">SUMIF(I$3:$BB705,"入库",I706:$BB706)</f>
        <v>600</v>
      </c>
      <c r="G706" s="45">
        <f ca="1">SUMIF(J$3:$BB705,"出库",J706:$BB706)</f>
        <v>147</v>
      </c>
      <c r="H706" s="37">
        <f ca="1" t="shared" si="10"/>
        <v>453</v>
      </c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>
        <v>600</v>
      </c>
      <c r="AB706" s="45">
        <v>147</v>
      </c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</row>
    <row r="707" hidden="1" customHeight="1" spans="1:54">
      <c r="A707" s="49">
        <f>ROW()-4</f>
        <v>703</v>
      </c>
      <c r="B707" s="49" t="s">
        <v>251</v>
      </c>
      <c r="C707" s="52" t="s">
        <v>13</v>
      </c>
      <c r="D707" s="45"/>
      <c r="E707" s="45">
        <v>0</v>
      </c>
      <c r="F707" s="36">
        <f ca="1">SUMIF(I$3:$BB706,"入库",I707:$BB707)</f>
        <v>5</v>
      </c>
      <c r="G707" s="45">
        <f ca="1">SUMIF(J$3:$BB706,"出库",J707:$BB707)</f>
        <v>0</v>
      </c>
      <c r="H707" s="37">
        <f ca="1" t="shared" si="10"/>
        <v>5</v>
      </c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>
        <v>5</v>
      </c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</row>
    <row r="708" hidden="1" customHeight="1" spans="1:54">
      <c r="A708" s="51"/>
      <c r="B708" s="51"/>
      <c r="C708" s="45" t="s">
        <v>14</v>
      </c>
      <c r="D708" s="45"/>
      <c r="E708" s="45">
        <v>0</v>
      </c>
      <c r="F708" s="36">
        <f ca="1">SUMIF(I$3:$BB707,"入库",I708:$BB708)</f>
        <v>50</v>
      </c>
      <c r="G708" s="45">
        <f ca="1">SUMIF(J$3:$BB707,"出库",J708:$BB708)</f>
        <v>0</v>
      </c>
      <c r="H708" s="37">
        <f ca="1" t="shared" si="10"/>
        <v>50</v>
      </c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>
        <v>50</v>
      </c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</row>
    <row r="709" hidden="1" customHeight="1" spans="1:54">
      <c r="A709" s="53"/>
      <c r="B709" s="53"/>
      <c r="C709" s="50" t="s">
        <v>12</v>
      </c>
      <c r="D709" s="45"/>
      <c r="E709" s="45">
        <v>0</v>
      </c>
      <c r="F709" s="36">
        <f ca="1">SUMIF(I$3:$BB708,"入库",I709:$BB709)</f>
        <v>150</v>
      </c>
      <c r="G709" s="45">
        <f ca="1">SUMIF(J$3:$BB708,"出库",J709:$BB709)</f>
        <v>0</v>
      </c>
      <c r="H709" s="37">
        <f ca="1" t="shared" ref="H709:H772" si="11">E709+F709-G709</f>
        <v>150</v>
      </c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>
        <v>150</v>
      </c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</row>
    <row r="710" hidden="1" customHeight="1" spans="1:54">
      <c r="A710" s="49">
        <f>ROW()-4</f>
        <v>706</v>
      </c>
      <c r="B710" s="49" t="s">
        <v>252</v>
      </c>
      <c r="C710" s="52" t="s">
        <v>13</v>
      </c>
      <c r="D710" s="45"/>
      <c r="E710" s="45">
        <v>0</v>
      </c>
      <c r="F710" s="36">
        <f ca="1">SUMIF(I$3:$BB709,"入库",I710:$BB710)</f>
        <v>20</v>
      </c>
      <c r="G710" s="45">
        <f ca="1">SUMIF(J$3:$BB709,"出库",J710:$BB710)</f>
        <v>0</v>
      </c>
      <c r="H710" s="37">
        <f ca="1" t="shared" si="11"/>
        <v>20</v>
      </c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>
        <v>20</v>
      </c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</row>
    <row r="711" hidden="1" customHeight="1" spans="1:54">
      <c r="A711" s="51"/>
      <c r="B711" s="51"/>
      <c r="C711" s="45" t="s">
        <v>14</v>
      </c>
      <c r="D711" s="45"/>
      <c r="E711" s="45">
        <v>0</v>
      </c>
      <c r="F711" s="36">
        <f ca="1">SUMIF(I$3:$BB710,"入库",I711:$BB711)</f>
        <v>60</v>
      </c>
      <c r="G711" s="45">
        <f ca="1">SUMIF(J$3:$BB710,"出库",J711:$BB711)</f>
        <v>0</v>
      </c>
      <c r="H711" s="37">
        <f ca="1" t="shared" si="11"/>
        <v>60</v>
      </c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>
        <v>60</v>
      </c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</row>
    <row r="712" hidden="1" customHeight="1" spans="1:54">
      <c r="A712" s="53"/>
      <c r="B712" s="53"/>
      <c r="C712" s="50" t="s">
        <v>12</v>
      </c>
      <c r="D712" s="45"/>
      <c r="E712" s="45">
        <v>0</v>
      </c>
      <c r="F712" s="36">
        <f ca="1">SUMIF(I$3:$BB711,"入库",I712:$BB712)</f>
        <v>1340</v>
      </c>
      <c r="G712" s="45">
        <f ca="1">SUMIF(J$3:$BB711,"出库",J712:$BB712)</f>
        <v>0</v>
      </c>
      <c r="H712" s="37">
        <f ca="1" t="shared" si="11"/>
        <v>1340</v>
      </c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>
        <v>140</v>
      </c>
      <c r="AH712" s="45"/>
      <c r="AI712" s="45">
        <v>1200</v>
      </c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</row>
    <row r="713" hidden="1" customHeight="1" spans="1:54">
      <c r="A713" s="49">
        <f>ROW()-4</f>
        <v>709</v>
      </c>
      <c r="B713" s="49" t="s">
        <v>253</v>
      </c>
      <c r="C713" s="52" t="s">
        <v>13</v>
      </c>
      <c r="D713" s="45"/>
      <c r="E713" s="45">
        <v>0</v>
      </c>
      <c r="F713" s="36">
        <f ca="1">SUMIF(I$3:$BB712,"入库",I713:$BB713)</f>
        <v>50</v>
      </c>
      <c r="G713" s="45">
        <f ca="1">SUMIF(J$3:$BB712,"出库",J713:$BB713)</f>
        <v>0</v>
      </c>
      <c r="H713" s="37">
        <f ca="1" t="shared" si="11"/>
        <v>50</v>
      </c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>
        <v>50</v>
      </c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</row>
    <row r="714" hidden="1" customHeight="1" spans="1:54">
      <c r="A714" s="51"/>
      <c r="B714" s="51"/>
      <c r="C714" s="45" t="s">
        <v>14</v>
      </c>
      <c r="D714" s="45"/>
      <c r="E714" s="45">
        <v>0</v>
      </c>
      <c r="F714" s="36">
        <f ca="1">SUMIF(I$3:$BB713,"入库",I714:$BB714)</f>
        <v>40</v>
      </c>
      <c r="G714" s="45">
        <f ca="1">SUMIF(J$3:$BB713,"出库",J714:$BB714)</f>
        <v>0</v>
      </c>
      <c r="H714" s="37">
        <f ca="1" t="shared" si="11"/>
        <v>40</v>
      </c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>
        <v>40</v>
      </c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</row>
    <row r="715" hidden="1" customHeight="1" spans="1:54">
      <c r="A715" s="53"/>
      <c r="B715" s="53"/>
      <c r="C715" s="50" t="s">
        <v>12</v>
      </c>
      <c r="D715" s="45"/>
      <c r="E715" s="45">
        <v>0</v>
      </c>
      <c r="F715" s="36">
        <f ca="1">SUMIF(I$3:$BB714,"入库",I715:$BB715)</f>
        <v>1600</v>
      </c>
      <c r="G715" s="45">
        <f ca="1">SUMIF(J$3:$BB714,"出库",J715:$BB715)</f>
        <v>0</v>
      </c>
      <c r="H715" s="37">
        <f ca="1" t="shared" si="11"/>
        <v>1600</v>
      </c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>
        <v>1600</v>
      </c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</row>
    <row r="716" hidden="1" customHeight="1" spans="1:54">
      <c r="A716" s="49">
        <f>ROW()-4</f>
        <v>712</v>
      </c>
      <c r="B716" s="49" t="s">
        <v>254</v>
      </c>
      <c r="C716" s="52" t="s">
        <v>13</v>
      </c>
      <c r="D716" s="45"/>
      <c r="E716" s="45">
        <v>0</v>
      </c>
      <c r="F716" s="36">
        <f ca="1">SUMIF(I$3:$BB715,"入库",I716:$BB716)</f>
        <v>60</v>
      </c>
      <c r="G716" s="45">
        <f ca="1">SUMIF(J$3:$BB715,"出库",J716:$BB716)</f>
        <v>0</v>
      </c>
      <c r="H716" s="37">
        <f ca="1" t="shared" si="11"/>
        <v>60</v>
      </c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>
        <v>60</v>
      </c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</row>
    <row r="717" hidden="1" customHeight="1" spans="1:54">
      <c r="A717" s="51"/>
      <c r="B717" s="51"/>
      <c r="C717" s="45" t="s">
        <v>14</v>
      </c>
      <c r="D717" s="45"/>
      <c r="E717" s="45">
        <v>0</v>
      </c>
      <c r="F717" s="36">
        <f ca="1">SUMIF(I$3:$BB716,"入库",I717:$BB717)</f>
        <v>30</v>
      </c>
      <c r="G717" s="45">
        <f ca="1">SUMIF(J$3:$BB716,"出库",J717:$BB717)</f>
        <v>0</v>
      </c>
      <c r="H717" s="37">
        <f ca="1" t="shared" si="11"/>
        <v>30</v>
      </c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>
        <v>30</v>
      </c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</row>
    <row r="718" hidden="1" customHeight="1" spans="1:54">
      <c r="A718" s="53"/>
      <c r="B718" s="53"/>
      <c r="C718" s="50" t="s">
        <v>12</v>
      </c>
      <c r="D718" s="45"/>
      <c r="E718" s="45">
        <v>0</v>
      </c>
      <c r="F718" s="36">
        <f ca="1">SUMIF(I$3:$BB717,"入库",I718:$BB718)</f>
        <v>800</v>
      </c>
      <c r="G718" s="45">
        <f ca="1">SUMIF(J$3:$BB717,"出库",J718:$BB718)</f>
        <v>0</v>
      </c>
      <c r="H718" s="37">
        <f ca="1" t="shared" si="11"/>
        <v>800</v>
      </c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>
        <v>800</v>
      </c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</row>
    <row r="719" hidden="1" customHeight="1" spans="1:54">
      <c r="A719" s="49">
        <f>ROW()-4</f>
        <v>715</v>
      </c>
      <c r="B719" s="49" t="s">
        <v>255</v>
      </c>
      <c r="C719" s="52" t="s">
        <v>13</v>
      </c>
      <c r="D719" s="45"/>
      <c r="E719" s="45">
        <v>0</v>
      </c>
      <c r="F719" s="36">
        <f ca="1">SUMIF(I$3:$BB718,"入库",I719:$BB719)</f>
        <v>60</v>
      </c>
      <c r="G719" s="45">
        <f ca="1">SUMIF(J$3:$BB718,"出库",J719:$BB719)</f>
        <v>0</v>
      </c>
      <c r="H719" s="37">
        <f ca="1" t="shared" si="11"/>
        <v>60</v>
      </c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>
        <v>60</v>
      </c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</row>
    <row r="720" hidden="1" customHeight="1" spans="1:54">
      <c r="A720" s="51"/>
      <c r="B720" s="51"/>
      <c r="C720" s="45" t="s">
        <v>14</v>
      </c>
      <c r="D720" s="45"/>
      <c r="E720" s="45">
        <v>0</v>
      </c>
      <c r="F720" s="36">
        <f ca="1">SUMIF(I$3:$BB719,"入库",I720:$BB720)</f>
        <v>0</v>
      </c>
      <c r="G720" s="45">
        <f ca="1">SUMIF(J$3:$BB719,"出库",J720:$BB720)</f>
        <v>0</v>
      </c>
      <c r="H720" s="37">
        <f ca="1" t="shared" si="11"/>
        <v>0</v>
      </c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</row>
    <row r="721" hidden="1" customHeight="1" spans="1:54">
      <c r="A721" s="53"/>
      <c r="B721" s="53"/>
      <c r="C721" s="50" t="s">
        <v>12</v>
      </c>
      <c r="D721" s="45"/>
      <c r="E721" s="45">
        <v>0</v>
      </c>
      <c r="F721" s="36">
        <f ca="1">SUMIF(I$3:$BB720,"入库",I721:$BB721)</f>
        <v>750</v>
      </c>
      <c r="G721" s="45">
        <f ca="1">SUMIF(J$3:$BB720,"出库",J721:$BB721)</f>
        <v>0</v>
      </c>
      <c r="H721" s="37">
        <f ca="1" t="shared" si="11"/>
        <v>750</v>
      </c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>
        <v>750</v>
      </c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</row>
    <row r="722" hidden="1" customHeight="1" spans="1:54">
      <c r="A722" s="49">
        <f>ROW()-4</f>
        <v>718</v>
      </c>
      <c r="B722" s="49" t="s">
        <v>256</v>
      </c>
      <c r="C722" s="52" t="s">
        <v>13</v>
      </c>
      <c r="D722" s="45"/>
      <c r="E722" s="45">
        <v>0</v>
      </c>
      <c r="F722" s="36">
        <f ca="1">SUMIF(I$3:$BB721,"入库",I722:$BB722)</f>
        <v>0</v>
      </c>
      <c r="G722" s="45">
        <f ca="1">SUMIF(J$3:$BB721,"出库",J722:$BB722)</f>
        <v>0</v>
      </c>
      <c r="H722" s="37">
        <f ca="1" t="shared" si="11"/>
        <v>0</v>
      </c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</row>
    <row r="723" hidden="1" customHeight="1" spans="1:54">
      <c r="A723" s="51"/>
      <c r="B723" s="51"/>
      <c r="C723" s="45" t="s">
        <v>14</v>
      </c>
      <c r="D723" s="45"/>
      <c r="E723" s="45">
        <v>0</v>
      </c>
      <c r="F723" s="36">
        <f ca="1">SUMIF(I$3:$BB722,"入库",I723:$BB723)</f>
        <v>0</v>
      </c>
      <c r="G723" s="45">
        <f ca="1">SUMIF(J$3:$BB722,"出库",J723:$BB723)</f>
        <v>0</v>
      </c>
      <c r="H723" s="37">
        <f ca="1" t="shared" si="11"/>
        <v>0</v>
      </c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</row>
    <row r="724" hidden="1" customHeight="1" spans="1:54">
      <c r="A724" s="53"/>
      <c r="B724" s="53"/>
      <c r="C724" s="50" t="s">
        <v>12</v>
      </c>
      <c r="D724" s="45"/>
      <c r="E724" s="45">
        <v>0</v>
      </c>
      <c r="F724" s="36">
        <f ca="1">SUMIF(I$3:$BB723,"入库",I724:$BB724)</f>
        <v>360</v>
      </c>
      <c r="G724" s="45">
        <f ca="1">SUMIF(J$3:$BB723,"出库",J724:$BB724)</f>
        <v>0</v>
      </c>
      <c r="H724" s="37">
        <f ca="1" t="shared" si="11"/>
        <v>360</v>
      </c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>
        <v>360</v>
      </c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</row>
    <row r="725" hidden="1" customHeight="1" spans="1:54">
      <c r="A725" s="49">
        <f>ROW()-4</f>
        <v>721</v>
      </c>
      <c r="B725" s="49" t="s">
        <v>257</v>
      </c>
      <c r="C725" s="52" t="s">
        <v>13</v>
      </c>
      <c r="D725" s="45"/>
      <c r="E725" s="45">
        <v>0</v>
      </c>
      <c r="F725" s="36">
        <f ca="1">SUMIF(I$3:$BB724,"入库",I725:$BB725)</f>
        <v>100</v>
      </c>
      <c r="G725" s="45">
        <f ca="1">SUMIF(J$3:$BB724,"出库",J725:$BB725)</f>
        <v>0</v>
      </c>
      <c r="H725" s="37">
        <f ca="1" t="shared" si="11"/>
        <v>100</v>
      </c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>
        <v>100</v>
      </c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</row>
    <row r="726" hidden="1" customHeight="1" spans="1:54">
      <c r="A726" s="51"/>
      <c r="B726" s="51"/>
      <c r="C726" s="45" t="s">
        <v>14</v>
      </c>
      <c r="D726" s="45"/>
      <c r="E726" s="45">
        <v>0</v>
      </c>
      <c r="F726" s="36">
        <f ca="1">SUMIF(I$3:$BB725,"入库",I726:$BB726)</f>
        <v>0</v>
      </c>
      <c r="G726" s="45">
        <f ca="1">SUMIF(J$3:$BB725,"出库",J726:$BB726)</f>
        <v>0</v>
      </c>
      <c r="H726" s="37">
        <f ca="1" t="shared" si="11"/>
        <v>0</v>
      </c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</row>
    <row r="727" hidden="1" customHeight="1" spans="1:54">
      <c r="A727" s="53"/>
      <c r="B727" s="53"/>
      <c r="C727" s="50" t="s">
        <v>12</v>
      </c>
      <c r="D727" s="45"/>
      <c r="E727" s="45">
        <v>0</v>
      </c>
      <c r="F727" s="36">
        <f ca="1">SUMIF(I$3:$BB726,"入库",I727:$BB727)</f>
        <v>700</v>
      </c>
      <c r="G727" s="45">
        <f ca="1">SUMIF(J$3:$BB726,"出库",J727:$BB727)</f>
        <v>0</v>
      </c>
      <c r="H727" s="37">
        <f ca="1" t="shared" si="11"/>
        <v>700</v>
      </c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>
        <v>700</v>
      </c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</row>
    <row r="728" hidden="1" customHeight="1" spans="1:54">
      <c r="A728" s="49">
        <f>ROW()-4</f>
        <v>724</v>
      </c>
      <c r="B728" s="49" t="s">
        <v>258</v>
      </c>
      <c r="C728" s="52" t="s">
        <v>13</v>
      </c>
      <c r="D728" s="45"/>
      <c r="E728" s="45">
        <v>0</v>
      </c>
      <c r="F728" s="36">
        <f ca="1">SUMIF(I$3:$BB727,"入库",I728:$BB728)</f>
        <v>120</v>
      </c>
      <c r="G728" s="45">
        <f ca="1">SUMIF(J$3:$BB727,"出库",J728:$BB728)</f>
        <v>0</v>
      </c>
      <c r="H728" s="37">
        <f ca="1" t="shared" si="11"/>
        <v>120</v>
      </c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>
        <v>120</v>
      </c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</row>
    <row r="729" hidden="1" customHeight="1" spans="1:54">
      <c r="A729" s="51"/>
      <c r="B729" s="51"/>
      <c r="C729" s="45" t="s">
        <v>14</v>
      </c>
      <c r="D729" s="45"/>
      <c r="E729" s="45">
        <v>0</v>
      </c>
      <c r="F729" s="36">
        <f ca="1">SUMIF(I$3:$BB728,"入库",I729:$BB729)</f>
        <v>0</v>
      </c>
      <c r="G729" s="45">
        <f ca="1">SUMIF(J$3:$BB728,"出库",J729:$BB729)</f>
        <v>0</v>
      </c>
      <c r="H729" s="37">
        <f ca="1" t="shared" si="11"/>
        <v>0</v>
      </c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</row>
    <row r="730" hidden="1" customHeight="1" spans="1:54">
      <c r="A730" s="53"/>
      <c r="B730" s="53"/>
      <c r="C730" s="50" t="s">
        <v>12</v>
      </c>
      <c r="D730" s="45"/>
      <c r="E730" s="45">
        <v>0</v>
      </c>
      <c r="F730" s="36">
        <f ca="1">SUMIF(I$3:$BB729,"入库",I730:$BB730)</f>
        <v>970</v>
      </c>
      <c r="G730" s="45">
        <f ca="1">SUMIF(J$3:$BB729,"出库",J730:$BB730)</f>
        <v>0</v>
      </c>
      <c r="H730" s="37">
        <f ca="1" t="shared" si="11"/>
        <v>970</v>
      </c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>
        <v>970</v>
      </c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</row>
    <row r="731" hidden="1" customHeight="1" spans="1:54">
      <c r="A731" s="49">
        <f>ROW()-4</f>
        <v>727</v>
      </c>
      <c r="B731" s="49" t="s">
        <v>259</v>
      </c>
      <c r="C731" s="52" t="s">
        <v>13</v>
      </c>
      <c r="D731" s="45"/>
      <c r="E731" s="45">
        <v>0</v>
      </c>
      <c r="F731" s="36">
        <f ca="1">SUMIF(I$3:$BB730,"入库",I731:$BB731)</f>
        <v>200</v>
      </c>
      <c r="G731" s="45">
        <f ca="1">SUMIF(J$3:$BB730,"出库",J731:$BB731)</f>
        <v>0</v>
      </c>
      <c r="H731" s="37">
        <f ca="1" t="shared" si="11"/>
        <v>200</v>
      </c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>
        <v>200</v>
      </c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</row>
    <row r="732" hidden="1" customHeight="1" spans="1:54">
      <c r="A732" s="51"/>
      <c r="B732" s="51"/>
      <c r="C732" s="45" t="s">
        <v>14</v>
      </c>
      <c r="D732" s="45"/>
      <c r="E732" s="45">
        <v>0</v>
      </c>
      <c r="F732" s="36">
        <f ca="1">SUMIF(I$3:$BB731,"入库",I732:$BB732)</f>
        <v>0</v>
      </c>
      <c r="G732" s="45">
        <f ca="1">SUMIF(J$3:$BB731,"出库",J732:$BB732)</f>
        <v>0</v>
      </c>
      <c r="H732" s="37">
        <f ca="1" t="shared" si="11"/>
        <v>0</v>
      </c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</row>
    <row r="733" hidden="1" customHeight="1" spans="1:54">
      <c r="A733" s="53"/>
      <c r="B733" s="53"/>
      <c r="C733" s="50" t="s">
        <v>12</v>
      </c>
      <c r="D733" s="45"/>
      <c r="E733" s="45">
        <v>0</v>
      </c>
      <c r="F733" s="36">
        <f ca="1">SUMIF(I$3:$BB732,"入库",I733:$BB733)</f>
        <v>700</v>
      </c>
      <c r="G733" s="45">
        <f ca="1">SUMIF(J$3:$BB732,"出库",J733:$BB733)</f>
        <v>0</v>
      </c>
      <c r="H733" s="37">
        <f ca="1" t="shared" si="11"/>
        <v>700</v>
      </c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>
        <v>700</v>
      </c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</row>
    <row r="734" hidden="1" customHeight="1" spans="1:54">
      <c r="A734" s="49">
        <f>ROW()-4</f>
        <v>730</v>
      </c>
      <c r="B734" s="51" t="s">
        <v>260</v>
      </c>
      <c r="C734" s="52" t="s">
        <v>13</v>
      </c>
      <c r="D734" s="45"/>
      <c r="E734" s="45">
        <v>0</v>
      </c>
      <c r="F734" s="36">
        <f ca="1">SUMIF(I$3:$BB733,"入库",I734:$BB734)</f>
        <v>4</v>
      </c>
      <c r="G734" s="45">
        <f ca="1">SUMIF(J$3:$BB733,"出库",J734:$BB734)</f>
        <v>0</v>
      </c>
      <c r="H734" s="37">
        <f ca="1" t="shared" si="11"/>
        <v>4</v>
      </c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>
        <v>4</v>
      </c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</row>
    <row r="735" hidden="1" customHeight="1" spans="1:54">
      <c r="A735" s="51"/>
      <c r="B735" s="51"/>
      <c r="C735" s="45" t="s">
        <v>14</v>
      </c>
      <c r="D735" s="45"/>
      <c r="E735" s="45">
        <v>0</v>
      </c>
      <c r="F735" s="36">
        <f ca="1">SUMIF(I$3:$BB734,"入库",I735:$BB735)</f>
        <v>100</v>
      </c>
      <c r="G735" s="45">
        <f ca="1">SUMIF(J$3:$BB734,"出库",J735:$BB735)</f>
        <v>0</v>
      </c>
      <c r="H735" s="37">
        <f ca="1" t="shared" si="11"/>
        <v>100</v>
      </c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>
        <v>100</v>
      </c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</row>
    <row r="736" hidden="1" customHeight="1" spans="1:54">
      <c r="A736" s="53"/>
      <c r="B736" s="53"/>
      <c r="C736" s="50" t="s">
        <v>12</v>
      </c>
      <c r="D736" s="45"/>
      <c r="E736" s="45">
        <v>0</v>
      </c>
      <c r="F736" s="36">
        <f ca="1">SUMIF(I$3:$BB735,"入库",I736:$BB736)</f>
        <v>1500</v>
      </c>
      <c r="G736" s="45">
        <f ca="1">SUMIF(J$3:$BB735,"出库",J736:$BB736)</f>
        <v>0</v>
      </c>
      <c r="H736" s="37">
        <f ca="1" t="shared" si="11"/>
        <v>1500</v>
      </c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>
        <v>1500</v>
      </c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</row>
    <row r="737" hidden="1" customHeight="1" spans="1:54">
      <c r="A737" s="49">
        <f>ROW()-4</f>
        <v>733</v>
      </c>
      <c r="B737" s="51" t="s">
        <v>261</v>
      </c>
      <c r="C737" s="52" t="s">
        <v>13</v>
      </c>
      <c r="D737" s="45"/>
      <c r="E737" s="45">
        <v>0</v>
      </c>
      <c r="F737" s="36">
        <f ca="1">SUMIF(I$3:$BB736,"入库",I737:$BB737)</f>
        <v>10</v>
      </c>
      <c r="G737" s="45">
        <f ca="1">SUMIF(J$3:$BB736,"出库",J737:$BB737)</f>
        <v>0</v>
      </c>
      <c r="H737" s="37">
        <f ca="1" t="shared" si="11"/>
        <v>10</v>
      </c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>
        <v>10</v>
      </c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</row>
    <row r="738" hidden="1" customHeight="1" spans="1:54">
      <c r="A738" s="51"/>
      <c r="B738" s="51"/>
      <c r="C738" s="45" t="s">
        <v>14</v>
      </c>
      <c r="D738" s="45"/>
      <c r="E738" s="45">
        <v>0</v>
      </c>
      <c r="F738" s="36">
        <f ca="1">SUMIF(I$3:$BB737,"入库",I738:$BB738)</f>
        <v>0</v>
      </c>
      <c r="G738" s="45">
        <f ca="1">SUMIF(J$3:$BB737,"出库",J738:$BB738)</f>
        <v>0</v>
      </c>
      <c r="H738" s="37">
        <f ca="1" t="shared" si="11"/>
        <v>0</v>
      </c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</row>
    <row r="739" hidden="1" customHeight="1" spans="1:54">
      <c r="A739" s="53"/>
      <c r="B739" s="53"/>
      <c r="C739" s="50" t="s">
        <v>12</v>
      </c>
      <c r="D739" s="45"/>
      <c r="E739" s="45">
        <v>0</v>
      </c>
      <c r="F739" s="36">
        <f ca="1">SUMIF(I$3:$BB738,"入库",I739:$BB739)</f>
        <v>2650</v>
      </c>
      <c r="G739" s="45">
        <f ca="1">SUMIF(J$3:$BB738,"出库",J739:$BB739)</f>
        <v>0</v>
      </c>
      <c r="H739" s="37">
        <f ca="1" t="shared" si="11"/>
        <v>2650</v>
      </c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>
        <v>2650</v>
      </c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</row>
    <row r="740" hidden="1" customHeight="1" spans="1:54">
      <c r="A740" s="49">
        <f>ROW()-4</f>
        <v>736</v>
      </c>
      <c r="B740" s="51" t="s">
        <v>262</v>
      </c>
      <c r="C740" s="52" t="s">
        <v>13</v>
      </c>
      <c r="D740" s="45"/>
      <c r="E740" s="45">
        <v>0</v>
      </c>
      <c r="F740" s="36">
        <f ca="1">SUMIF(I$3:$BB739,"入库",I740:$BB740)</f>
        <v>100</v>
      </c>
      <c r="G740" s="45">
        <f ca="1">SUMIF(J$3:$BB739,"出库",J740:$BB740)</f>
        <v>0</v>
      </c>
      <c r="H740" s="37">
        <f ca="1" t="shared" si="11"/>
        <v>100</v>
      </c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>
        <v>100</v>
      </c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</row>
    <row r="741" hidden="1" customHeight="1" spans="1:54">
      <c r="A741" s="51"/>
      <c r="B741" s="51"/>
      <c r="C741" s="45" t="s">
        <v>14</v>
      </c>
      <c r="D741" s="45"/>
      <c r="E741" s="45">
        <v>0</v>
      </c>
      <c r="F741" s="36">
        <f ca="1">SUMIF(I$3:$BB740,"入库",I741:$BB741)</f>
        <v>10</v>
      </c>
      <c r="G741" s="45">
        <f ca="1">SUMIF(J$3:$BB740,"出库",J741:$BB741)</f>
        <v>0</v>
      </c>
      <c r="H741" s="37">
        <f ca="1" t="shared" si="11"/>
        <v>10</v>
      </c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>
        <v>10</v>
      </c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</row>
    <row r="742" hidden="1" customHeight="1" spans="1:54">
      <c r="A742" s="53"/>
      <c r="B742" s="53"/>
      <c r="C742" s="50" t="s">
        <v>12</v>
      </c>
      <c r="D742" s="45"/>
      <c r="E742" s="45">
        <v>0</v>
      </c>
      <c r="F742" s="36">
        <f ca="1">SUMIF(I$3:$BB741,"入库",I742:$BB742)</f>
        <v>1200</v>
      </c>
      <c r="G742" s="45">
        <f ca="1">SUMIF(J$3:$BB741,"出库",J742:$BB742)</f>
        <v>0</v>
      </c>
      <c r="H742" s="37">
        <f ca="1" t="shared" si="11"/>
        <v>1200</v>
      </c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>
        <v>1200</v>
      </c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</row>
    <row r="743" hidden="1" customHeight="1" spans="1:54">
      <c r="A743" s="49">
        <f>ROW()-4</f>
        <v>739</v>
      </c>
      <c r="B743" s="51" t="s">
        <v>263</v>
      </c>
      <c r="C743" s="52" t="s">
        <v>13</v>
      </c>
      <c r="D743" s="45"/>
      <c r="E743" s="45">
        <v>0</v>
      </c>
      <c r="F743" s="36">
        <f ca="1">SUMIF(I$3:$BB742,"入库",I743:$BB743)</f>
        <v>130</v>
      </c>
      <c r="G743" s="45">
        <f ca="1">SUMIF(J$3:$BB742,"出库",J743:$BB743)</f>
        <v>0</v>
      </c>
      <c r="H743" s="37">
        <f ca="1" t="shared" si="11"/>
        <v>130</v>
      </c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>
        <v>130</v>
      </c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</row>
    <row r="744" hidden="1" customHeight="1" spans="1:54">
      <c r="A744" s="51"/>
      <c r="B744" s="51"/>
      <c r="C744" s="45" t="s">
        <v>14</v>
      </c>
      <c r="D744" s="45"/>
      <c r="E744" s="45">
        <v>0</v>
      </c>
      <c r="F744" s="36">
        <f ca="1">SUMIF(I$3:$BB743,"入库",I744:$BB744)</f>
        <v>0</v>
      </c>
      <c r="G744" s="45">
        <f ca="1">SUMIF(J$3:$BB743,"出库",J744:$BB744)</f>
        <v>0</v>
      </c>
      <c r="H744" s="37">
        <f ca="1" t="shared" si="11"/>
        <v>0</v>
      </c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</row>
    <row r="745" hidden="1" customHeight="1" spans="1:54">
      <c r="A745" s="53"/>
      <c r="B745" s="53"/>
      <c r="C745" s="50" t="s">
        <v>12</v>
      </c>
      <c r="D745" s="45"/>
      <c r="E745" s="45">
        <v>0</v>
      </c>
      <c r="F745" s="36">
        <f ca="1">SUMIF(I$3:$BB744,"入库",I745:$BB745)</f>
        <v>3960</v>
      </c>
      <c r="G745" s="45">
        <f ca="1">SUMIF(J$3:$BB744,"出库",J745:$BB745)</f>
        <v>100</v>
      </c>
      <c r="H745" s="37">
        <f ca="1" t="shared" si="11"/>
        <v>3860</v>
      </c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>
        <v>3960</v>
      </c>
      <c r="AD745" s="45"/>
      <c r="AE745" s="45"/>
      <c r="AF745" s="45"/>
      <c r="AG745" s="45"/>
      <c r="AH745" s="45"/>
      <c r="AI745" s="45"/>
      <c r="AJ745" s="45">
        <v>100</v>
      </c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</row>
    <row r="746" hidden="1" customHeight="1" spans="1:54">
      <c r="A746" s="49">
        <f>ROW()-4</f>
        <v>742</v>
      </c>
      <c r="B746" s="51" t="s">
        <v>264</v>
      </c>
      <c r="C746" s="52" t="s">
        <v>13</v>
      </c>
      <c r="D746" s="45"/>
      <c r="E746" s="45">
        <v>0</v>
      </c>
      <c r="F746" s="36">
        <f ca="1">SUMIF(I$3:$BB745,"入库",I746:$BB746)</f>
        <v>30</v>
      </c>
      <c r="G746" s="45">
        <f ca="1">SUMIF(J$3:$BB745,"出库",J746:$BB746)</f>
        <v>0</v>
      </c>
      <c r="H746" s="37">
        <f ca="1" t="shared" si="11"/>
        <v>30</v>
      </c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>
        <v>30</v>
      </c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</row>
    <row r="747" hidden="1" customHeight="1" spans="1:54">
      <c r="A747" s="51"/>
      <c r="B747" s="51"/>
      <c r="C747" s="45" t="s">
        <v>14</v>
      </c>
      <c r="D747" s="45"/>
      <c r="E747" s="45">
        <v>0</v>
      </c>
      <c r="F747" s="36">
        <f ca="1">SUMIF(I$3:$BB746,"入库",I747:$BB747)</f>
        <v>20</v>
      </c>
      <c r="G747" s="45">
        <f ca="1">SUMIF(J$3:$BB746,"出库",J747:$BB747)</f>
        <v>0</v>
      </c>
      <c r="H747" s="37">
        <f ca="1" t="shared" si="11"/>
        <v>20</v>
      </c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>
        <v>20</v>
      </c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</row>
    <row r="748" hidden="1" customHeight="1" spans="1:54">
      <c r="A748" s="53"/>
      <c r="B748" s="53"/>
      <c r="C748" s="50" t="s">
        <v>12</v>
      </c>
      <c r="D748" s="45"/>
      <c r="E748" s="45">
        <v>0</v>
      </c>
      <c r="F748" s="36">
        <f ca="1">SUMIF(I$3:$BB747,"入库",I748:$BB748)</f>
        <v>150</v>
      </c>
      <c r="G748" s="45">
        <f ca="1">SUMIF(J$3:$BB747,"出库",J748:$BB748)</f>
        <v>50</v>
      </c>
      <c r="H748" s="37">
        <f ca="1" t="shared" si="11"/>
        <v>100</v>
      </c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>
        <v>150</v>
      </c>
      <c r="AD748" s="45"/>
      <c r="AE748" s="45"/>
      <c r="AF748" s="45"/>
      <c r="AG748" s="45"/>
      <c r="AH748" s="45"/>
      <c r="AI748" s="45"/>
      <c r="AJ748" s="45">
        <v>50</v>
      </c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</row>
    <row r="749" hidden="1" customHeight="1" spans="1:54">
      <c r="A749" s="49">
        <f>ROW()-4</f>
        <v>745</v>
      </c>
      <c r="B749" s="51" t="s">
        <v>265</v>
      </c>
      <c r="C749" s="52" t="s">
        <v>13</v>
      </c>
      <c r="D749" s="45"/>
      <c r="E749" s="45">
        <v>0</v>
      </c>
      <c r="F749" s="36">
        <f ca="1">SUMIF(I$3:$BB748,"入库",I749:$BB749)</f>
        <v>10</v>
      </c>
      <c r="G749" s="45">
        <f ca="1">SUMIF(J$3:$BB748,"出库",J749:$BB749)</f>
        <v>0</v>
      </c>
      <c r="H749" s="37">
        <f ca="1" t="shared" si="11"/>
        <v>10</v>
      </c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>
        <v>10</v>
      </c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</row>
    <row r="750" hidden="1" customHeight="1" spans="1:54">
      <c r="A750" s="51"/>
      <c r="B750" s="51"/>
      <c r="C750" s="45" t="s">
        <v>14</v>
      </c>
      <c r="D750" s="45"/>
      <c r="E750" s="45">
        <v>0</v>
      </c>
      <c r="F750" s="36">
        <f ca="1">SUMIF(I$3:$BB749,"入库",I750:$BB750)</f>
        <v>60</v>
      </c>
      <c r="G750" s="45">
        <f ca="1">SUMIF(J$3:$BB749,"出库",J750:$BB750)</f>
        <v>0</v>
      </c>
      <c r="H750" s="37">
        <f ca="1" t="shared" si="11"/>
        <v>60</v>
      </c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>
        <v>60</v>
      </c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</row>
    <row r="751" hidden="1" customHeight="1" spans="1:54">
      <c r="A751" s="53"/>
      <c r="B751" s="53"/>
      <c r="C751" s="50" t="s">
        <v>12</v>
      </c>
      <c r="D751" s="45"/>
      <c r="E751" s="45">
        <v>0</v>
      </c>
      <c r="F751" s="36">
        <f ca="1">SUMIF(I$3:$BB750,"入库",I751:$BB751)</f>
        <v>780</v>
      </c>
      <c r="G751" s="45">
        <f ca="1">SUMIF(J$3:$BB750,"出库",J751:$BB751)</f>
        <v>10</v>
      </c>
      <c r="H751" s="37">
        <f ca="1" t="shared" si="11"/>
        <v>770</v>
      </c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>
        <v>780</v>
      </c>
      <c r="AD751" s="45"/>
      <c r="AE751" s="45"/>
      <c r="AF751" s="45"/>
      <c r="AG751" s="45"/>
      <c r="AH751" s="45">
        <v>10</v>
      </c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</row>
    <row r="752" hidden="1" customHeight="1" spans="1:54">
      <c r="A752" s="49">
        <f>ROW()-4</f>
        <v>748</v>
      </c>
      <c r="B752" s="51" t="s">
        <v>266</v>
      </c>
      <c r="C752" s="52" t="s">
        <v>13</v>
      </c>
      <c r="D752" s="45"/>
      <c r="E752" s="45">
        <v>0</v>
      </c>
      <c r="F752" s="36">
        <f ca="1">SUMIF(I$3:$BB751,"入库",I752:$BB752)</f>
        <v>0</v>
      </c>
      <c r="G752" s="45">
        <f ca="1">SUMIF(J$3:$BB751,"出库",J752:$BB752)</f>
        <v>0</v>
      </c>
      <c r="H752" s="37">
        <f ca="1" t="shared" si="11"/>
        <v>0</v>
      </c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</row>
    <row r="753" hidden="1" customHeight="1" spans="1:54">
      <c r="A753" s="51"/>
      <c r="B753" s="51"/>
      <c r="C753" s="45" t="s">
        <v>14</v>
      </c>
      <c r="D753" s="45"/>
      <c r="E753" s="45">
        <v>0</v>
      </c>
      <c r="F753" s="36">
        <f ca="1">SUMIF(I$3:$BB752,"入库",I753:$BB753)</f>
        <v>0</v>
      </c>
      <c r="G753" s="45">
        <f ca="1">SUMIF(J$3:$BB752,"出库",J753:$BB753)</f>
        <v>0</v>
      </c>
      <c r="H753" s="37">
        <f ca="1" t="shared" si="11"/>
        <v>0</v>
      </c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</row>
    <row r="754" hidden="1" customHeight="1" spans="1:54">
      <c r="A754" s="53"/>
      <c r="B754" s="53"/>
      <c r="C754" s="50" t="s">
        <v>12</v>
      </c>
      <c r="D754" s="45"/>
      <c r="E754" s="45">
        <v>0</v>
      </c>
      <c r="F754" s="36">
        <f ca="1">SUMIF(I$3:$BB753,"入库",I754:$BB754)</f>
        <v>1160</v>
      </c>
      <c r="G754" s="45">
        <f ca="1">SUMIF(J$3:$BB753,"出库",J754:$BB754)</f>
        <v>130</v>
      </c>
      <c r="H754" s="37">
        <f ca="1" t="shared" si="11"/>
        <v>1030</v>
      </c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>
        <v>40</v>
      </c>
      <c r="AB754" s="45"/>
      <c r="AC754" s="45">
        <v>1120</v>
      </c>
      <c r="AD754" s="45"/>
      <c r="AE754" s="45"/>
      <c r="AF754" s="45"/>
      <c r="AG754" s="45"/>
      <c r="AH754" s="45"/>
      <c r="AI754" s="45"/>
      <c r="AJ754" s="45">
        <v>130</v>
      </c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</row>
    <row r="755" hidden="1" customHeight="1" spans="1:54">
      <c r="A755" s="49">
        <f>ROW()-4</f>
        <v>751</v>
      </c>
      <c r="B755" s="51" t="s">
        <v>267</v>
      </c>
      <c r="C755" s="52" t="s">
        <v>13</v>
      </c>
      <c r="D755" s="45"/>
      <c r="E755" s="45">
        <v>0</v>
      </c>
      <c r="F755" s="36">
        <f ca="1">SUMIF(I$3:$BB754,"入库",I755:$BB755)</f>
        <v>60</v>
      </c>
      <c r="G755" s="45">
        <f ca="1">SUMIF(J$3:$BB754,"出库",J755:$BB755)</f>
        <v>0</v>
      </c>
      <c r="H755" s="37">
        <f ca="1" t="shared" si="11"/>
        <v>60</v>
      </c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>
        <v>60</v>
      </c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</row>
    <row r="756" hidden="1" customHeight="1" spans="1:54">
      <c r="A756" s="51"/>
      <c r="B756" s="51"/>
      <c r="C756" s="45" t="s">
        <v>14</v>
      </c>
      <c r="D756" s="45"/>
      <c r="E756" s="45">
        <v>0</v>
      </c>
      <c r="F756" s="36">
        <f ca="1">SUMIF(I$3:$BB755,"入库",I756:$BB756)</f>
        <v>0</v>
      </c>
      <c r="G756" s="45">
        <f ca="1">SUMIF(J$3:$BB755,"出库",J756:$BB756)</f>
        <v>0</v>
      </c>
      <c r="H756" s="37">
        <f ca="1" t="shared" si="11"/>
        <v>0</v>
      </c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</row>
    <row r="757" hidden="1" customHeight="1" spans="1:54">
      <c r="A757" s="53"/>
      <c r="B757" s="53"/>
      <c r="C757" s="50" t="s">
        <v>12</v>
      </c>
      <c r="D757" s="45"/>
      <c r="E757" s="45">
        <v>0</v>
      </c>
      <c r="F757" s="36">
        <f ca="1">SUMIF(I$3:$BB756,"入库",I757:$BB757)</f>
        <v>180</v>
      </c>
      <c r="G757" s="45">
        <f ca="1">SUMIF(J$3:$BB756,"出库",J757:$BB757)</f>
        <v>10</v>
      </c>
      <c r="H757" s="37">
        <f ca="1" t="shared" si="11"/>
        <v>170</v>
      </c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>
        <v>180</v>
      </c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>
        <v>10</v>
      </c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</row>
    <row r="758" hidden="1" customHeight="1" spans="1:54">
      <c r="A758" s="49">
        <f>ROW()-4</f>
        <v>754</v>
      </c>
      <c r="B758" s="51" t="s">
        <v>268</v>
      </c>
      <c r="C758" s="52" t="s">
        <v>13</v>
      </c>
      <c r="D758" s="45"/>
      <c r="E758" s="45">
        <v>0</v>
      </c>
      <c r="F758" s="36">
        <f ca="1">SUMIF(I$3:$BB757,"入库",I758:$BB758)</f>
        <v>100</v>
      </c>
      <c r="G758" s="45">
        <f ca="1">SUMIF(J$3:$BB757,"出库",J758:$BB758)</f>
        <v>0</v>
      </c>
      <c r="H758" s="37">
        <f ca="1" t="shared" si="11"/>
        <v>100</v>
      </c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>
        <v>100</v>
      </c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</row>
    <row r="759" hidden="1" customHeight="1" spans="1:54">
      <c r="A759" s="51"/>
      <c r="B759" s="51"/>
      <c r="C759" s="45" t="s">
        <v>14</v>
      </c>
      <c r="D759" s="45"/>
      <c r="E759" s="45">
        <v>0</v>
      </c>
      <c r="F759" s="36">
        <f ca="1">SUMIF(I$3:$BB758,"入库",I759:$BB759)</f>
        <v>0</v>
      </c>
      <c r="G759" s="45">
        <f ca="1">SUMIF(J$3:$BB758,"出库",J759:$BB759)</f>
        <v>0</v>
      </c>
      <c r="H759" s="37">
        <f ca="1" t="shared" si="11"/>
        <v>0</v>
      </c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</row>
    <row r="760" hidden="1" customHeight="1" spans="1:54">
      <c r="A760" s="53"/>
      <c r="B760" s="53"/>
      <c r="C760" s="50" t="s">
        <v>12</v>
      </c>
      <c r="D760" s="45"/>
      <c r="E760" s="45">
        <v>0</v>
      </c>
      <c r="F760" s="36">
        <f ca="1">SUMIF(I$3:$BB759,"入库",I760:$BB760)</f>
        <v>600</v>
      </c>
      <c r="G760" s="45">
        <f ca="1">SUMIF(J$3:$BB759,"出库",J760:$BB760)</f>
        <v>120</v>
      </c>
      <c r="H760" s="37">
        <f ca="1" t="shared" si="11"/>
        <v>480</v>
      </c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>
        <v>600</v>
      </c>
      <c r="AB760" s="45"/>
      <c r="AC760" s="45"/>
      <c r="AD760" s="45"/>
      <c r="AE760" s="45"/>
      <c r="AF760" s="45"/>
      <c r="AG760" s="45"/>
      <c r="AH760" s="45">
        <v>120</v>
      </c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</row>
    <row r="761" hidden="1" customHeight="1" spans="1:54">
      <c r="A761" s="49">
        <f>ROW()-4</f>
        <v>757</v>
      </c>
      <c r="B761" s="51" t="s">
        <v>269</v>
      </c>
      <c r="C761" s="52" t="s">
        <v>13</v>
      </c>
      <c r="D761" s="45"/>
      <c r="E761" s="45">
        <v>0</v>
      </c>
      <c r="F761" s="36">
        <f ca="1">SUMIF(I$3:$BB760,"入库",I761:$BB761)</f>
        <v>50</v>
      </c>
      <c r="G761" s="45">
        <f ca="1">SUMIF(J$3:$BB760,"出库",J761:$BB761)</f>
        <v>0</v>
      </c>
      <c r="H761" s="37">
        <f ca="1" t="shared" si="11"/>
        <v>50</v>
      </c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>
        <v>50</v>
      </c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</row>
    <row r="762" hidden="1" customHeight="1" spans="1:54">
      <c r="A762" s="51"/>
      <c r="B762" s="51"/>
      <c r="C762" s="45" t="s">
        <v>14</v>
      </c>
      <c r="D762" s="45"/>
      <c r="E762" s="45">
        <v>0</v>
      </c>
      <c r="F762" s="36">
        <f ca="1">SUMIF(I$3:$BB761,"入库",I762:$BB762)</f>
        <v>50</v>
      </c>
      <c r="G762" s="45">
        <f ca="1">SUMIF(J$3:$BB761,"出库",J762:$BB762)</f>
        <v>0</v>
      </c>
      <c r="H762" s="37">
        <f ca="1" t="shared" si="11"/>
        <v>50</v>
      </c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>
        <v>50</v>
      </c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</row>
    <row r="763" hidden="1" customHeight="1" spans="1:54">
      <c r="A763" s="53"/>
      <c r="B763" s="53"/>
      <c r="C763" s="50" t="s">
        <v>12</v>
      </c>
      <c r="D763" s="45"/>
      <c r="E763" s="45">
        <v>0</v>
      </c>
      <c r="F763" s="36">
        <f ca="1">SUMIF(I$3:$BB762,"入库",I763:$BB763)</f>
        <v>20</v>
      </c>
      <c r="G763" s="45">
        <f ca="1">SUMIF(J$3:$BB762,"出库",J763:$BB763)</f>
        <v>0</v>
      </c>
      <c r="H763" s="37">
        <f ca="1" t="shared" si="11"/>
        <v>20</v>
      </c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>
        <v>20</v>
      </c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</row>
    <row r="764" hidden="1" customHeight="1" spans="1:54">
      <c r="A764" s="49">
        <f>ROW()-4</f>
        <v>760</v>
      </c>
      <c r="B764" s="51" t="s">
        <v>270</v>
      </c>
      <c r="C764" s="52" t="s">
        <v>13</v>
      </c>
      <c r="D764" s="45"/>
      <c r="E764" s="45">
        <v>0</v>
      </c>
      <c r="F764" s="36">
        <f ca="1">SUMIF(I$3:$BB763,"入库",I764:$BB764)</f>
        <v>0</v>
      </c>
      <c r="G764" s="45">
        <f ca="1">SUMIF(J$3:$BB763,"出库",J764:$BB764)</f>
        <v>0</v>
      </c>
      <c r="H764" s="37">
        <f ca="1" t="shared" si="11"/>
        <v>0</v>
      </c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</row>
    <row r="765" hidden="1" customHeight="1" spans="1:54">
      <c r="A765" s="51"/>
      <c r="B765" s="51"/>
      <c r="C765" s="45" t="s">
        <v>14</v>
      </c>
      <c r="D765" s="45"/>
      <c r="E765" s="45">
        <v>0</v>
      </c>
      <c r="F765" s="36">
        <f ca="1">SUMIF(I$3:$BB764,"入库",I765:$BB765)</f>
        <v>7</v>
      </c>
      <c r="G765" s="45">
        <f ca="1">SUMIF(J$3:$BB764,"出库",J765:$BB765)</f>
        <v>0</v>
      </c>
      <c r="H765" s="37">
        <f ca="1" t="shared" si="11"/>
        <v>7</v>
      </c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>
        <v>7</v>
      </c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</row>
    <row r="766" hidden="1" customHeight="1" spans="1:54">
      <c r="A766" s="53"/>
      <c r="B766" s="53"/>
      <c r="C766" s="50" t="s">
        <v>12</v>
      </c>
      <c r="D766" s="45"/>
      <c r="E766" s="45">
        <v>0</v>
      </c>
      <c r="F766" s="36">
        <f ca="1">SUMIF(I$3:$BB765,"入库",I766:$BB766)</f>
        <v>1650</v>
      </c>
      <c r="G766" s="45">
        <f ca="1">SUMIF(J$3:$BB765,"出库",J766:$BB766)</f>
        <v>20</v>
      </c>
      <c r="H766" s="37">
        <f ca="1" t="shared" si="11"/>
        <v>1630</v>
      </c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>
        <v>1650</v>
      </c>
      <c r="AH766" s="45"/>
      <c r="AI766" s="45"/>
      <c r="AJ766" s="45"/>
      <c r="AK766" s="45"/>
      <c r="AL766" s="45">
        <v>20</v>
      </c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</row>
    <row r="767" hidden="1" customHeight="1" spans="1:54">
      <c r="A767" s="49">
        <f>ROW()-4</f>
        <v>763</v>
      </c>
      <c r="B767" s="51" t="s">
        <v>271</v>
      </c>
      <c r="C767" s="52" t="s">
        <v>13</v>
      </c>
      <c r="D767" s="45"/>
      <c r="E767" s="45">
        <v>0</v>
      </c>
      <c r="F767" s="36">
        <f ca="1">SUMIF(I$3:$BB766,"入库",I767:$BB767)</f>
        <v>0</v>
      </c>
      <c r="G767" s="45">
        <f ca="1">SUMIF(J$3:$BB766,"出库",J767:$BB767)</f>
        <v>0</v>
      </c>
      <c r="H767" s="37">
        <f ca="1" t="shared" si="11"/>
        <v>0</v>
      </c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</row>
    <row r="768" hidden="1" customHeight="1" spans="1:54">
      <c r="A768" s="51"/>
      <c r="B768" s="51"/>
      <c r="C768" s="45" t="s">
        <v>14</v>
      </c>
      <c r="D768" s="45"/>
      <c r="E768" s="45">
        <v>0</v>
      </c>
      <c r="F768" s="36">
        <f ca="1">SUMIF(I$3:$BB767,"入库",I768:$BB768)</f>
        <v>50</v>
      </c>
      <c r="G768" s="45">
        <f ca="1">SUMIF(J$3:$BB767,"出库",J768:$BB768)</f>
        <v>0</v>
      </c>
      <c r="H768" s="37">
        <f ca="1" t="shared" si="11"/>
        <v>50</v>
      </c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>
        <v>50</v>
      </c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</row>
    <row r="769" hidden="1" customHeight="1" spans="1:54">
      <c r="A769" s="53"/>
      <c r="B769" s="53"/>
      <c r="C769" s="50" t="s">
        <v>12</v>
      </c>
      <c r="D769" s="45"/>
      <c r="E769" s="45">
        <v>0</v>
      </c>
      <c r="F769" s="36">
        <f ca="1">SUMIF(I$3:$BB768,"入库",I769:$BB769)</f>
        <v>800</v>
      </c>
      <c r="G769" s="45">
        <f ca="1">SUMIF(J$3:$BB768,"出库",J769:$BB769)</f>
        <v>0</v>
      </c>
      <c r="H769" s="37">
        <f ca="1" t="shared" si="11"/>
        <v>800</v>
      </c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>
        <v>800</v>
      </c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</row>
    <row r="770" hidden="1" customHeight="1" spans="1:54">
      <c r="A770" s="49">
        <f>ROW()-4</f>
        <v>766</v>
      </c>
      <c r="B770" s="51" t="s">
        <v>272</v>
      </c>
      <c r="C770" s="52" t="s">
        <v>13</v>
      </c>
      <c r="D770" s="45"/>
      <c r="E770" s="45">
        <v>0</v>
      </c>
      <c r="F770" s="36">
        <f ca="1">SUMIF(I$3:$BB769,"入库",I770:$BB770)</f>
        <v>10</v>
      </c>
      <c r="G770" s="45">
        <f ca="1">SUMIF(J$3:$BB769,"出库",J770:$BB770)</f>
        <v>0</v>
      </c>
      <c r="H770" s="37">
        <f ca="1" t="shared" si="11"/>
        <v>10</v>
      </c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>
        <v>10</v>
      </c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</row>
    <row r="771" hidden="1" customHeight="1" spans="1:54">
      <c r="A771" s="51"/>
      <c r="B771" s="51"/>
      <c r="C771" s="45" t="s">
        <v>14</v>
      </c>
      <c r="D771" s="45"/>
      <c r="E771" s="45">
        <v>0</v>
      </c>
      <c r="F771" s="36">
        <f ca="1">SUMIF(I$3:$BB770,"入库",I771:$BB771)</f>
        <v>100</v>
      </c>
      <c r="G771" s="45">
        <f ca="1">SUMIF(J$3:$BB770,"出库",J771:$BB771)</f>
        <v>0</v>
      </c>
      <c r="H771" s="37">
        <f ca="1" t="shared" si="11"/>
        <v>100</v>
      </c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>
        <v>100</v>
      </c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</row>
    <row r="772" hidden="1" customHeight="1" spans="1:54">
      <c r="A772" s="53"/>
      <c r="B772" s="53"/>
      <c r="C772" s="50" t="s">
        <v>12</v>
      </c>
      <c r="D772" s="45"/>
      <c r="E772" s="45">
        <v>0</v>
      </c>
      <c r="F772" s="36">
        <f ca="1">SUMIF(I$3:$BB771,"入库",I772:$BB772)</f>
        <v>1650</v>
      </c>
      <c r="G772" s="45">
        <f ca="1">SUMIF(J$3:$BB771,"出库",J772:$BB772)</f>
        <v>35</v>
      </c>
      <c r="H772" s="37">
        <f ca="1" t="shared" si="11"/>
        <v>1615</v>
      </c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>
        <v>1650</v>
      </c>
      <c r="AD772" s="45"/>
      <c r="AE772" s="45"/>
      <c r="AF772" s="45"/>
      <c r="AG772" s="45"/>
      <c r="AH772" s="45">
        <v>5</v>
      </c>
      <c r="AI772" s="45"/>
      <c r="AJ772" s="45"/>
      <c r="AK772" s="45"/>
      <c r="AL772" s="45">
        <v>30</v>
      </c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</row>
    <row r="773" hidden="1" customHeight="1" spans="1:54">
      <c r="A773" s="49">
        <f>ROW()-4</f>
        <v>769</v>
      </c>
      <c r="B773" s="51" t="s">
        <v>273</v>
      </c>
      <c r="C773" s="52" t="s">
        <v>13</v>
      </c>
      <c r="D773" s="45"/>
      <c r="E773" s="45">
        <v>0</v>
      </c>
      <c r="F773" s="36">
        <f ca="1">SUMIF(I$3:$BB772,"入库",I773:$BB773)</f>
        <v>0</v>
      </c>
      <c r="G773" s="45">
        <f ca="1">SUMIF(J$3:$BB772,"出库",J773:$BB773)</f>
        <v>0</v>
      </c>
      <c r="H773" s="37">
        <f ca="1" t="shared" ref="H773:H836" si="12">E773+F773-G773</f>
        <v>0</v>
      </c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</row>
    <row r="774" hidden="1" customHeight="1" spans="1:54">
      <c r="A774" s="51"/>
      <c r="B774" s="51"/>
      <c r="C774" s="45" t="s">
        <v>14</v>
      </c>
      <c r="D774" s="45"/>
      <c r="E774" s="45">
        <v>0</v>
      </c>
      <c r="F774" s="36">
        <f ca="1">SUMIF(I$3:$BB773,"入库",I774:$BB774)</f>
        <v>30</v>
      </c>
      <c r="G774" s="45">
        <f ca="1">SUMIF(J$3:$BB773,"出库",J774:$BB774)</f>
        <v>0</v>
      </c>
      <c r="H774" s="37">
        <f ca="1" t="shared" si="12"/>
        <v>30</v>
      </c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>
        <v>30</v>
      </c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</row>
    <row r="775" hidden="1" customHeight="1" spans="1:54">
      <c r="A775" s="53"/>
      <c r="B775" s="53"/>
      <c r="C775" s="50" t="s">
        <v>12</v>
      </c>
      <c r="D775" s="45"/>
      <c r="E775" s="45">
        <v>0</v>
      </c>
      <c r="F775" s="36">
        <f ca="1">SUMIF(I$3:$BB774,"入库",I775:$BB775)</f>
        <v>250</v>
      </c>
      <c r="G775" s="45">
        <f ca="1">SUMIF(J$3:$BB774,"出库",J775:$BB775)</f>
        <v>0</v>
      </c>
      <c r="H775" s="37">
        <f ca="1" t="shared" si="12"/>
        <v>250</v>
      </c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>
        <v>250</v>
      </c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</row>
    <row r="776" hidden="1" customHeight="1" spans="1:54">
      <c r="A776" s="49">
        <f>ROW()-4</f>
        <v>772</v>
      </c>
      <c r="B776" s="51" t="s">
        <v>274</v>
      </c>
      <c r="C776" s="52" t="s">
        <v>13</v>
      </c>
      <c r="D776" s="45"/>
      <c r="E776" s="45">
        <v>0</v>
      </c>
      <c r="F776" s="36">
        <f ca="1">SUMIF(I$3:$BB775,"入库",I776:$BB776)</f>
        <v>110</v>
      </c>
      <c r="G776" s="45">
        <f ca="1">SUMIF(J$3:$BB775,"出库",J776:$BB776)</f>
        <v>0</v>
      </c>
      <c r="H776" s="37">
        <f ca="1" t="shared" si="12"/>
        <v>110</v>
      </c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>
        <v>110</v>
      </c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</row>
    <row r="777" hidden="1" customHeight="1" spans="1:54">
      <c r="A777" s="51"/>
      <c r="B777" s="51"/>
      <c r="C777" s="45" t="s">
        <v>14</v>
      </c>
      <c r="D777" s="45"/>
      <c r="E777" s="45">
        <v>0</v>
      </c>
      <c r="F777" s="36">
        <f ca="1">SUMIF(I$3:$BB776,"入库",I777:$BB777)</f>
        <v>0</v>
      </c>
      <c r="G777" s="45">
        <f ca="1">SUMIF(J$3:$BB776,"出库",J777:$BB777)</f>
        <v>0</v>
      </c>
      <c r="H777" s="37">
        <f ca="1" t="shared" si="12"/>
        <v>0</v>
      </c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</row>
    <row r="778" hidden="1" customHeight="1" spans="1:54">
      <c r="A778" s="53"/>
      <c r="B778" s="53"/>
      <c r="C778" s="50" t="s">
        <v>12</v>
      </c>
      <c r="D778" s="45"/>
      <c r="E778" s="45">
        <v>0</v>
      </c>
      <c r="F778" s="36">
        <f ca="1">SUMIF(I$3:$BB777,"入库",I778:$BB778)</f>
        <v>20</v>
      </c>
      <c r="G778" s="45">
        <f ca="1">SUMIF(J$3:$BB777,"出库",J778:$BB778)</f>
        <v>0</v>
      </c>
      <c r="H778" s="37">
        <f ca="1" t="shared" si="12"/>
        <v>20</v>
      </c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>
        <v>20</v>
      </c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</row>
    <row r="779" hidden="1" customHeight="1" spans="1:54">
      <c r="A779" s="49">
        <f>ROW()-4</f>
        <v>775</v>
      </c>
      <c r="B779" s="51" t="s">
        <v>275</v>
      </c>
      <c r="C779" s="52" t="s">
        <v>13</v>
      </c>
      <c r="D779" s="45"/>
      <c r="E779" s="45">
        <v>0</v>
      </c>
      <c r="F779" s="36">
        <f ca="1">SUMIF(I$3:$BB778,"入库",I779:$BB779)</f>
        <v>50</v>
      </c>
      <c r="G779" s="45">
        <f ca="1">SUMIF(J$3:$BB778,"出库",J779:$BB779)</f>
        <v>0</v>
      </c>
      <c r="H779" s="37">
        <f ca="1" t="shared" si="12"/>
        <v>50</v>
      </c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>
        <v>50</v>
      </c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</row>
    <row r="780" hidden="1" customHeight="1" spans="1:54">
      <c r="A780" s="51"/>
      <c r="B780" s="51"/>
      <c r="C780" s="45" t="s">
        <v>14</v>
      </c>
      <c r="D780" s="45"/>
      <c r="E780" s="45">
        <v>0</v>
      </c>
      <c r="F780" s="36">
        <f ca="1">SUMIF(I$3:$BB779,"入库",I780:$BB780)</f>
        <v>0</v>
      </c>
      <c r="G780" s="45">
        <f ca="1">SUMIF(J$3:$BB779,"出库",J780:$BB780)</f>
        <v>0</v>
      </c>
      <c r="H780" s="37">
        <f ca="1" t="shared" si="12"/>
        <v>0</v>
      </c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</row>
    <row r="781" hidden="1" customHeight="1" spans="1:54">
      <c r="A781" s="53"/>
      <c r="B781" s="53"/>
      <c r="C781" s="50" t="s">
        <v>12</v>
      </c>
      <c r="D781" s="45"/>
      <c r="E781" s="45">
        <v>0</v>
      </c>
      <c r="F781" s="36">
        <f ca="1">SUMIF(I$3:$BB780,"入库",I781:$BB781)</f>
        <v>400</v>
      </c>
      <c r="G781" s="45">
        <f ca="1">SUMIF(J$3:$BB780,"出库",J781:$BB781)</f>
        <v>0</v>
      </c>
      <c r="H781" s="37">
        <f ca="1" t="shared" si="12"/>
        <v>400</v>
      </c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>
        <v>400</v>
      </c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</row>
    <row r="782" hidden="1" customHeight="1" spans="1:54">
      <c r="A782" s="49">
        <f>ROW()-4</f>
        <v>778</v>
      </c>
      <c r="B782" s="51" t="s">
        <v>276</v>
      </c>
      <c r="C782" s="52" t="s">
        <v>13</v>
      </c>
      <c r="D782" s="45"/>
      <c r="E782" s="45">
        <v>0</v>
      </c>
      <c r="F782" s="36">
        <f ca="1">SUMIF(I$3:$BB781,"入库",I782:$BB782)</f>
        <v>60</v>
      </c>
      <c r="G782" s="45">
        <f ca="1">SUMIF(J$3:$BB781,"出库",J782:$BB782)</f>
        <v>0</v>
      </c>
      <c r="H782" s="37">
        <f ca="1" t="shared" si="12"/>
        <v>60</v>
      </c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>
        <v>60</v>
      </c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</row>
    <row r="783" hidden="1" customHeight="1" spans="1:54">
      <c r="A783" s="51"/>
      <c r="B783" s="51"/>
      <c r="C783" s="45" t="s">
        <v>14</v>
      </c>
      <c r="D783" s="45"/>
      <c r="E783" s="45">
        <v>0</v>
      </c>
      <c r="F783" s="36">
        <f ca="1">SUMIF(I$3:$BB782,"入库",I783:$BB783)</f>
        <v>50</v>
      </c>
      <c r="G783" s="45">
        <f ca="1">SUMIF(J$3:$BB782,"出库",J783:$BB783)</f>
        <v>0</v>
      </c>
      <c r="H783" s="37">
        <f ca="1" t="shared" si="12"/>
        <v>50</v>
      </c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>
        <v>50</v>
      </c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</row>
    <row r="784" hidden="1" customHeight="1" spans="1:54">
      <c r="A784" s="53"/>
      <c r="B784" s="53"/>
      <c r="C784" s="50" t="s">
        <v>12</v>
      </c>
      <c r="D784" s="45"/>
      <c r="E784" s="45">
        <v>0</v>
      </c>
      <c r="F784" s="36">
        <f ca="1">SUMIF(I$3:$BB783,"入库",I784:$BB784)</f>
        <v>10</v>
      </c>
      <c r="G784" s="45">
        <f ca="1">SUMIF(J$3:$BB783,"出库",J784:$BB784)</f>
        <v>0</v>
      </c>
      <c r="H784" s="37">
        <f ca="1" t="shared" si="12"/>
        <v>10</v>
      </c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>
        <v>10</v>
      </c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</row>
    <row r="785" hidden="1" customHeight="1" spans="1:54">
      <c r="A785" s="49">
        <f>ROW()-4</f>
        <v>781</v>
      </c>
      <c r="B785" s="51" t="s">
        <v>277</v>
      </c>
      <c r="C785" s="52" t="s">
        <v>13</v>
      </c>
      <c r="D785" s="45"/>
      <c r="E785" s="45">
        <v>0</v>
      </c>
      <c r="F785" s="36">
        <f ca="1">SUMIF(I$3:$BB784,"入库",I785:$BB785)</f>
        <v>330</v>
      </c>
      <c r="G785" s="45">
        <f ca="1">SUMIF(J$3:$BB784,"出库",J785:$BB785)</f>
        <v>0</v>
      </c>
      <c r="H785" s="37">
        <f ca="1" t="shared" si="12"/>
        <v>330</v>
      </c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>
        <v>330</v>
      </c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</row>
    <row r="786" hidden="1" customHeight="1" spans="1:54">
      <c r="A786" s="51"/>
      <c r="B786" s="51"/>
      <c r="C786" s="45" t="s">
        <v>14</v>
      </c>
      <c r="D786" s="45"/>
      <c r="E786" s="45">
        <v>0</v>
      </c>
      <c r="F786" s="36">
        <f ca="1">SUMIF(I$3:$BB785,"入库",I786:$BB786)</f>
        <v>110</v>
      </c>
      <c r="G786" s="45">
        <f ca="1">SUMIF(J$3:$BB785,"出库",J786:$BB786)</f>
        <v>0</v>
      </c>
      <c r="H786" s="37">
        <f ca="1" t="shared" si="12"/>
        <v>110</v>
      </c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>
        <v>110</v>
      </c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</row>
    <row r="787" hidden="1" customHeight="1" spans="1:54">
      <c r="A787" s="53"/>
      <c r="B787" s="53"/>
      <c r="C787" s="50" t="s">
        <v>12</v>
      </c>
      <c r="D787" s="45"/>
      <c r="E787" s="45">
        <v>0</v>
      </c>
      <c r="F787" s="36">
        <f ca="1">SUMIF(I$3:$BB786,"入库",I787:$BB787)</f>
        <v>0</v>
      </c>
      <c r="G787" s="45">
        <f ca="1">SUMIF(J$3:$BB786,"出库",J787:$BB787)</f>
        <v>0</v>
      </c>
      <c r="H787" s="37">
        <f ca="1" t="shared" si="12"/>
        <v>0</v>
      </c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</row>
    <row r="788" hidden="1" customHeight="1" spans="1:54">
      <c r="A788" s="49">
        <f>ROW()-4</f>
        <v>784</v>
      </c>
      <c r="B788" s="51" t="s">
        <v>278</v>
      </c>
      <c r="C788" s="52" t="s">
        <v>13</v>
      </c>
      <c r="D788" s="45"/>
      <c r="E788" s="45">
        <v>0</v>
      </c>
      <c r="F788" s="36">
        <f ca="1">SUMIF(I$3:$BB787,"入库",I788:$BB788)</f>
        <v>410</v>
      </c>
      <c r="G788" s="45">
        <f ca="1">SUMIF(J$3:$BB787,"出库",J788:$BB788)</f>
        <v>0</v>
      </c>
      <c r="H788" s="37">
        <f ca="1" t="shared" si="12"/>
        <v>410</v>
      </c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>
        <v>410</v>
      </c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</row>
    <row r="789" hidden="1" customHeight="1" spans="1:54">
      <c r="A789" s="51"/>
      <c r="B789" s="51"/>
      <c r="C789" s="45" t="s">
        <v>14</v>
      </c>
      <c r="D789" s="45"/>
      <c r="E789" s="45">
        <v>0</v>
      </c>
      <c r="F789" s="36">
        <f ca="1">SUMIF(I$3:$BB788,"入库",I789:$BB789)</f>
        <v>100</v>
      </c>
      <c r="G789" s="45">
        <f ca="1">SUMIF(J$3:$BB788,"出库",J789:$BB789)</f>
        <v>0</v>
      </c>
      <c r="H789" s="37">
        <f ca="1" t="shared" si="12"/>
        <v>100</v>
      </c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>
        <v>100</v>
      </c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</row>
    <row r="790" hidden="1" customHeight="1" spans="1:54">
      <c r="A790" s="53"/>
      <c r="B790" s="53"/>
      <c r="C790" s="50" t="s">
        <v>12</v>
      </c>
      <c r="D790" s="45"/>
      <c r="E790" s="45">
        <v>0</v>
      </c>
      <c r="F790" s="36">
        <f ca="1">SUMIF(I$3:$BB789,"入库",I790:$BB790)</f>
        <v>170</v>
      </c>
      <c r="G790" s="45">
        <f ca="1">SUMIF(J$3:$BB789,"出库",J790:$BB790)</f>
        <v>0</v>
      </c>
      <c r="H790" s="37">
        <f ca="1" t="shared" si="12"/>
        <v>170</v>
      </c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>
        <v>170</v>
      </c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</row>
    <row r="791" hidden="1" customHeight="1" spans="1:54">
      <c r="A791" s="49">
        <f>ROW()-4</f>
        <v>787</v>
      </c>
      <c r="B791" s="51" t="s">
        <v>279</v>
      </c>
      <c r="C791" s="52" t="s">
        <v>13</v>
      </c>
      <c r="D791" s="45"/>
      <c r="E791" s="45">
        <v>0</v>
      </c>
      <c r="F791" s="36">
        <f ca="1">SUMIF(I$3:$BB790,"入库",I791:$BB791)</f>
        <v>50</v>
      </c>
      <c r="G791" s="45">
        <f ca="1">SUMIF(J$3:$BB790,"出库",J791:$BB791)</f>
        <v>0</v>
      </c>
      <c r="H791" s="37">
        <f ca="1" t="shared" si="12"/>
        <v>50</v>
      </c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>
        <v>50</v>
      </c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</row>
    <row r="792" hidden="1" customHeight="1" spans="1:54">
      <c r="A792" s="51"/>
      <c r="B792" s="51"/>
      <c r="C792" s="45" t="s">
        <v>14</v>
      </c>
      <c r="D792" s="45"/>
      <c r="E792" s="45">
        <v>0</v>
      </c>
      <c r="F792" s="36">
        <f ca="1">SUMIF(I$3:$BB791,"入库",I792:$BB792)</f>
        <v>0</v>
      </c>
      <c r="G792" s="45">
        <f ca="1">SUMIF(J$3:$BB791,"出库",J792:$BB792)</f>
        <v>0</v>
      </c>
      <c r="H792" s="37">
        <f ca="1" t="shared" si="12"/>
        <v>0</v>
      </c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</row>
    <row r="793" hidden="1" customHeight="1" spans="1:54">
      <c r="A793" s="53"/>
      <c r="B793" s="53"/>
      <c r="C793" s="50" t="s">
        <v>12</v>
      </c>
      <c r="D793" s="45"/>
      <c r="E793" s="45">
        <v>0</v>
      </c>
      <c r="F793" s="36">
        <f ca="1">SUMIF(I$3:$BB792,"入库",I793:$BB793)</f>
        <v>1480</v>
      </c>
      <c r="G793" s="45">
        <f ca="1">SUMIF(J$3:$BB792,"出库",J793:$BB793)</f>
        <v>0</v>
      </c>
      <c r="H793" s="37">
        <f ca="1" t="shared" si="12"/>
        <v>1480</v>
      </c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>
        <v>1480</v>
      </c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</row>
    <row r="794" hidden="1" customHeight="1" spans="1:54">
      <c r="A794" s="49">
        <f>ROW()-4</f>
        <v>790</v>
      </c>
      <c r="B794" s="51" t="s">
        <v>280</v>
      </c>
      <c r="C794" s="52" t="s">
        <v>13</v>
      </c>
      <c r="D794" s="45"/>
      <c r="E794" s="45">
        <v>0</v>
      </c>
      <c r="F794" s="36">
        <f ca="1">SUMIF(I$3:$BB793,"入库",I794:$BB794)</f>
        <v>20</v>
      </c>
      <c r="G794" s="45">
        <f ca="1">SUMIF(J$3:$BB793,"出库",J794:$BB794)</f>
        <v>0</v>
      </c>
      <c r="H794" s="37">
        <f ca="1" t="shared" si="12"/>
        <v>20</v>
      </c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>
        <v>20</v>
      </c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</row>
    <row r="795" hidden="1" customHeight="1" spans="1:54">
      <c r="A795" s="51"/>
      <c r="B795" s="51"/>
      <c r="C795" s="45" t="s">
        <v>14</v>
      </c>
      <c r="D795" s="45"/>
      <c r="E795" s="45">
        <v>0</v>
      </c>
      <c r="F795" s="36">
        <f ca="1">SUMIF(I$3:$BB794,"入库",I795:$BB795)</f>
        <v>0</v>
      </c>
      <c r="G795" s="45">
        <f ca="1">SUMIF(J$3:$BB794,"出库",J795:$BB795)</f>
        <v>0</v>
      </c>
      <c r="H795" s="37">
        <f ca="1" t="shared" si="12"/>
        <v>0</v>
      </c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</row>
    <row r="796" hidden="1" customHeight="1" spans="1:54">
      <c r="A796" s="53"/>
      <c r="B796" s="53"/>
      <c r="C796" s="50" t="s">
        <v>12</v>
      </c>
      <c r="D796" s="45"/>
      <c r="E796" s="45">
        <v>0</v>
      </c>
      <c r="F796" s="36">
        <f ca="1">SUMIF(I$3:$BB795,"入库",I796:$BB796)</f>
        <v>610</v>
      </c>
      <c r="G796" s="45">
        <f ca="1">SUMIF(J$3:$BB795,"出库",J796:$BB796)</f>
        <v>0</v>
      </c>
      <c r="H796" s="37">
        <f ca="1" t="shared" si="12"/>
        <v>610</v>
      </c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>
        <v>610</v>
      </c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</row>
    <row r="797" hidden="1" customHeight="1" spans="1:54">
      <c r="A797" s="49">
        <f>ROW()-4</f>
        <v>793</v>
      </c>
      <c r="B797" s="51" t="s">
        <v>281</v>
      </c>
      <c r="C797" s="52" t="s">
        <v>13</v>
      </c>
      <c r="D797" s="45"/>
      <c r="E797" s="45">
        <v>0</v>
      </c>
      <c r="F797" s="36">
        <f ca="1">SUMIF(I$3:$BB796,"入库",I797:$BB797)</f>
        <v>40</v>
      </c>
      <c r="G797" s="45">
        <f ca="1">SUMIF(J$3:$BB796,"出库",J797:$BB797)</f>
        <v>0</v>
      </c>
      <c r="H797" s="37">
        <f ca="1" t="shared" si="12"/>
        <v>40</v>
      </c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>
        <v>40</v>
      </c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</row>
    <row r="798" hidden="1" customHeight="1" spans="1:54">
      <c r="A798" s="51"/>
      <c r="B798" s="51"/>
      <c r="C798" s="45" t="s">
        <v>14</v>
      </c>
      <c r="D798" s="45"/>
      <c r="E798" s="45">
        <v>0</v>
      </c>
      <c r="F798" s="36">
        <f ca="1">SUMIF(I$3:$BB797,"入库",I798:$BB798)</f>
        <v>240</v>
      </c>
      <c r="G798" s="45">
        <f ca="1">SUMIF(J$3:$BB797,"出库",J798:$BB798)</f>
        <v>0</v>
      </c>
      <c r="H798" s="37">
        <f ca="1" t="shared" si="12"/>
        <v>240</v>
      </c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>
        <v>240</v>
      </c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</row>
    <row r="799" hidden="1" customHeight="1" spans="1:54">
      <c r="A799" s="53"/>
      <c r="B799" s="53"/>
      <c r="C799" s="50" t="s">
        <v>12</v>
      </c>
      <c r="D799" s="45"/>
      <c r="E799" s="45">
        <v>0</v>
      </c>
      <c r="F799" s="36">
        <f ca="1">SUMIF(I$3:$BB798,"入库",I799:$BB799)</f>
        <v>30</v>
      </c>
      <c r="G799" s="45">
        <f ca="1">SUMIF(J$3:$BB798,"出库",J799:$BB799)</f>
        <v>20</v>
      </c>
      <c r="H799" s="37">
        <f ca="1" t="shared" si="12"/>
        <v>10</v>
      </c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>
        <v>30</v>
      </c>
      <c r="AD799" s="45"/>
      <c r="AE799" s="45"/>
      <c r="AF799" s="45"/>
      <c r="AG799" s="45"/>
      <c r="AH799" s="45">
        <v>20</v>
      </c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</row>
    <row r="800" hidden="1" customHeight="1" spans="1:54">
      <c r="A800" s="49">
        <f>ROW()-4</f>
        <v>796</v>
      </c>
      <c r="B800" s="51" t="s">
        <v>282</v>
      </c>
      <c r="C800" s="52" t="s">
        <v>13</v>
      </c>
      <c r="D800" s="45"/>
      <c r="E800" s="45">
        <v>0</v>
      </c>
      <c r="F800" s="36">
        <f ca="1">SUMIF(I$3:$BB799,"入库",I800:$BB800)</f>
        <v>30</v>
      </c>
      <c r="G800" s="45">
        <f ca="1">SUMIF(J$3:$BB799,"出库",J800:$BB800)</f>
        <v>0</v>
      </c>
      <c r="H800" s="37">
        <f ca="1" t="shared" si="12"/>
        <v>30</v>
      </c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>
        <v>30</v>
      </c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</row>
    <row r="801" hidden="1" customHeight="1" spans="1:54">
      <c r="A801" s="51"/>
      <c r="B801" s="51"/>
      <c r="C801" s="45" t="s">
        <v>14</v>
      </c>
      <c r="D801" s="45"/>
      <c r="E801" s="45">
        <v>0</v>
      </c>
      <c r="F801" s="36">
        <f ca="1">SUMIF(I$3:$BB800,"入库",I801:$BB801)</f>
        <v>0</v>
      </c>
      <c r="G801" s="45">
        <f ca="1">SUMIF(J$3:$BB800,"出库",J801:$BB801)</f>
        <v>0</v>
      </c>
      <c r="H801" s="37">
        <f ca="1" t="shared" si="12"/>
        <v>0</v>
      </c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</row>
    <row r="802" hidden="1" customHeight="1" spans="1:54">
      <c r="A802" s="53"/>
      <c r="B802" s="53"/>
      <c r="C802" s="50" t="s">
        <v>12</v>
      </c>
      <c r="D802" s="45"/>
      <c r="E802" s="45">
        <v>0</v>
      </c>
      <c r="F802" s="36">
        <f ca="1">SUMIF(I$3:$BB801,"入库",I802:$BB802)</f>
        <v>705</v>
      </c>
      <c r="G802" s="45">
        <f ca="1">SUMIF(J$3:$BB801,"出库",J802:$BB802)</f>
        <v>0</v>
      </c>
      <c r="H802" s="37">
        <f ca="1" t="shared" si="12"/>
        <v>705</v>
      </c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>
        <v>705</v>
      </c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</row>
    <row r="803" hidden="1" customHeight="1" spans="1:54">
      <c r="A803" s="49">
        <f>ROW()-4</f>
        <v>799</v>
      </c>
      <c r="B803" s="51" t="s">
        <v>283</v>
      </c>
      <c r="C803" s="52" t="s">
        <v>13</v>
      </c>
      <c r="D803" s="45"/>
      <c r="E803" s="45">
        <v>0</v>
      </c>
      <c r="F803" s="36">
        <f ca="1">SUMIF(I$3:$BB802,"入库",I803:$BB803)</f>
        <v>450</v>
      </c>
      <c r="G803" s="45">
        <f ca="1">SUMIF(J$3:$BB802,"出库",J803:$BB803)</f>
        <v>0</v>
      </c>
      <c r="H803" s="37">
        <f ca="1" t="shared" si="12"/>
        <v>450</v>
      </c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>
        <v>450</v>
      </c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</row>
    <row r="804" hidden="1" customHeight="1" spans="1:54">
      <c r="A804" s="51"/>
      <c r="B804" s="51"/>
      <c r="C804" s="45" t="s">
        <v>14</v>
      </c>
      <c r="D804" s="45"/>
      <c r="E804" s="45">
        <v>0</v>
      </c>
      <c r="F804" s="36">
        <f ca="1">SUMIF(I$3:$BB803,"入库",I804:$BB804)</f>
        <v>66</v>
      </c>
      <c r="G804" s="45">
        <f ca="1">SUMIF(J$3:$BB803,"出库",J804:$BB804)</f>
        <v>0</v>
      </c>
      <c r="H804" s="37">
        <f ca="1" t="shared" si="12"/>
        <v>66</v>
      </c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>
        <v>66</v>
      </c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</row>
    <row r="805" hidden="1" customHeight="1" spans="1:54">
      <c r="A805" s="53"/>
      <c r="B805" s="53"/>
      <c r="C805" s="50" t="s">
        <v>12</v>
      </c>
      <c r="D805" s="45"/>
      <c r="E805" s="45">
        <v>0</v>
      </c>
      <c r="F805" s="36">
        <f ca="1">SUMIF(I$3:$BB804,"入库",I805:$BB805)</f>
        <v>30</v>
      </c>
      <c r="G805" s="45">
        <f ca="1">SUMIF(J$3:$BB804,"出库",J805:$BB805)</f>
        <v>0</v>
      </c>
      <c r="H805" s="37">
        <f ca="1" t="shared" si="12"/>
        <v>30</v>
      </c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>
        <v>30</v>
      </c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</row>
    <row r="806" hidden="1" customHeight="1" spans="1:54">
      <c r="A806" s="49">
        <f>ROW()-4</f>
        <v>802</v>
      </c>
      <c r="B806" s="51" t="s">
        <v>284</v>
      </c>
      <c r="C806" s="52" t="s">
        <v>13</v>
      </c>
      <c r="D806" s="45"/>
      <c r="E806" s="45">
        <v>0</v>
      </c>
      <c r="F806" s="36">
        <f ca="1">SUMIF(I$3:$BB805,"入库",I806:$BB806)</f>
        <v>0</v>
      </c>
      <c r="G806" s="45">
        <f ca="1">SUMIF(J$3:$BB805,"出库",J806:$BB806)</f>
        <v>0</v>
      </c>
      <c r="H806" s="37">
        <f ca="1" t="shared" si="12"/>
        <v>0</v>
      </c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</row>
    <row r="807" hidden="1" customHeight="1" spans="1:54">
      <c r="A807" s="51"/>
      <c r="B807" s="51"/>
      <c r="C807" s="45" t="s">
        <v>14</v>
      </c>
      <c r="D807" s="45"/>
      <c r="E807" s="45">
        <v>0</v>
      </c>
      <c r="F807" s="36">
        <f ca="1">SUMIF(I$3:$BB806,"入库",I807:$BB807)</f>
        <v>0</v>
      </c>
      <c r="G807" s="45">
        <f ca="1">SUMIF(J$3:$BB806,"出库",J807:$BB807)</f>
        <v>0</v>
      </c>
      <c r="H807" s="37">
        <f ca="1" t="shared" si="12"/>
        <v>0</v>
      </c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</row>
    <row r="808" hidden="1" customHeight="1" spans="1:54">
      <c r="A808" s="53"/>
      <c r="B808" s="53"/>
      <c r="C808" s="50" t="s">
        <v>12</v>
      </c>
      <c r="D808" s="45"/>
      <c r="E808" s="45">
        <v>0</v>
      </c>
      <c r="F808" s="36">
        <f ca="1">SUMIF(I$3:$BB807,"入库",I808:$BB808)</f>
        <v>160</v>
      </c>
      <c r="G808" s="45">
        <f ca="1">SUMIF(J$3:$BB807,"出库",J808:$BB808)</f>
        <v>0</v>
      </c>
      <c r="H808" s="37">
        <f ca="1" t="shared" si="12"/>
        <v>160</v>
      </c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>
        <v>160</v>
      </c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</row>
    <row r="809" hidden="1" customHeight="1" spans="1:54">
      <c r="A809" s="49">
        <f>ROW()-4</f>
        <v>805</v>
      </c>
      <c r="B809" s="51" t="s">
        <v>285</v>
      </c>
      <c r="C809" s="52" t="s">
        <v>13</v>
      </c>
      <c r="D809" s="45"/>
      <c r="E809" s="45">
        <v>0</v>
      </c>
      <c r="F809" s="36">
        <f ca="1">SUMIF(I$3:$BB808,"入库",I809:$BB809)</f>
        <v>0</v>
      </c>
      <c r="G809" s="45">
        <f ca="1">SUMIF(J$3:$BB808,"出库",J809:$BB809)</f>
        <v>0</v>
      </c>
      <c r="H809" s="37">
        <f ca="1" t="shared" si="12"/>
        <v>0</v>
      </c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</row>
    <row r="810" hidden="1" customHeight="1" spans="1:54">
      <c r="A810" s="51"/>
      <c r="B810" s="51"/>
      <c r="C810" s="45" t="s">
        <v>14</v>
      </c>
      <c r="D810" s="45"/>
      <c r="E810" s="45">
        <v>0</v>
      </c>
      <c r="F810" s="36">
        <f ca="1">SUMIF(I$3:$BB809,"入库",I810:$BB810)</f>
        <v>0</v>
      </c>
      <c r="G810" s="45">
        <f ca="1">SUMIF(J$3:$BB809,"出库",J810:$BB810)</f>
        <v>0</v>
      </c>
      <c r="H810" s="37">
        <f ca="1" t="shared" si="12"/>
        <v>0</v>
      </c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</row>
    <row r="811" hidden="1" customHeight="1" spans="1:54">
      <c r="A811" s="53"/>
      <c r="B811" s="53"/>
      <c r="C811" s="50" t="s">
        <v>12</v>
      </c>
      <c r="D811" s="45"/>
      <c r="E811" s="45">
        <v>0</v>
      </c>
      <c r="F811" s="36">
        <f ca="1">SUMIF(I$3:$BB810,"入库",I811:$BB811)</f>
        <v>560</v>
      </c>
      <c r="G811" s="45">
        <f ca="1">SUMIF(J$3:$BB810,"出库",J811:$BB811)</f>
        <v>0</v>
      </c>
      <c r="H811" s="37">
        <f ca="1" t="shared" si="12"/>
        <v>560</v>
      </c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>
        <v>560</v>
      </c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</row>
    <row r="812" hidden="1" customHeight="1" spans="1:54">
      <c r="A812" s="49">
        <f>ROW()-4</f>
        <v>808</v>
      </c>
      <c r="B812" s="51" t="s">
        <v>286</v>
      </c>
      <c r="C812" s="52" t="s">
        <v>13</v>
      </c>
      <c r="D812" s="45"/>
      <c r="E812" s="45">
        <v>0</v>
      </c>
      <c r="F812" s="36">
        <f ca="1">SUMIF(I$3:$BB811,"入库",I812:$BB812)</f>
        <v>30</v>
      </c>
      <c r="G812" s="45">
        <f ca="1">SUMIF(J$3:$BB811,"出库",J812:$BB812)</f>
        <v>10</v>
      </c>
      <c r="H812" s="37">
        <f ca="1" t="shared" si="12"/>
        <v>20</v>
      </c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>
        <v>30</v>
      </c>
      <c r="AB812" s="45"/>
      <c r="AC812" s="45"/>
      <c r="AD812" s="45"/>
      <c r="AE812" s="45"/>
      <c r="AF812" s="45"/>
      <c r="AG812" s="45"/>
      <c r="AH812" s="45"/>
      <c r="AI812" s="45"/>
      <c r="AJ812" s="45">
        <v>10</v>
      </c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</row>
    <row r="813" hidden="1" customHeight="1" spans="1:54">
      <c r="A813" s="51"/>
      <c r="B813" s="51"/>
      <c r="C813" s="45" t="s">
        <v>14</v>
      </c>
      <c r="D813" s="45"/>
      <c r="E813" s="45">
        <v>0</v>
      </c>
      <c r="F813" s="36">
        <f ca="1">SUMIF(I$3:$BB812,"入库",I813:$BB813)</f>
        <v>60</v>
      </c>
      <c r="G813" s="45">
        <f ca="1">SUMIF(J$3:$BB812,"出库",J813:$BB813)</f>
        <v>0</v>
      </c>
      <c r="H813" s="37">
        <f ca="1" t="shared" si="12"/>
        <v>60</v>
      </c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>
        <v>60</v>
      </c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</row>
    <row r="814" hidden="1" customHeight="1" spans="1:54">
      <c r="A814" s="53"/>
      <c r="B814" s="53"/>
      <c r="C814" s="50" t="s">
        <v>12</v>
      </c>
      <c r="D814" s="45"/>
      <c r="E814" s="45">
        <v>0</v>
      </c>
      <c r="F814" s="36">
        <f ca="1">SUMIF(I$3:$BB813,"入库",I814:$BB814)</f>
        <v>200</v>
      </c>
      <c r="G814" s="45">
        <f ca="1">SUMIF(J$3:$BB813,"出库",J814:$BB814)</f>
        <v>110</v>
      </c>
      <c r="H814" s="37">
        <f ca="1" t="shared" si="12"/>
        <v>90</v>
      </c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>
        <v>200</v>
      </c>
      <c r="AB814" s="45"/>
      <c r="AC814" s="45"/>
      <c r="AD814" s="45">
        <v>100</v>
      </c>
      <c r="AE814" s="45"/>
      <c r="AF814" s="45"/>
      <c r="AG814" s="45"/>
      <c r="AH814" s="45"/>
      <c r="AI814" s="45"/>
      <c r="AJ814" s="45">
        <v>10</v>
      </c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</row>
    <row r="815" hidden="1" customHeight="1" spans="1:54">
      <c r="A815" s="49">
        <f>ROW()-4</f>
        <v>811</v>
      </c>
      <c r="B815" s="51" t="s">
        <v>287</v>
      </c>
      <c r="C815" s="52" t="s">
        <v>13</v>
      </c>
      <c r="D815" s="45"/>
      <c r="E815" s="45">
        <v>0</v>
      </c>
      <c r="F815" s="36">
        <f ca="1">SUMIF(I$3:$BB814,"入库",I815:$BB815)</f>
        <v>20</v>
      </c>
      <c r="G815" s="45">
        <f ca="1">SUMIF(J$3:$BB814,"出库",J815:$BB815)</f>
        <v>0</v>
      </c>
      <c r="H815" s="37">
        <f ca="1" t="shared" si="12"/>
        <v>20</v>
      </c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>
        <v>20</v>
      </c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</row>
    <row r="816" hidden="1" customHeight="1" spans="1:54">
      <c r="A816" s="51"/>
      <c r="B816" s="51"/>
      <c r="C816" s="45" t="s">
        <v>14</v>
      </c>
      <c r="D816" s="45"/>
      <c r="E816" s="45">
        <v>0</v>
      </c>
      <c r="F816" s="36">
        <f ca="1">SUMIF(I$3:$BB815,"入库",I816:$BB816)</f>
        <v>0</v>
      </c>
      <c r="G816" s="45">
        <f ca="1">SUMIF(J$3:$BB815,"出库",J816:$BB816)</f>
        <v>0</v>
      </c>
      <c r="H816" s="37">
        <f ca="1" t="shared" si="12"/>
        <v>0</v>
      </c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</row>
    <row r="817" hidden="1" customHeight="1" spans="1:54">
      <c r="A817" s="53"/>
      <c r="B817" s="53"/>
      <c r="C817" s="50" t="s">
        <v>12</v>
      </c>
      <c r="D817" s="45"/>
      <c r="E817" s="45">
        <v>0</v>
      </c>
      <c r="F817" s="36">
        <f ca="1">SUMIF(I$3:$BB816,"入库",I817:$BB817)</f>
        <v>1400</v>
      </c>
      <c r="G817" s="45">
        <f ca="1">SUMIF(J$3:$BB816,"出库",J817:$BB817)</f>
        <v>0</v>
      </c>
      <c r="H817" s="37">
        <f ca="1" t="shared" si="12"/>
        <v>1400</v>
      </c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>
        <v>1400</v>
      </c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</row>
    <row r="818" hidden="1" customHeight="1" spans="1:54">
      <c r="A818" s="49">
        <f>ROW()-4</f>
        <v>814</v>
      </c>
      <c r="B818" s="51" t="s">
        <v>288</v>
      </c>
      <c r="C818" s="52" t="s">
        <v>13</v>
      </c>
      <c r="D818" s="45"/>
      <c r="E818" s="45">
        <v>0</v>
      </c>
      <c r="F818" s="36">
        <f ca="1">SUMIF(I$3:$BB817,"入库",I818:$BB818)</f>
        <v>0</v>
      </c>
      <c r="G818" s="45">
        <f ca="1">SUMIF(J$3:$BB817,"出库",J818:$BB818)</f>
        <v>0</v>
      </c>
      <c r="H818" s="37">
        <f ca="1" t="shared" si="12"/>
        <v>0</v>
      </c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</row>
    <row r="819" hidden="1" customHeight="1" spans="1:54">
      <c r="A819" s="51"/>
      <c r="B819" s="51"/>
      <c r="C819" s="45" t="s">
        <v>14</v>
      </c>
      <c r="D819" s="45"/>
      <c r="E819" s="45">
        <v>0</v>
      </c>
      <c r="F819" s="36">
        <f ca="1">SUMIF(I$3:$BB818,"入库",I819:$BB819)</f>
        <v>15</v>
      </c>
      <c r="G819" s="45">
        <f ca="1">SUMIF(J$3:$BB818,"出库",J819:$BB819)</f>
        <v>0</v>
      </c>
      <c r="H819" s="37">
        <f ca="1" t="shared" si="12"/>
        <v>15</v>
      </c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>
        <v>15</v>
      </c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</row>
    <row r="820" hidden="1" customHeight="1" spans="1:54">
      <c r="A820" s="53"/>
      <c r="B820" s="53"/>
      <c r="C820" s="50" t="s">
        <v>12</v>
      </c>
      <c r="D820" s="45"/>
      <c r="E820" s="45">
        <v>0</v>
      </c>
      <c r="F820" s="36">
        <f ca="1">SUMIF(I$3:$BB819,"入库",I820:$BB820)</f>
        <v>0</v>
      </c>
      <c r="G820" s="45">
        <f ca="1">SUMIF(J$3:$BB819,"出库",J820:$BB820)</f>
        <v>0</v>
      </c>
      <c r="H820" s="37">
        <f ca="1" t="shared" si="12"/>
        <v>0</v>
      </c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</row>
    <row r="821" hidden="1" customHeight="1" spans="1:54">
      <c r="A821" s="49">
        <f>ROW()-4</f>
        <v>817</v>
      </c>
      <c r="B821" s="51" t="s">
        <v>289</v>
      </c>
      <c r="C821" s="52" t="s">
        <v>13</v>
      </c>
      <c r="D821" s="45"/>
      <c r="E821" s="45">
        <v>0</v>
      </c>
      <c r="F821" s="36">
        <f ca="1">SUMIF(I$3:$BB820,"入库",I821:$BB821)</f>
        <v>40</v>
      </c>
      <c r="G821" s="45">
        <f ca="1">SUMIF(J$3:$BB820,"出库",J821:$BB821)</f>
        <v>0</v>
      </c>
      <c r="H821" s="37">
        <f ca="1" t="shared" si="12"/>
        <v>40</v>
      </c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>
        <v>40</v>
      </c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</row>
    <row r="822" hidden="1" customHeight="1" spans="1:54">
      <c r="A822" s="51"/>
      <c r="B822" s="51"/>
      <c r="C822" s="45" t="s">
        <v>14</v>
      </c>
      <c r="D822" s="45"/>
      <c r="E822" s="45">
        <v>0</v>
      </c>
      <c r="F822" s="36">
        <f ca="1">SUMIF(I$3:$BB821,"入库",I822:$BB822)</f>
        <v>0</v>
      </c>
      <c r="G822" s="45">
        <f ca="1">SUMIF(J$3:$BB821,"出库",J822:$BB822)</f>
        <v>0</v>
      </c>
      <c r="H822" s="37">
        <f ca="1" t="shared" si="12"/>
        <v>0</v>
      </c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</row>
    <row r="823" hidden="1" customHeight="1" spans="1:54">
      <c r="A823" s="53"/>
      <c r="B823" s="53"/>
      <c r="C823" s="50" t="s">
        <v>12</v>
      </c>
      <c r="D823" s="45"/>
      <c r="E823" s="45">
        <v>0</v>
      </c>
      <c r="F823" s="36">
        <f ca="1">SUMIF(I$3:$BB822,"入库",I823:$BB823)</f>
        <v>20</v>
      </c>
      <c r="G823" s="45">
        <f ca="1">SUMIF(J$3:$BB822,"出库",J823:$BB823)</f>
        <v>0</v>
      </c>
      <c r="H823" s="37">
        <f ca="1" t="shared" si="12"/>
        <v>20</v>
      </c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>
        <v>20</v>
      </c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</row>
    <row r="824" hidden="1" customHeight="1" spans="1:54">
      <c r="A824" s="49">
        <f>ROW()-4</f>
        <v>820</v>
      </c>
      <c r="B824" s="51" t="s">
        <v>290</v>
      </c>
      <c r="C824" s="52" t="s">
        <v>13</v>
      </c>
      <c r="D824" s="45"/>
      <c r="E824" s="45">
        <v>0</v>
      </c>
      <c r="F824" s="36">
        <f ca="1">SUMIF(I$3:$BB823,"入库",I824:$BB824)</f>
        <v>200</v>
      </c>
      <c r="G824" s="45">
        <f ca="1">SUMIF(J$3:$BB823,"出库",J824:$BB824)</f>
        <v>0</v>
      </c>
      <c r="H824" s="37">
        <f ca="1" t="shared" si="12"/>
        <v>200</v>
      </c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>
        <v>200</v>
      </c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</row>
    <row r="825" hidden="1" customHeight="1" spans="1:54">
      <c r="A825" s="51"/>
      <c r="B825" s="51"/>
      <c r="C825" s="45" t="s">
        <v>14</v>
      </c>
      <c r="D825" s="45"/>
      <c r="E825" s="45">
        <v>0</v>
      </c>
      <c r="F825" s="36">
        <f ca="1">SUMIF(I$3:$BB824,"入库",I825:$BB825)</f>
        <v>0</v>
      </c>
      <c r="G825" s="45">
        <f ca="1">SUMIF(J$3:$BB824,"出库",J825:$BB825)</f>
        <v>0</v>
      </c>
      <c r="H825" s="37">
        <f ca="1" t="shared" si="12"/>
        <v>0</v>
      </c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</row>
    <row r="826" hidden="1" customHeight="1" spans="1:54">
      <c r="A826" s="53"/>
      <c r="B826" s="53"/>
      <c r="C826" s="50" t="s">
        <v>12</v>
      </c>
      <c r="D826" s="45"/>
      <c r="E826" s="45">
        <v>0</v>
      </c>
      <c r="F826" s="36">
        <f ca="1">SUMIF(I$3:$BB825,"入库",I826:$BB826)</f>
        <v>450</v>
      </c>
      <c r="G826" s="45">
        <f ca="1">SUMIF(J$3:$BB825,"出库",J826:$BB826)</f>
        <v>0</v>
      </c>
      <c r="H826" s="37">
        <f ca="1" t="shared" si="12"/>
        <v>450</v>
      </c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>
        <v>450</v>
      </c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</row>
    <row r="827" hidden="1" customHeight="1" spans="1:54">
      <c r="A827" s="49">
        <f>ROW()-4</f>
        <v>823</v>
      </c>
      <c r="B827" s="51" t="s">
        <v>291</v>
      </c>
      <c r="C827" s="52" t="s">
        <v>13</v>
      </c>
      <c r="D827" s="45"/>
      <c r="E827" s="45">
        <v>0</v>
      </c>
      <c r="F827" s="36">
        <f ca="1">SUMIF(I$3:$BB826,"入库",I827:$BB827)</f>
        <v>15</v>
      </c>
      <c r="G827" s="45">
        <f ca="1">SUMIF(J$3:$BB826,"出库",J827:$BB827)</f>
        <v>0</v>
      </c>
      <c r="H827" s="37">
        <f ca="1" t="shared" si="12"/>
        <v>15</v>
      </c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>
        <v>5</v>
      </c>
      <c r="AB827" s="45"/>
      <c r="AC827" s="45">
        <v>10</v>
      </c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</row>
    <row r="828" hidden="1" customHeight="1" spans="1:54">
      <c r="A828" s="51"/>
      <c r="B828" s="51"/>
      <c r="C828" s="45" t="s">
        <v>14</v>
      </c>
      <c r="D828" s="45"/>
      <c r="E828" s="45">
        <v>0</v>
      </c>
      <c r="F828" s="36">
        <f ca="1">SUMIF(I$3:$BB827,"入库",I828:$BB828)</f>
        <v>100</v>
      </c>
      <c r="G828" s="45">
        <f ca="1">SUMIF(J$3:$BB827,"出库",J828:$BB828)</f>
        <v>0</v>
      </c>
      <c r="H828" s="37">
        <f ca="1" t="shared" si="12"/>
        <v>100</v>
      </c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>
        <v>100</v>
      </c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</row>
    <row r="829" hidden="1" customHeight="1" spans="1:54">
      <c r="A829" s="53"/>
      <c r="B829" s="53"/>
      <c r="C829" s="50" t="s">
        <v>12</v>
      </c>
      <c r="D829" s="45"/>
      <c r="E829" s="45">
        <v>0</v>
      </c>
      <c r="F829" s="36">
        <f ca="1">SUMIF(I$3:$BB828,"入库",I829:$BB829)</f>
        <v>1850</v>
      </c>
      <c r="G829" s="45">
        <f ca="1">SUMIF(J$3:$BB828,"出库",J829:$BB829)</f>
        <v>50</v>
      </c>
      <c r="H829" s="37">
        <f ca="1" t="shared" si="12"/>
        <v>1800</v>
      </c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>
        <v>1250</v>
      </c>
      <c r="AB829" s="45"/>
      <c r="AC829" s="45">
        <v>600</v>
      </c>
      <c r="AD829" s="45"/>
      <c r="AE829" s="45"/>
      <c r="AF829" s="45"/>
      <c r="AG829" s="45"/>
      <c r="AH829" s="45">
        <v>50</v>
      </c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</row>
    <row r="830" hidden="1" customHeight="1" spans="1:54">
      <c r="A830" s="49">
        <f>ROW()-4</f>
        <v>826</v>
      </c>
      <c r="B830" s="51" t="s">
        <v>292</v>
      </c>
      <c r="C830" s="52" t="s">
        <v>13</v>
      </c>
      <c r="D830" s="45"/>
      <c r="E830" s="45">
        <v>0</v>
      </c>
      <c r="F830" s="36">
        <f ca="1">SUMIF(I$3:$BB829,"入库",I830:$BB830)</f>
        <v>80</v>
      </c>
      <c r="G830" s="45">
        <f ca="1">SUMIF(J$3:$BB829,"出库",J830:$BB830)</f>
        <v>0</v>
      </c>
      <c r="H830" s="37">
        <f ca="1" t="shared" si="12"/>
        <v>80</v>
      </c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>
        <v>80</v>
      </c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</row>
    <row r="831" hidden="1" customHeight="1" spans="1:54">
      <c r="A831" s="51"/>
      <c r="B831" s="51"/>
      <c r="C831" s="45" t="s">
        <v>14</v>
      </c>
      <c r="D831" s="45"/>
      <c r="E831" s="45">
        <v>0</v>
      </c>
      <c r="F831" s="36">
        <f ca="1">SUMIF(I$3:$BB830,"入库",I831:$BB831)</f>
        <v>3</v>
      </c>
      <c r="G831" s="45">
        <f ca="1">SUMIF(J$3:$BB830,"出库",J831:$BB831)</f>
        <v>0</v>
      </c>
      <c r="H831" s="37">
        <f ca="1" t="shared" si="12"/>
        <v>3</v>
      </c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>
        <v>3</v>
      </c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</row>
    <row r="832" hidden="1" customHeight="1" spans="1:54">
      <c r="A832" s="53"/>
      <c r="B832" s="53"/>
      <c r="C832" s="50" t="s">
        <v>12</v>
      </c>
      <c r="D832" s="45"/>
      <c r="E832" s="45">
        <v>0</v>
      </c>
      <c r="F832" s="36">
        <f ca="1">SUMIF(I$3:$BB831,"入库",I832:$BB832)</f>
        <v>350</v>
      </c>
      <c r="G832" s="45">
        <f ca="1">SUMIF(J$3:$BB831,"出库",J832:$BB832)</f>
        <v>0</v>
      </c>
      <c r="H832" s="37">
        <f ca="1" t="shared" si="12"/>
        <v>350</v>
      </c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>
        <v>350</v>
      </c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</row>
    <row r="833" hidden="1" customHeight="1" spans="1:54">
      <c r="A833" s="49">
        <f>ROW()-4</f>
        <v>829</v>
      </c>
      <c r="B833" s="51" t="s">
        <v>293</v>
      </c>
      <c r="C833" s="52" t="s">
        <v>13</v>
      </c>
      <c r="D833" s="45"/>
      <c r="E833" s="45">
        <v>0</v>
      </c>
      <c r="F833" s="36">
        <f ca="1">SUMIF(I$3:$BB832,"入库",I833:$BB833)</f>
        <v>0</v>
      </c>
      <c r="G833" s="45">
        <f ca="1">SUMIF(J$3:$BB832,"出库",J833:$BB833)</f>
        <v>0</v>
      </c>
      <c r="H833" s="37">
        <f ca="1" t="shared" si="12"/>
        <v>0</v>
      </c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</row>
    <row r="834" hidden="1" customHeight="1" spans="1:54">
      <c r="A834" s="51"/>
      <c r="B834" s="51"/>
      <c r="C834" s="45" t="s">
        <v>14</v>
      </c>
      <c r="D834" s="45"/>
      <c r="E834" s="45">
        <v>0</v>
      </c>
      <c r="F834" s="36">
        <f ca="1">SUMIF(I$3:$BB833,"入库",I834:$BB834)</f>
        <v>0</v>
      </c>
      <c r="G834" s="45">
        <f ca="1">SUMIF(J$3:$BB833,"出库",J834:$BB834)</f>
        <v>0</v>
      </c>
      <c r="H834" s="37">
        <f ca="1" t="shared" si="12"/>
        <v>0</v>
      </c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</row>
    <row r="835" hidden="1" customHeight="1" spans="1:54">
      <c r="A835" s="53"/>
      <c r="B835" s="53"/>
      <c r="C835" s="50" t="s">
        <v>12</v>
      </c>
      <c r="D835" s="45"/>
      <c r="E835" s="45">
        <v>0</v>
      </c>
      <c r="F835" s="36">
        <f ca="1">SUMIF(I$3:$BB834,"入库",I835:$BB835)</f>
        <v>0</v>
      </c>
      <c r="G835" s="45">
        <f ca="1">SUMIF(J$3:$BB834,"出库",J835:$BB835)</f>
        <v>0</v>
      </c>
      <c r="H835" s="37">
        <f ca="1" t="shared" si="12"/>
        <v>0</v>
      </c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</row>
    <row r="836" hidden="1" customHeight="1" spans="1:54">
      <c r="A836" s="49">
        <f>ROW()-4</f>
        <v>832</v>
      </c>
      <c r="B836" s="51" t="s">
        <v>294</v>
      </c>
      <c r="C836" s="52" t="s">
        <v>13</v>
      </c>
      <c r="D836" s="45"/>
      <c r="E836" s="45">
        <v>0</v>
      </c>
      <c r="F836" s="36">
        <f ca="1">SUMIF(I$3:$BB835,"入库",I836:$BB836)</f>
        <v>0</v>
      </c>
      <c r="G836" s="45">
        <f ca="1">SUMIF(J$3:$BB835,"出库",J836:$BB836)</f>
        <v>0</v>
      </c>
      <c r="H836" s="37">
        <f ca="1" t="shared" si="12"/>
        <v>0</v>
      </c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</row>
    <row r="837" hidden="1" customHeight="1" spans="1:54">
      <c r="A837" s="51"/>
      <c r="B837" s="51"/>
      <c r="C837" s="45" t="s">
        <v>14</v>
      </c>
      <c r="D837" s="45"/>
      <c r="E837" s="45">
        <v>0</v>
      </c>
      <c r="F837" s="36">
        <f ca="1">SUMIF(I$3:$BB836,"入库",I837:$BB837)</f>
        <v>0</v>
      </c>
      <c r="G837" s="45">
        <f ca="1">SUMIF(J$3:$BB836,"出库",J837:$BB837)</f>
        <v>0</v>
      </c>
      <c r="H837" s="37">
        <f ca="1" t="shared" ref="H837:H900" si="13">E837+F837-G837</f>
        <v>0</v>
      </c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</row>
    <row r="838" hidden="1" customHeight="1" spans="1:54">
      <c r="A838" s="53"/>
      <c r="B838" s="53"/>
      <c r="C838" s="50" t="s">
        <v>12</v>
      </c>
      <c r="D838" s="45"/>
      <c r="E838" s="45">
        <v>0</v>
      </c>
      <c r="F838" s="36">
        <f ca="1">SUMIF(I$3:$BB837,"入库",I838:$BB838)</f>
        <v>600</v>
      </c>
      <c r="G838" s="45">
        <f ca="1">SUMIF(J$3:$BB837,"出库",J838:$BB838)</f>
        <v>0</v>
      </c>
      <c r="H838" s="37">
        <f ca="1" t="shared" si="13"/>
        <v>600</v>
      </c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>
        <v>600</v>
      </c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</row>
    <row r="839" hidden="1" customHeight="1" spans="1:54">
      <c r="A839" s="49">
        <f>ROW()-4</f>
        <v>835</v>
      </c>
      <c r="B839" s="51" t="s">
        <v>295</v>
      </c>
      <c r="C839" s="52" t="s">
        <v>13</v>
      </c>
      <c r="D839" s="45"/>
      <c r="E839" s="45">
        <v>0</v>
      </c>
      <c r="F839" s="36">
        <f ca="1">SUMIF(I$3:$BB838,"入库",I839:$BB839)</f>
        <v>100</v>
      </c>
      <c r="G839" s="45">
        <f ca="1">SUMIF(J$3:$BB838,"出库",J839:$BB839)</f>
        <v>0</v>
      </c>
      <c r="H839" s="37">
        <f ca="1" t="shared" si="13"/>
        <v>100</v>
      </c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>
        <v>100</v>
      </c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</row>
    <row r="840" hidden="1" customHeight="1" spans="1:54">
      <c r="A840" s="51"/>
      <c r="B840" s="51"/>
      <c r="C840" s="45" t="s">
        <v>14</v>
      </c>
      <c r="D840" s="45"/>
      <c r="E840" s="45">
        <v>0</v>
      </c>
      <c r="F840" s="36">
        <f ca="1">SUMIF(I$3:$BB839,"入库",I840:$BB840)</f>
        <v>0</v>
      </c>
      <c r="G840" s="45">
        <f ca="1">SUMIF(J$3:$BB839,"出库",J840:$BB840)</f>
        <v>0</v>
      </c>
      <c r="H840" s="37">
        <f ca="1" t="shared" si="13"/>
        <v>0</v>
      </c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</row>
    <row r="841" hidden="1" customHeight="1" spans="1:54">
      <c r="A841" s="53"/>
      <c r="B841" s="53"/>
      <c r="C841" s="50" t="s">
        <v>12</v>
      </c>
      <c r="D841" s="45"/>
      <c r="E841" s="45">
        <v>0</v>
      </c>
      <c r="F841" s="36">
        <f ca="1">SUMIF(I$3:$BB840,"入库",I841:$BB841)</f>
        <v>200</v>
      </c>
      <c r="G841" s="45">
        <f ca="1">SUMIF(J$3:$BB840,"出库",J841:$BB841)</f>
        <v>50</v>
      </c>
      <c r="H841" s="37">
        <f ca="1" t="shared" si="13"/>
        <v>150</v>
      </c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>
        <v>200</v>
      </c>
      <c r="AB841" s="45"/>
      <c r="AC841" s="45"/>
      <c r="AD841" s="45"/>
      <c r="AE841" s="45"/>
      <c r="AF841" s="45"/>
      <c r="AG841" s="45"/>
      <c r="AH841" s="45">
        <v>50</v>
      </c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</row>
    <row r="842" hidden="1" customHeight="1" spans="1:54">
      <c r="A842" s="49">
        <f>ROW()-4</f>
        <v>838</v>
      </c>
      <c r="B842" s="51" t="s">
        <v>296</v>
      </c>
      <c r="C842" s="52" t="s">
        <v>13</v>
      </c>
      <c r="D842" s="45"/>
      <c r="E842" s="45">
        <v>0</v>
      </c>
      <c r="F842" s="36">
        <f ca="1">SUMIF(I$3:$BB841,"入库",I842:$BB842)</f>
        <v>40</v>
      </c>
      <c r="G842" s="45">
        <f ca="1">SUMIF(J$3:$BB841,"出库",J842:$BB842)</f>
        <v>0</v>
      </c>
      <c r="H842" s="37">
        <f ca="1" t="shared" si="13"/>
        <v>40</v>
      </c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>
        <v>40</v>
      </c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</row>
    <row r="843" hidden="1" customHeight="1" spans="1:54">
      <c r="A843" s="51"/>
      <c r="B843" s="51"/>
      <c r="C843" s="45" t="s">
        <v>14</v>
      </c>
      <c r="D843" s="45"/>
      <c r="E843" s="45">
        <v>0</v>
      </c>
      <c r="F843" s="36">
        <f ca="1">SUMIF(I$3:$BB842,"入库",I843:$BB843)</f>
        <v>0</v>
      </c>
      <c r="G843" s="45">
        <f ca="1">SUMIF(J$3:$BB842,"出库",J843:$BB843)</f>
        <v>0</v>
      </c>
      <c r="H843" s="37">
        <f ca="1" t="shared" si="13"/>
        <v>0</v>
      </c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</row>
    <row r="844" hidden="1" customHeight="1" spans="1:54">
      <c r="A844" s="53"/>
      <c r="B844" s="53"/>
      <c r="C844" s="50" t="s">
        <v>12</v>
      </c>
      <c r="D844" s="45"/>
      <c r="E844" s="45">
        <v>0</v>
      </c>
      <c r="F844" s="36">
        <f ca="1">SUMIF(I$3:$BB843,"入库",I844:$BB844)</f>
        <v>700</v>
      </c>
      <c r="G844" s="45">
        <f ca="1">SUMIF(J$3:$BB843,"出库",J844:$BB844)</f>
        <v>0</v>
      </c>
      <c r="H844" s="37">
        <f ca="1" t="shared" si="13"/>
        <v>700</v>
      </c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>
        <v>700</v>
      </c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</row>
    <row r="845" hidden="1" customHeight="1" spans="1:54">
      <c r="A845" s="49">
        <f>ROW()-4</f>
        <v>841</v>
      </c>
      <c r="B845" s="51" t="s">
        <v>297</v>
      </c>
      <c r="C845" s="52" t="s">
        <v>13</v>
      </c>
      <c r="D845" s="45"/>
      <c r="E845" s="45">
        <v>0</v>
      </c>
      <c r="F845" s="36">
        <f ca="1">SUMIF(I$3:$BB844,"入库",I845:$BB845)</f>
        <v>50</v>
      </c>
      <c r="G845" s="45">
        <f ca="1">SUMIF(J$3:$BB844,"出库",J845:$BB845)</f>
        <v>0</v>
      </c>
      <c r="H845" s="37">
        <f ca="1" t="shared" si="13"/>
        <v>50</v>
      </c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>
        <v>50</v>
      </c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</row>
    <row r="846" hidden="1" customHeight="1" spans="1:54">
      <c r="A846" s="51"/>
      <c r="B846" s="51"/>
      <c r="C846" s="45" t="s">
        <v>14</v>
      </c>
      <c r="D846" s="45"/>
      <c r="E846" s="45">
        <v>0</v>
      </c>
      <c r="F846" s="36">
        <f ca="1">SUMIF(I$3:$BB845,"入库",I846:$BB846)</f>
        <v>0</v>
      </c>
      <c r="G846" s="45">
        <f ca="1">SUMIF(J$3:$BB845,"出库",J846:$BB846)</f>
        <v>0</v>
      </c>
      <c r="H846" s="37">
        <f ca="1" t="shared" si="13"/>
        <v>0</v>
      </c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</row>
    <row r="847" hidden="1" customHeight="1" spans="1:54">
      <c r="A847" s="53"/>
      <c r="B847" s="53"/>
      <c r="C847" s="50" t="s">
        <v>12</v>
      </c>
      <c r="D847" s="45"/>
      <c r="E847" s="45">
        <v>0</v>
      </c>
      <c r="F847" s="36">
        <f ca="1">SUMIF(I$3:$BB846,"入库",I847:$BB847)</f>
        <v>380</v>
      </c>
      <c r="G847" s="45">
        <f ca="1">SUMIF(J$3:$BB846,"出库",J847:$BB847)</f>
        <v>20</v>
      </c>
      <c r="H847" s="37">
        <f ca="1" t="shared" si="13"/>
        <v>360</v>
      </c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>
        <v>380</v>
      </c>
      <c r="AH847" s="45"/>
      <c r="AI847" s="45"/>
      <c r="AJ847" s="45"/>
      <c r="AK847" s="45"/>
      <c r="AL847" s="45">
        <v>20</v>
      </c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</row>
    <row r="848" hidden="1" customHeight="1" spans="1:54">
      <c r="A848" s="49">
        <f>ROW()-4</f>
        <v>844</v>
      </c>
      <c r="B848" s="51" t="s">
        <v>298</v>
      </c>
      <c r="C848" s="52" t="s">
        <v>13</v>
      </c>
      <c r="D848" s="45"/>
      <c r="E848" s="45">
        <v>0</v>
      </c>
      <c r="F848" s="36">
        <f ca="1">SUMIF(I$3:$BB847,"入库",I848:$BB848)</f>
        <v>60</v>
      </c>
      <c r="G848" s="45">
        <f ca="1">SUMIF(J$3:$BB847,"出库",J848:$BB848)</f>
        <v>0</v>
      </c>
      <c r="H848" s="37">
        <f ca="1" t="shared" si="13"/>
        <v>60</v>
      </c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>
        <v>60</v>
      </c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</row>
    <row r="849" hidden="1" customHeight="1" spans="1:54">
      <c r="A849" s="51"/>
      <c r="B849" s="51"/>
      <c r="C849" s="45" t="s">
        <v>14</v>
      </c>
      <c r="D849" s="45"/>
      <c r="E849" s="45">
        <v>0</v>
      </c>
      <c r="F849" s="36">
        <f ca="1">SUMIF(I$3:$BB848,"入库",I849:$BB849)</f>
        <v>0</v>
      </c>
      <c r="G849" s="45">
        <f ca="1">SUMIF(J$3:$BB848,"出库",J849:$BB849)</f>
        <v>0</v>
      </c>
      <c r="H849" s="37">
        <f ca="1" t="shared" si="13"/>
        <v>0</v>
      </c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</row>
    <row r="850" hidden="1" customHeight="1" spans="1:54">
      <c r="A850" s="53"/>
      <c r="B850" s="53"/>
      <c r="C850" s="50" t="s">
        <v>12</v>
      </c>
      <c r="D850" s="45"/>
      <c r="E850" s="45">
        <v>0</v>
      </c>
      <c r="F850" s="36">
        <f ca="1">SUMIF(I$3:$BB849,"入库",I850:$BB850)</f>
        <v>500</v>
      </c>
      <c r="G850" s="45">
        <f ca="1">SUMIF(J$3:$BB849,"出库",J850:$BB850)</f>
        <v>0</v>
      </c>
      <c r="H850" s="37">
        <f ca="1" t="shared" si="13"/>
        <v>500</v>
      </c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>
        <v>500</v>
      </c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</row>
    <row r="851" hidden="1" customHeight="1" spans="1:54">
      <c r="A851" s="49">
        <f>ROW()-4</f>
        <v>847</v>
      </c>
      <c r="B851" s="51" t="s">
        <v>299</v>
      </c>
      <c r="C851" s="52" t="s">
        <v>13</v>
      </c>
      <c r="D851" s="45"/>
      <c r="E851" s="45">
        <v>0</v>
      </c>
      <c r="F851" s="36">
        <f ca="1">SUMIF(I$3:$BB850,"入库",I851:$BB851)</f>
        <v>160</v>
      </c>
      <c r="G851" s="45">
        <f ca="1">SUMIF(J$3:$BB850,"出库",J851:$BB851)</f>
        <v>0</v>
      </c>
      <c r="H851" s="37">
        <f ca="1" t="shared" si="13"/>
        <v>160</v>
      </c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>
        <v>160</v>
      </c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</row>
    <row r="852" hidden="1" customHeight="1" spans="1:54">
      <c r="A852" s="51"/>
      <c r="B852" s="51"/>
      <c r="C852" s="45" t="s">
        <v>14</v>
      </c>
      <c r="D852" s="45"/>
      <c r="E852" s="45">
        <v>0</v>
      </c>
      <c r="F852" s="36">
        <f ca="1">SUMIF(I$3:$BB851,"入库",I852:$BB852)</f>
        <v>0</v>
      </c>
      <c r="G852" s="45">
        <f ca="1">SUMIF(J$3:$BB851,"出库",J852:$BB852)</f>
        <v>0</v>
      </c>
      <c r="H852" s="37">
        <f ca="1" t="shared" si="13"/>
        <v>0</v>
      </c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</row>
    <row r="853" hidden="1" customHeight="1" spans="1:54">
      <c r="A853" s="53"/>
      <c r="B853" s="53"/>
      <c r="C853" s="50" t="s">
        <v>12</v>
      </c>
      <c r="D853" s="45"/>
      <c r="E853" s="45">
        <v>0</v>
      </c>
      <c r="F853" s="36">
        <f ca="1">SUMIF(I$3:$BB852,"入库",I853:$BB853)</f>
        <v>0</v>
      </c>
      <c r="G853" s="45">
        <f ca="1">SUMIF(J$3:$BB852,"出库",J853:$BB853)</f>
        <v>0</v>
      </c>
      <c r="H853" s="37">
        <f ca="1" t="shared" si="13"/>
        <v>0</v>
      </c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</row>
    <row r="854" hidden="1" customHeight="1" spans="1:54">
      <c r="A854" s="49">
        <f>ROW()-4</f>
        <v>850</v>
      </c>
      <c r="B854" s="51" t="s">
        <v>300</v>
      </c>
      <c r="C854" s="52" t="s">
        <v>13</v>
      </c>
      <c r="D854" s="45"/>
      <c r="E854" s="45">
        <v>0</v>
      </c>
      <c r="F854" s="36">
        <f ca="1">SUMIF(I$3:$BB853,"入库",I854:$BB854)</f>
        <v>30</v>
      </c>
      <c r="G854" s="45">
        <f ca="1">SUMIF(J$3:$BB853,"出库",J854:$BB854)</f>
        <v>0</v>
      </c>
      <c r="H854" s="37">
        <f ca="1" t="shared" si="13"/>
        <v>30</v>
      </c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>
        <v>30</v>
      </c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</row>
    <row r="855" hidden="1" customHeight="1" spans="1:54">
      <c r="A855" s="51"/>
      <c r="B855" s="51"/>
      <c r="C855" s="45" t="s">
        <v>14</v>
      </c>
      <c r="D855" s="45"/>
      <c r="E855" s="45">
        <v>0</v>
      </c>
      <c r="F855" s="36">
        <f ca="1">SUMIF(I$3:$BB854,"入库",I855:$BB855)</f>
        <v>0</v>
      </c>
      <c r="G855" s="45">
        <f ca="1">SUMIF(J$3:$BB854,"出库",J855:$BB855)</f>
        <v>0</v>
      </c>
      <c r="H855" s="37">
        <f ca="1" t="shared" si="13"/>
        <v>0</v>
      </c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</row>
    <row r="856" hidden="1" customHeight="1" spans="1:54">
      <c r="A856" s="53"/>
      <c r="B856" s="53"/>
      <c r="C856" s="50" t="s">
        <v>12</v>
      </c>
      <c r="D856" s="45"/>
      <c r="E856" s="45">
        <v>0</v>
      </c>
      <c r="F856" s="36">
        <f ca="1">SUMIF(I$3:$BB855,"入库",I856:$BB856)</f>
        <v>250</v>
      </c>
      <c r="G856" s="45">
        <f ca="1">SUMIF(J$3:$BB855,"出库",J856:$BB856)</f>
        <v>21</v>
      </c>
      <c r="H856" s="37">
        <f ca="1" t="shared" si="13"/>
        <v>229</v>
      </c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>
        <v>250</v>
      </c>
      <c r="AD856" s="45"/>
      <c r="AE856" s="45"/>
      <c r="AF856" s="45"/>
      <c r="AG856" s="45"/>
      <c r="AH856" s="45">
        <v>21</v>
      </c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</row>
    <row r="857" hidden="1" customHeight="1" spans="1:54">
      <c r="A857" s="49">
        <f>ROW()-4</f>
        <v>853</v>
      </c>
      <c r="B857" s="51" t="s">
        <v>301</v>
      </c>
      <c r="C857" s="52" t="s">
        <v>13</v>
      </c>
      <c r="D857" s="45"/>
      <c r="E857" s="45">
        <v>0</v>
      </c>
      <c r="F857" s="36">
        <f ca="1">SUMIF(I$3:$BB856,"入库",I857:$BB857)</f>
        <v>250</v>
      </c>
      <c r="G857" s="45">
        <f ca="1">SUMIF(J$3:$BB856,"出库",J857:$BB857)</f>
        <v>0</v>
      </c>
      <c r="H857" s="37">
        <f ca="1" t="shared" si="13"/>
        <v>250</v>
      </c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>
        <v>250</v>
      </c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</row>
    <row r="858" hidden="1" customHeight="1" spans="1:54">
      <c r="A858" s="51"/>
      <c r="B858" s="51"/>
      <c r="C858" s="45" t="s">
        <v>14</v>
      </c>
      <c r="D858" s="45"/>
      <c r="E858" s="45">
        <v>0</v>
      </c>
      <c r="F858" s="36">
        <f ca="1">SUMIF(I$3:$BB857,"入库",I858:$BB858)</f>
        <v>0</v>
      </c>
      <c r="G858" s="45">
        <f ca="1">SUMIF(J$3:$BB857,"出库",J858:$BB858)</f>
        <v>0</v>
      </c>
      <c r="H858" s="37">
        <f ca="1" t="shared" si="13"/>
        <v>0</v>
      </c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</row>
    <row r="859" hidden="1" customHeight="1" spans="1:54">
      <c r="A859" s="53"/>
      <c r="B859" s="53"/>
      <c r="C859" s="50" t="s">
        <v>12</v>
      </c>
      <c r="D859" s="45"/>
      <c r="E859" s="45">
        <v>0</v>
      </c>
      <c r="F859" s="36">
        <f ca="1">SUMIF(I$3:$BB858,"入库",I859:$BB859)</f>
        <v>750</v>
      </c>
      <c r="G859" s="45">
        <f ca="1">SUMIF(J$3:$BB858,"出库",J859:$BB859)</f>
        <v>61</v>
      </c>
      <c r="H859" s="37">
        <f ca="1" t="shared" si="13"/>
        <v>689</v>
      </c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>
        <v>750</v>
      </c>
      <c r="AD859" s="45"/>
      <c r="AE859" s="45"/>
      <c r="AF859" s="45"/>
      <c r="AG859" s="45"/>
      <c r="AH859" s="45">
        <v>11</v>
      </c>
      <c r="AI859" s="45"/>
      <c r="AJ859" s="45">
        <v>50</v>
      </c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</row>
    <row r="860" hidden="1" customHeight="1" spans="1:54">
      <c r="A860" s="49">
        <f>ROW()-4</f>
        <v>856</v>
      </c>
      <c r="B860" s="51" t="s">
        <v>302</v>
      </c>
      <c r="C860" s="52" t="s">
        <v>13</v>
      </c>
      <c r="D860" s="45"/>
      <c r="E860" s="45">
        <v>0</v>
      </c>
      <c r="F860" s="36">
        <f ca="1">SUMIF(I$3:$BB859,"入库",I860:$BB860)</f>
        <v>100</v>
      </c>
      <c r="G860" s="45">
        <f ca="1">SUMIF(J$3:$BB859,"出库",J860:$BB860)</f>
        <v>0</v>
      </c>
      <c r="H860" s="37">
        <f ca="1" t="shared" si="13"/>
        <v>100</v>
      </c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>
        <v>100</v>
      </c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</row>
    <row r="861" hidden="1" customHeight="1" spans="1:54">
      <c r="A861" s="51"/>
      <c r="B861" s="51"/>
      <c r="C861" s="45" t="s">
        <v>14</v>
      </c>
      <c r="D861" s="45"/>
      <c r="E861" s="45">
        <v>0</v>
      </c>
      <c r="F861" s="36">
        <f ca="1">SUMIF(I$3:$BB860,"入库",I861:$BB861)</f>
        <v>0</v>
      </c>
      <c r="G861" s="45">
        <f ca="1">SUMIF(J$3:$BB860,"出库",J861:$BB861)</f>
        <v>0</v>
      </c>
      <c r="H861" s="37">
        <f ca="1" t="shared" si="13"/>
        <v>0</v>
      </c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</row>
    <row r="862" hidden="1" customHeight="1" spans="1:54">
      <c r="A862" s="53"/>
      <c r="B862" s="53"/>
      <c r="C862" s="50" t="s">
        <v>12</v>
      </c>
      <c r="D862" s="45"/>
      <c r="E862" s="45">
        <v>0</v>
      </c>
      <c r="F862" s="36">
        <f ca="1">SUMIF(I$3:$BB861,"入库",I862:$BB862)</f>
        <v>50</v>
      </c>
      <c r="G862" s="45">
        <f ca="1">SUMIF(J$3:$BB861,"出库",J862:$BB862)</f>
        <v>0</v>
      </c>
      <c r="H862" s="37">
        <f ca="1" t="shared" si="13"/>
        <v>50</v>
      </c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>
        <v>50</v>
      </c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</row>
    <row r="863" hidden="1" customHeight="1" spans="1:54">
      <c r="A863" s="49">
        <f>ROW()-4</f>
        <v>859</v>
      </c>
      <c r="B863" s="51" t="s">
        <v>303</v>
      </c>
      <c r="C863" s="52" t="s">
        <v>13</v>
      </c>
      <c r="D863" s="45"/>
      <c r="E863" s="45">
        <v>0</v>
      </c>
      <c r="F863" s="36">
        <f ca="1">SUMIF(I$3:$BB862,"入库",I863:$BB863)</f>
        <v>0</v>
      </c>
      <c r="G863" s="45">
        <f ca="1">SUMIF(J$3:$BB862,"出库",J863:$BB863)</f>
        <v>0</v>
      </c>
      <c r="H863" s="37">
        <f ca="1" t="shared" si="13"/>
        <v>0</v>
      </c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</row>
    <row r="864" hidden="1" customHeight="1" spans="1:54">
      <c r="A864" s="51"/>
      <c r="B864" s="51"/>
      <c r="C864" s="45" t="s">
        <v>14</v>
      </c>
      <c r="D864" s="45"/>
      <c r="E864" s="45">
        <v>0</v>
      </c>
      <c r="F864" s="36">
        <f ca="1">SUMIF(I$3:$BB863,"入库",I864:$BB864)</f>
        <v>0</v>
      </c>
      <c r="G864" s="45">
        <f ca="1">SUMIF(J$3:$BB863,"出库",J864:$BB864)</f>
        <v>0</v>
      </c>
      <c r="H864" s="37">
        <f ca="1" t="shared" si="13"/>
        <v>0</v>
      </c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</row>
    <row r="865" hidden="1" customHeight="1" spans="1:54">
      <c r="A865" s="53"/>
      <c r="B865" s="53"/>
      <c r="C865" s="50" t="s">
        <v>12</v>
      </c>
      <c r="D865" s="45"/>
      <c r="E865" s="45">
        <v>0</v>
      </c>
      <c r="F865" s="36">
        <f ca="1">SUMIF(I$3:$BB864,"入库",I865:$BB865)</f>
        <v>170</v>
      </c>
      <c r="G865" s="45">
        <f ca="1">SUMIF(J$3:$BB864,"出库",J865:$BB865)</f>
        <v>0</v>
      </c>
      <c r="H865" s="37">
        <f ca="1" t="shared" si="13"/>
        <v>170</v>
      </c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>
        <v>170</v>
      </c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</row>
    <row r="866" hidden="1" customHeight="1" spans="1:54">
      <c r="A866" s="49">
        <f>ROW()-4</f>
        <v>862</v>
      </c>
      <c r="B866" s="51" t="s">
        <v>304</v>
      </c>
      <c r="C866" s="52" t="s">
        <v>13</v>
      </c>
      <c r="D866" s="45"/>
      <c r="E866" s="45">
        <v>0</v>
      </c>
      <c r="F866" s="36">
        <f ca="1">SUMIF(I$3:$BB865,"入库",I866:$BB866)</f>
        <v>40</v>
      </c>
      <c r="G866" s="45">
        <f ca="1">SUMIF(J$3:$BB865,"出库",J866:$BB866)</f>
        <v>1</v>
      </c>
      <c r="H866" s="37">
        <f ca="1" t="shared" si="13"/>
        <v>39</v>
      </c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>
        <v>40</v>
      </c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>
        <v>1</v>
      </c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</row>
    <row r="867" hidden="1" customHeight="1" spans="1:54">
      <c r="A867" s="51"/>
      <c r="B867" s="51"/>
      <c r="C867" s="45" t="s">
        <v>14</v>
      </c>
      <c r="D867" s="45"/>
      <c r="E867" s="45">
        <v>0</v>
      </c>
      <c r="F867" s="36">
        <f ca="1">SUMIF(I$3:$BB866,"入库",I867:$BB867)</f>
        <v>0</v>
      </c>
      <c r="G867" s="45">
        <f ca="1">SUMIF(J$3:$BB866,"出库",J867:$BB867)</f>
        <v>0</v>
      </c>
      <c r="H867" s="37">
        <f ca="1" t="shared" si="13"/>
        <v>0</v>
      </c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</row>
    <row r="868" hidden="1" customHeight="1" spans="1:54">
      <c r="A868" s="53"/>
      <c r="B868" s="53"/>
      <c r="C868" s="50" t="s">
        <v>12</v>
      </c>
      <c r="D868" s="45"/>
      <c r="E868" s="45">
        <v>0</v>
      </c>
      <c r="F868" s="36">
        <f ca="1">SUMIF(I$3:$BB867,"入库",I868:$BB868)</f>
        <v>100</v>
      </c>
      <c r="G868" s="45">
        <f ca="1">SUMIF(J$3:$BB867,"出库",J868:$BB868)</f>
        <v>0</v>
      </c>
      <c r="H868" s="37">
        <f ca="1" t="shared" si="13"/>
        <v>100</v>
      </c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>
        <v>100</v>
      </c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</row>
    <row r="869" hidden="1" customHeight="1" spans="1:54">
      <c r="A869" s="49">
        <f>ROW()-4</f>
        <v>865</v>
      </c>
      <c r="B869" s="51" t="s">
        <v>305</v>
      </c>
      <c r="C869" s="52" t="s">
        <v>13</v>
      </c>
      <c r="D869" s="45"/>
      <c r="E869" s="45">
        <v>0</v>
      </c>
      <c r="F869" s="36">
        <f ca="1">SUMIF(I$3:$BB868,"入库",I869:$BB869)</f>
        <v>0</v>
      </c>
      <c r="G869" s="45">
        <f ca="1">SUMIF(J$3:$BB868,"出库",J869:$BB869)</f>
        <v>0</v>
      </c>
      <c r="H869" s="37">
        <f ca="1" t="shared" si="13"/>
        <v>0</v>
      </c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 t="s">
        <v>336</v>
      </c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</row>
    <row r="870" hidden="1" customHeight="1" spans="1:54">
      <c r="A870" s="51"/>
      <c r="B870" s="51"/>
      <c r="C870" s="45" t="s">
        <v>14</v>
      </c>
      <c r="D870" s="45"/>
      <c r="E870" s="45">
        <v>0</v>
      </c>
      <c r="F870" s="36">
        <f ca="1">SUMIF(I$3:$BB869,"入库",I870:$BB870)</f>
        <v>0</v>
      </c>
      <c r="G870" s="45">
        <f ca="1">SUMIF(J$3:$BB869,"出库",J870:$BB870)</f>
        <v>0</v>
      </c>
      <c r="H870" s="37">
        <f ca="1" t="shared" si="13"/>
        <v>0</v>
      </c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</row>
    <row r="871" hidden="1" customHeight="1" spans="1:54">
      <c r="A871" s="53"/>
      <c r="B871" s="53"/>
      <c r="C871" s="50" t="s">
        <v>12</v>
      </c>
      <c r="D871" s="45"/>
      <c r="E871" s="45">
        <v>0</v>
      </c>
      <c r="F871" s="36">
        <f ca="1">SUMIF(I$3:$BB870,"入库",I871:$BB871)</f>
        <v>0</v>
      </c>
      <c r="G871" s="45">
        <f ca="1">SUMIF(J$3:$BB870,"出库",J871:$BB871)</f>
        <v>0</v>
      </c>
      <c r="H871" s="37">
        <f ca="1" t="shared" si="13"/>
        <v>0</v>
      </c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</row>
    <row r="872" hidden="1" customHeight="1" spans="1:54">
      <c r="A872" s="49">
        <f>ROW()-4</f>
        <v>868</v>
      </c>
      <c r="B872" s="51" t="s">
        <v>306</v>
      </c>
      <c r="C872" s="52" t="s">
        <v>13</v>
      </c>
      <c r="D872" s="45"/>
      <c r="E872" s="45">
        <v>0</v>
      </c>
      <c r="F872" s="36">
        <f ca="1">SUMIF(I$3:$BB871,"入库",I872:$BB872)</f>
        <v>0</v>
      </c>
      <c r="G872" s="45">
        <f ca="1">SUMIF(J$3:$BB871,"出库",J872:$BB872)</f>
        <v>0</v>
      </c>
      <c r="H872" s="37">
        <f ca="1" t="shared" si="13"/>
        <v>0</v>
      </c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</row>
    <row r="873" hidden="1" customHeight="1" spans="1:54">
      <c r="A873" s="51"/>
      <c r="B873" s="51"/>
      <c r="C873" s="45" t="s">
        <v>14</v>
      </c>
      <c r="D873" s="45"/>
      <c r="E873" s="45">
        <v>0</v>
      </c>
      <c r="F873" s="36">
        <f ca="1">SUMIF(I$3:$BB872,"入库",I873:$BB873)</f>
        <v>0</v>
      </c>
      <c r="G873" s="45">
        <f ca="1">SUMIF(J$3:$BB872,"出库",J873:$BB873)</f>
        <v>0</v>
      </c>
      <c r="H873" s="37">
        <f ca="1" t="shared" si="13"/>
        <v>0</v>
      </c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</row>
    <row r="874" hidden="1" customHeight="1" spans="1:54">
      <c r="A874" s="53"/>
      <c r="B874" s="53"/>
      <c r="C874" s="50" t="s">
        <v>12</v>
      </c>
      <c r="D874" s="45"/>
      <c r="E874" s="45">
        <v>0</v>
      </c>
      <c r="F874" s="36">
        <f ca="1">SUMIF(I$3:$BB873,"入库",I874:$BB874)</f>
        <v>20</v>
      </c>
      <c r="G874" s="45">
        <f ca="1">SUMIF(J$3:$BB873,"出库",J874:$BB874)</f>
        <v>20</v>
      </c>
      <c r="H874" s="37">
        <f ca="1" t="shared" si="13"/>
        <v>0</v>
      </c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>
        <v>20</v>
      </c>
      <c r="AH874" s="45"/>
      <c r="AI874" s="45"/>
      <c r="AJ874" s="45">
        <v>20</v>
      </c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</row>
    <row r="875" hidden="1" customHeight="1" spans="1:54">
      <c r="A875" s="49">
        <f>ROW()-4</f>
        <v>871</v>
      </c>
      <c r="B875" s="51" t="s">
        <v>307</v>
      </c>
      <c r="C875" s="52" t="s">
        <v>13</v>
      </c>
      <c r="D875" s="45"/>
      <c r="E875" s="45">
        <v>0</v>
      </c>
      <c r="F875" s="36">
        <f ca="1">SUMIF(I$3:$BB874,"入库",I875:$BB875)</f>
        <v>0</v>
      </c>
      <c r="G875" s="45">
        <f ca="1">SUMIF(J$3:$BB874,"出库",J875:$BB875)</f>
        <v>0</v>
      </c>
      <c r="H875" s="37">
        <f ca="1" t="shared" si="13"/>
        <v>0</v>
      </c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</row>
    <row r="876" hidden="1" customHeight="1" spans="1:54">
      <c r="A876" s="51"/>
      <c r="B876" s="51"/>
      <c r="C876" s="45" t="s">
        <v>14</v>
      </c>
      <c r="D876" s="45"/>
      <c r="E876" s="45">
        <v>0</v>
      </c>
      <c r="F876" s="36">
        <f ca="1">SUMIF(I$3:$BB875,"入库",I876:$BB876)</f>
        <v>0</v>
      </c>
      <c r="G876" s="45">
        <f ca="1">SUMIF(J$3:$BB875,"出库",J876:$BB876)</f>
        <v>0</v>
      </c>
      <c r="H876" s="37">
        <f ca="1" t="shared" si="13"/>
        <v>0</v>
      </c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</row>
    <row r="877" hidden="1" customHeight="1" spans="1:54">
      <c r="A877" s="53"/>
      <c r="B877" s="53"/>
      <c r="C877" s="50" t="s">
        <v>12</v>
      </c>
      <c r="D877" s="45"/>
      <c r="E877" s="45">
        <v>0</v>
      </c>
      <c r="F877" s="36">
        <f ca="1">SUMIF(I$3:$BB876,"入库",I877:$BB877)</f>
        <v>20</v>
      </c>
      <c r="G877" s="45">
        <f ca="1">SUMIF(J$3:$BB876,"出库",J877:$BB877)</f>
        <v>0</v>
      </c>
      <c r="H877" s="37">
        <f ca="1" t="shared" si="13"/>
        <v>20</v>
      </c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>
        <v>20</v>
      </c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</row>
    <row r="878" hidden="1" customHeight="1" spans="1:54">
      <c r="A878" s="49">
        <f>ROW()-4</f>
        <v>874</v>
      </c>
      <c r="B878" s="51" t="s">
        <v>308</v>
      </c>
      <c r="C878" s="52" t="s">
        <v>13</v>
      </c>
      <c r="D878" s="45"/>
      <c r="E878" s="45">
        <v>0</v>
      </c>
      <c r="F878" s="36">
        <f ca="1">SUMIF(I$3:$BB877,"入库",I878:$BB878)</f>
        <v>0</v>
      </c>
      <c r="G878" s="45">
        <f ca="1">SUMIF(J$3:$BB877,"出库",J878:$BB878)</f>
        <v>0</v>
      </c>
      <c r="H878" s="37">
        <f ca="1" t="shared" si="13"/>
        <v>0</v>
      </c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</row>
    <row r="879" hidden="1" customHeight="1" spans="1:54">
      <c r="A879" s="51"/>
      <c r="B879" s="51"/>
      <c r="C879" s="45" t="s">
        <v>14</v>
      </c>
      <c r="D879" s="45"/>
      <c r="E879" s="45">
        <v>0</v>
      </c>
      <c r="F879" s="36">
        <f ca="1">SUMIF(I$3:$BB878,"入库",I879:$BB879)</f>
        <v>0</v>
      </c>
      <c r="G879" s="45">
        <f ca="1">SUMIF(J$3:$BB878,"出库",J879:$BB879)</f>
        <v>0</v>
      </c>
      <c r="H879" s="37">
        <f ca="1" t="shared" si="13"/>
        <v>0</v>
      </c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</row>
    <row r="880" hidden="1" customHeight="1" spans="1:54">
      <c r="A880" s="53"/>
      <c r="B880" s="53"/>
      <c r="C880" s="50" t="s">
        <v>12</v>
      </c>
      <c r="D880" s="45"/>
      <c r="E880" s="45">
        <v>0</v>
      </c>
      <c r="F880" s="36">
        <f ca="1">SUMIF(I$3:$BB879,"入库",I880:$BB880)</f>
        <v>0</v>
      </c>
      <c r="G880" s="45">
        <f ca="1">SUMIF(J$3:$BB879,"出库",J880:$BB880)</f>
        <v>0</v>
      </c>
      <c r="H880" s="37">
        <f ca="1" t="shared" si="13"/>
        <v>0</v>
      </c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</row>
    <row r="881" hidden="1" customHeight="1" spans="1:54">
      <c r="A881" s="49">
        <f>ROW()-4</f>
        <v>877</v>
      </c>
      <c r="B881" s="51" t="s">
        <v>309</v>
      </c>
      <c r="C881" s="52" t="s">
        <v>13</v>
      </c>
      <c r="D881" s="45"/>
      <c r="E881" s="45">
        <v>0</v>
      </c>
      <c r="F881" s="36">
        <f ca="1">SUMIF(I$3:$BB880,"入库",I881:$BB881)</f>
        <v>120</v>
      </c>
      <c r="G881" s="45">
        <f ca="1">SUMIF(J$3:$BB880,"出库",J881:$BB881)</f>
        <v>0</v>
      </c>
      <c r="H881" s="37">
        <f ca="1" t="shared" si="13"/>
        <v>120</v>
      </c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>
        <v>120</v>
      </c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</row>
    <row r="882" hidden="1" customHeight="1" spans="1:54">
      <c r="A882" s="51"/>
      <c r="B882" s="51"/>
      <c r="C882" s="45" t="s">
        <v>14</v>
      </c>
      <c r="D882" s="45"/>
      <c r="E882" s="45">
        <v>0</v>
      </c>
      <c r="F882" s="36">
        <f ca="1">SUMIF(I$3:$BB881,"入库",I882:$BB882)</f>
        <v>0</v>
      </c>
      <c r="G882" s="45">
        <f ca="1">SUMIF(J$3:$BB881,"出库",J882:$BB882)</f>
        <v>0</v>
      </c>
      <c r="H882" s="37">
        <f ca="1" t="shared" si="13"/>
        <v>0</v>
      </c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</row>
    <row r="883" hidden="1" customHeight="1" spans="1:54">
      <c r="A883" s="53"/>
      <c r="B883" s="53"/>
      <c r="C883" s="50" t="s">
        <v>12</v>
      </c>
      <c r="D883" s="45"/>
      <c r="E883" s="45">
        <v>0</v>
      </c>
      <c r="F883" s="36">
        <f ca="1">SUMIF(I$3:$BB882,"入库",I883:$BB883)</f>
        <v>100</v>
      </c>
      <c r="G883" s="45">
        <f ca="1">SUMIF(J$3:$BB882,"出库",J883:$BB883)</f>
        <v>0</v>
      </c>
      <c r="H883" s="37">
        <f ca="1" t="shared" si="13"/>
        <v>100</v>
      </c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>
        <v>100</v>
      </c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</row>
    <row r="884" hidden="1" customHeight="1" spans="1:54">
      <c r="A884" s="49">
        <f>ROW()-4</f>
        <v>880</v>
      </c>
      <c r="B884" s="51" t="s">
        <v>310</v>
      </c>
      <c r="C884" s="52" t="s">
        <v>13</v>
      </c>
      <c r="D884" s="45"/>
      <c r="E884" s="45">
        <v>0</v>
      </c>
      <c r="F884" s="36">
        <f ca="1">SUMIF(I$3:$BB883,"入库",I884:$BB884)</f>
        <v>0</v>
      </c>
      <c r="G884" s="45">
        <f ca="1">SUMIF(J$3:$BB883,"出库",J884:$BB884)</f>
        <v>0</v>
      </c>
      <c r="H884" s="37">
        <f ca="1" t="shared" si="13"/>
        <v>0</v>
      </c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</row>
    <row r="885" hidden="1" customHeight="1" spans="1:54">
      <c r="A885" s="51"/>
      <c r="B885" s="51"/>
      <c r="C885" s="45" t="s">
        <v>14</v>
      </c>
      <c r="D885" s="45"/>
      <c r="E885" s="45">
        <v>0</v>
      </c>
      <c r="F885" s="36">
        <f ca="1">SUMIF(I$3:$BB884,"入库",I885:$BB885)</f>
        <v>0</v>
      </c>
      <c r="G885" s="45">
        <f ca="1">SUMIF(J$3:$BB884,"出库",J885:$BB885)</f>
        <v>0</v>
      </c>
      <c r="H885" s="37">
        <f ca="1" t="shared" si="13"/>
        <v>0</v>
      </c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</row>
    <row r="886" hidden="1" customHeight="1" spans="1:54">
      <c r="A886" s="53"/>
      <c r="B886" s="53"/>
      <c r="C886" s="50" t="s">
        <v>12</v>
      </c>
      <c r="D886" s="45"/>
      <c r="E886" s="45">
        <v>0</v>
      </c>
      <c r="F886" s="36">
        <f ca="1">SUMIF(I$3:$BB885,"入库",I886:$BB886)</f>
        <v>560</v>
      </c>
      <c r="G886" s="45">
        <f ca="1">SUMIF(J$3:$BB885,"出库",J886:$BB886)</f>
        <v>2</v>
      </c>
      <c r="H886" s="37">
        <f ca="1" t="shared" si="13"/>
        <v>558</v>
      </c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>
        <v>560</v>
      </c>
      <c r="AD886" s="45"/>
      <c r="AE886" s="45"/>
      <c r="AF886" s="45"/>
      <c r="AG886" s="45"/>
      <c r="AH886" s="45"/>
      <c r="AI886" s="45"/>
      <c r="AJ886" s="45">
        <v>2</v>
      </c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</row>
    <row r="887" hidden="1" customHeight="1" spans="1:54">
      <c r="A887" s="49">
        <f>ROW()-4</f>
        <v>883</v>
      </c>
      <c r="B887" s="51" t="s">
        <v>311</v>
      </c>
      <c r="C887" s="52" t="s">
        <v>13</v>
      </c>
      <c r="D887" s="45"/>
      <c r="E887" s="45">
        <v>0</v>
      </c>
      <c r="F887" s="36">
        <f ca="1">SUMIF(I$3:$BB886,"入库",I887:$BB887)</f>
        <v>20</v>
      </c>
      <c r="G887" s="45">
        <f ca="1">SUMIF(J$3:$BB886,"出库",J887:$BB887)</f>
        <v>0</v>
      </c>
      <c r="H887" s="37">
        <f ca="1" t="shared" si="13"/>
        <v>20</v>
      </c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>
        <v>20</v>
      </c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</row>
    <row r="888" hidden="1" customHeight="1" spans="1:54">
      <c r="A888" s="51"/>
      <c r="B888" s="51"/>
      <c r="C888" s="45" t="s">
        <v>14</v>
      </c>
      <c r="D888" s="45"/>
      <c r="E888" s="45">
        <v>0</v>
      </c>
      <c r="F888" s="36">
        <f ca="1">SUMIF(I$3:$BB887,"入库",I888:$BB888)</f>
        <v>0</v>
      </c>
      <c r="G888" s="45">
        <f ca="1">SUMIF(J$3:$BB887,"出库",J888:$BB888)</f>
        <v>0</v>
      </c>
      <c r="H888" s="37">
        <f ca="1" t="shared" si="13"/>
        <v>0</v>
      </c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</row>
    <row r="889" hidden="1" customHeight="1" spans="1:54">
      <c r="A889" s="53"/>
      <c r="B889" s="53"/>
      <c r="C889" s="50" t="s">
        <v>12</v>
      </c>
      <c r="D889" s="45"/>
      <c r="E889" s="45">
        <v>0</v>
      </c>
      <c r="F889" s="36">
        <f ca="1">SUMIF(I$3:$BB888,"入库",I889:$BB889)</f>
        <v>500</v>
      </c>
      <c r="G889" s="45">
        <f ca="1">SUMIF(J$3:$BB888,"出库",J889:$BB889)</f>
        <v>50</v>
      </c>
      <c r="H889" s="37">
        <f ca="1" t="shared" si="13"/>
        <v>450</v>
      </c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>
        <v>500</v>
      </c>
      <c r="AB889" s="45"/>
      <c r="AC889" s="45"/>
      <c r="AD889" s="45">
        <v>50</v>
      </c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</row>
    <row r="890" hidden="1" customHeight="1" spans="1:54">
      <c r="A890" s="49">
        <f>ROW()-4</f>
        <v>886</v>
      </c>
      <c r="B890" s="51" t="s">
        <v>312</v>
      </c>
      <c r="C890" s="52" t="s">
        <v>13</v>
      </c>
      <c r="D890" s="45"/>
      <c r="E890" s="45">
        <v>0</v>
      </c>
      <c r="F890" s="36">
        <f ca="1">SUMIF(I$3:$BB889,"入库",I890:$BB890)</f>
        <v>0</v>
      </c>
      <c r="G890" s="45">
        <f ca="1">SUMIF(J$3:$BB889,"出库",J890:$BB890)</f>
        <v>0</v>
      </c>
      <c r="H890" s="37">
        <f ca="1" t="shared" si="13"/>
        <v>0</v>
      </c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</row>
    <row r="891" hidden="1" customHeight="1" spans="1:54">
      <c r="A891" s="51"/>
      <c r="B891" s="51"/>
      <c r="C891" s="45" t="s">
        <v>14</v>
      </c>
      <c r="D891" s="45"/>
      <c r="E891" s="45">
        <v>0</v>
      </c>
      <c r="F891" s="36">
        <f ca="1">SUMIF(I$3:$BB890,"入库",I891:$BB891)</f>
        <v>0</v>
      </c>
      <c r="G891" s="45">
        <f ca="1">SUMIF(J$3:$BB890,"出库",J891:$BB891)</f>
        <v>0</v>
      </c>
      <c r="H891" s="37">
        <f ca="1" t="shared" si="13"/>
        <v>0</v>
      </c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</row>
    <row r="892" hidden="1" customHeight="1" spans="1:54">
      <c r="A892" s="53"/>
      <c r="B892" s="53"/>
      <c r="C892" s="50" t="s">
        <v>12</v>
      </c>
      <c r="D892" s="45"/>
      <c r="E892" s="45">
        <v>0</v>
      </c>
      <c r="F892" s="36">
        <f ca="1">SUMIF(I$3:$BB891,"入库",I892:$BB892)</f>
        <v>0</v>
      </c>
      <c r="G892" s="45">
        <f ca="1">SUMIF(J$3:$BB891,"出库",J892:$BB892)</f>
        <v>0</v>
      </c>
      <c r="H892" s="37">
        <f ca="1" t="shared" si="13"/>
        <v>0</v>
      </c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</row>
    <row r="893" hidden="1" customHeight="1" spans="1:54">
      <c r="A893" s="49">
        <f>ROW()-4</f>
        <v>889</v>
      </c>
      <c r="B893" s="51" t="s">
        <v>313</v>
      </c>
      <c r="C893" s="52" t="s">
        <v>13</v>
      </c>
      <c r="D893" s="45"/>
      <c r="E893" s="45">
        <v>0</v>
      </c>
      <c r="F893" s="36">
        <f ca="1">SUMIF(I$3:$BB892,"入库",I893:$BB893)</f>
        <v>80</v>
      </c>
      <c r="G893" s="45">
        <f ca="1">SUMIF(J$3:$BB892,"出库",J893:$BB893)</f>
        <v>0</v>
      </c>
      <c r="H893" s="37">
        <f ca="1" t="shared" si="13"/>
        <v>80</v>
      </c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>
        <v>80</v>
      </c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</row>
    <row r="894" hidden="1" customHeight="1" spans="1:54">
      <c r="A894" s="51"/>
      <c r="B894" s="51"/>
      <c r="C894" s="45" t="s">
        <v>14</v>
      </c>
      <c r="D894" s="45"/>
      <c r="E894" s="45">
        <v>0</v>
      </c>
      <c r="F894" s="36">
        <f ca="1">SUMIF(I$3:$BB893,"入库",I894:$BB894)</f>
        <v>0</v>
      </c>
      <c r="G894" s="45">
        <f ca="1">SUMIF(J$3:$BB893,"出库",J894:$BB894)</f>
        <v>0</v>
      </c>
      <c r="H894" s="37">
        <f ca="1" t="shared" si="13"/>
        <v>0</v>
      </c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</row>
    <row r="895" hidden="1" customHeight="1" spans="1:54">
      <c r="A895" s="53"/>
      <c r="B895" s="53"/>
      <c r="C895" s="50" t="s">
        <v>12</v>
      </c>
      <c r="D895" s="45"/>
      <c r="E895" s="45">
        <v>0</v>
      </c>
      <c r="F895" s="36">
        <f ca="1">SUMIF(I$3:$BB894,"入库",I895:$BB895)</f>
        <v>130</v>
      </c>
      <c r="G895" s="45">
        <f ca="1">SUMIF(J$3:$BB894,"出库",J895:$BB895)</f>
        <v>0</v>
      </c>
      <c r="H895" s="37">
        <f ca="1" t="shared" si="13"/>
        <v>130</v>
      </c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>
        <v>130</v>
      </c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</row>
    <row r="896" hidden="1" customHeight="1" spans="1:54">
      <c r="A896" s="49">
        <f>ROW()-4</f>
        <v>892</v>
      </c>
      <c r="B896" s="45" t="s">
        <v>332</v>
      </c>
      <c r="C896" s="52" t="s">
        <v>13</v>
      </c>
      <c r="D896" s="45"/>
      <c r="E896" s="45">
        <v>0</v>
      </c>
      <c r="F896" s="36">
        <f ca="1">SUMIF(I$3:$BB895,"入库",I896:$BB896)</f>
        <v>100</v>
      </c>
      <c r="G896" s="45">
        <f ca="1">SUMIF(J$3:$BB895,"出库",J896:$BB896)</f>
        <v>0</v>
      </c>
      <c r="H896" s="37">
        <f ca="1" t="shared" si="13"/>
        <v>100</v>
      </c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>
        <v>100</v>
      </c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</row>
    <row r="897" hidden="1" customHeight="1" spans="1:54">
      <c r="A897" s="51"/>
      <c r="B897" s="45"/>
      <c r="C897" s="45" t="s">
        <v>14</v>
      </c>
      <c r="D897" s="32"/>
      <c r="E897" s="45">
        <v>0</v>
      </c>
      <c r="F897" s="36">
        <f ca="1">SUMIF(I$3:$BB896,"入库",I897:$BB897)</f>
        <v>0</v>
      </c>
      <c r="G897" s="45">
        <f ca="1">SUMIF(J$3:$BB896,"出库",J897:$BB897)</f>
        <v>0</v>
      </c>
      <c r="H897" s="37">
        <f ca="1" t="shared" si="13"/>
        <v>0</v>
      </c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</row>
    <row r="898" hidden="1" customHeight="1" spans="1:54">
      <c r="A898" s="53"/>
      <c r="B898" s="45"/>
      <c r="C898" s="50" t="s">
        <v>12</v>
      </c>
      <c r="D898" s="32"/>
      <c r="E898" s="45">
        <v>0</v>
      </c>
      <c r="F898" s="36">
        <f ca="1">SUMIF(I$3:$BB897,"入库",I898:$BB898)</f>
        <v>700</v>
      </c>
      <c r="G898" s="45">
        <f ca="1">SUMIF(J$3:$BB897,"出库",J898:$BB898)</f>
        <v>10</v>
      </c>
      <c r="H898" s="37">
        <f ca="1" t="shared" si="13"/>
        <v>690</v>
      </c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>
        <v>700</v>
      </c>
      <c r="AJ898" s="32">
        <v>10</v>
      </c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</row>
    <row r="899" hidden="1" customHeight="1" spans="1:54">
      <c r="A899" s="49">
        <f>ROW()-4</f>
        <v>895</v>
      </c>
      <c r="B899" s="45" t="s">
        <v>314</v>
      </c>
      <c r="C899" s="52" t="s">
        <v>13</v>
      </c>
      <c r="D899" s="32"/>
      <c r="E899" s="45">
        <v>0</v>
      </c>
      <c r="F899" s="36">
        <f ca="1">SUMIF(I$3:$BB898,"入库",I899:$BB899)</f>
        <v>60</v>
      </c>
      <c r="G899" s="45">
        <f ca="1">SUMIF(J$3:$BB898,"出库",J899:$BB899)</f>
        <v>0</v>
      </c>
      <c r="H899" s="37">
        <f ca="1" t="shared" si="13"/>
        <v>60</v>
      </c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45">
        <v>60</v>
      </c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</row>
    <row r="900" hidden="1" customHeight="1" spans="1:54">
      <c r="A900" s="51"/>
      <c r="B900" s="45"/>
      <c r="C900" s="45" t="s">
        <v>14</v>
      </c>
      <c r="D900" s="32"/>
      <c r="E900" s="45">
        <v>0</v>
      </c>
      <c r="F900" s="36">
        <f ca="1">SUMIF(I$3:$BB899,"入库",I900:$BB900)</f>
        <v>140</v>
      </c>
      <c r="G900" s="45">
        <f ca="1">SUMIF(J$3:$BB899,"出库",J900:$BB900)</f>
        <v>1</v>
      </c>
      <c r="H900" s="37">
        <f ca="1" t="shared" si="13"/>
        <v>139</v>
      </c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>
        <v>140</v>
      </c>
      <c r="AB900" s="32"/>
      <c r="AC900" s="32"/>
      <c r="AD900" s="32"/>
      <c r="AE900" s="32"/>
      <c r="AF900" s="32"/>
      <c r="AG900" s="32"/>
      <c r="AH900" s="32">
        <v>1</v>
      </c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</row>
    <row r="901" hidden="1" customHeight="1" spans="1:54">
      <c r="A901" s="53"/>
      <c r="B901" s="45"/>
      <c r="C901" s="50" t="s">
        <v>12</v>
      </c>
      <c r="D901" s="32"/>
      <c r="E901" s="45">
        <v>0</v>
      </c>
      <c r="F901" s="36">
        <f ca="1">SUMIF(I$3:$BB900,"入库",I901:$BB901)</f>
        <v>0</v>
      </c>
      <c r="G901" s="45">
        <f ca="1">SUMIF(J$3:$BB900,"出库",J901:$BB901)</f>
        <v>0</v>
      </c>
      <c r="H901" s="37">
        <f ca="1" t="shared" ref="H901:H964" si="14">E901+F901-G901</f>
        <v>0</v>
      </c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</row>
    <row r="902" hidden="1" customHeight="1" spans="1:54">
      <c r="A902" s="49">
        <f>ROW()-4</f>
        <v>898</v>
      </c>
      <c r="B902" s="45" t="s">
        <v>337</v>
      </c>
      <c r="C902" s="52" t="s">
        <v>13</v>
      </c>
      <c r="D902" s="32"/>
      <c r="E902" s="45">
        <v>0</v>
      </c>
      <c r="F902" s="36">
        <f ca="1">SUMIF(I$3:$BB901,"入库",I902:$BB902)</f>
        <v>0</v>
      </c>
      <c r="G902" s="45">
        <f ca="1">SUMIF(J$3:$BB901,"出库",J902:$BB902)</f>
        <v>0</v>
      </c>
      <c r="H902" s="37">
        <f ca="1" t="shared" si="14"/>
        <v>0</v>
      </c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</row>
    <row r="903" hidden="1" customHeight="1" spans="1:54">
      <c r="A903" s="51"/>
      <c r="B903" s="45"/>
      <c r="C903" s="45" t="s">
        <v>14</v>
      </c>
      <c r="D903" s="32"/>
      <c r="E903" s="45">
        <v>0</v>
      </c>
      <c r="F903" s="36">
        <f ca="1">SUMIF(I$3:$BB902,"入库",I903:$BB903)</f>
        <v>0</v>
      </c>
      <c r="G903" s="45">
        <f ca="1">SUMIF(J$3:$BB902,"出库",J903:$BB903)</f>
        <v>0</v>
      </c>
      <c r="H903" s="37">
        <f ca="1" t="shared" si="14"/>
        <v>0</v>
      </c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</row>
    <row r="904" hidden="1" customHeight="1" spans="1:54">
      <c r="A904" s="53"/>
      <c r="B904" s="45"/>
      <c r="C904" s="50" t="s">
        <v>12</v>
      </c>
      <c r="D904" s="32"/>
      <c r="E904" s="45">
        <v>0</v>
      </c>
      <c r="F904" s="36">
        <f ca="1">SUMIF(I$3:$BB903,"入库",I904:$BB904)</f>
        <v>100</v>
      </c>
      <c r="G904" s="45">
        <f ca="1">SUMIF(J$3:$BB903,"出库",J904:$BB904)</f>
        <v>0</v>
      </c>
      <c r="H904" s="37">
        <f ca="1" t="shared" si="14"/>
        <v>100</v>
      </c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>
        <v>100</v>
      </c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</row>
    <row r="905" hidden="1" customHeight="1" spans="1:54">
      <c r="A905" s="49">
        <f>ROW()-4</f>
        <v>901</v>
      </c>
      <c r="B905" s="45" t="s">
        <v>338</v>
      </c>
      <c r="C905" s="52" t="s">
        <v>13</v>
      </c>
      <c r="D905" s="32"/>
      <c r="E905" s="45">
        <v>0</v>
      </c>
      <c r="F905" s="36">
        <f ca="1">SUMIF(I$3:$BB904,"入库",I905:$BB905)</f>
        <v>0</v>
      </c>
      <c r="G905" s="45">
        <f ca="1">SUMIF(J$3:$BB904,"出库",J905:$BB905)</f>
        <v>0</v>
      </c>
      <c r="H905" s="37">
        <f ca="1" t="shared" si="14"/>
        <v>0</v>
      </c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</row>
    <row r="906" hidden="1" customHeight="1" spans="1:54">
      <c r="A906" s="51"/>
      <c r="B906" s="45"/>
      <c r="C906" s="45" t="s">
        <v>14</v>
      </c>
      <c r="D906" s="32"/>
      <c r="E906" s="45">
        <v>0</v>
      </c>
      <c r="F906" s="36">
        <f ca="1">SUMIF(I$3:$BB905,"入库",I906:$BB906)</f>
        <v>0</v>
      </c>
      <c r="G906" s="45">
        <f ca="1">SUMIF(J$3:$BB905,"出库",J906:$BB906)</f>
        <v>0</v>
      </c>
      <c r="H906" s="37">
        <f ca="1" t="shared" si="14"/>
        <v>0</v>
      </c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</row>
    <row r="907" hidden="1" customHeight="1" spans="1:54">
      <c r="A907" s="53"/>
      <c r="B907" s="45"/>
      <c r="C907" s="50" t="s">
        <v>12</v>
      </c>
      <c r="D907" s="32"/>
      <c r="E907" s="45">
        <v>0</v>
      </c>
      <c r="F907" s="36">
        <f ca="1">SUMIF(I$3:$BB906,"入库",I907:$BB907)</f>
        <v>250</v>
      </c>
      <c r="G907" s="45">
        <f ca="1">SUMIF(J$3:$BB906,"出库",J907:$BB907)</f>
        <v>0</v>
      </c>
      <c r="H907" s="37">
        <f ca="1" t="shared" si="14"/>
        <v>250</v>
      </c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>
        <v>250</v>
      </c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</row>
    <row r="908" hidden="1" customHeight="1" spans="1:54">
      <c r="A908" s="49">
        <f>ROW()-4</f>
        <v>904</v>
      </c>
      <c r="B908" s="45" t="s">
        <v>317</v>
      </c>
      <c r="C908" s="52" t="s">
        <v>13</v>
      </c>
      <c r="D908" s="32"/>
      <c r="E908" s="45">
        <v>0</v>
      </c>
      <c r="F908" s="36">
        <f ca="1">SUMIF(I$3:$BB907,"入库",I908:$BB908)</f>
        <v>0</v>
      </c>
      <c r="G908" s="45">
        <f ca="1">SUMIF(J$3:$BB907,"出库",J908:$BB908)</f>
        <v>0</v>
      </c>
      <c r="H908" s="37">
        <f ca="1" t="shared" si="14"/>
        <v>0</v>
      </c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</row>
    <row r="909" hidden="1" customHeight="1" spans="1:54">
      <c r="A909" s="51"/>
      <c r="B909" s="45"/>
      <c r="C909" s="45" t="s">
        <v>14</v>
      </c>
      <c r="D909" s="32"/>
      <c r="E909" s="45">
        <v>0</v>
      </c>
      <c r="F909" s="36">
        <f ca="1">SUMIF(I$3:$BB908,"入库",I909:$BB909)</f>
        <v>0</v>
      </c>
      <c r="G909" s="45">
        <f ca="1">SUMIF(J$3:$BB908,"出库",J909:$BB909)</f>
        <v>0</v>
      </c>
      <c r="H909" s="37">
        <f ca="1" t="shared" si="14"/>
        <v>0</v>
      </c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</row>
    <row r="910" hidden="1" customHeight="1" spans="1:54">
      <c r="A910" s="53"/>
      <c r="B910" s="45"/>
      <c r="C910" s="50" t="s">
        <v>12</v>
      </c>
      <c r="D910" s="32"/>
      <c r="E910" s="45">
        <v>0</v>
      </c>
      <c r="F910" s="36">
        <f ca="1">SUMIF(I$3:$BB909,"入库",I910:$BB910)</f>
        <v>60</v>
      </c>
      <c r="G910" s="45">
        <f ca="1">SUMIF(J$3:$BB909,"出库",J910:$BB910)</f>
        <v>0</v>
      </c>
      <c r="H910" s="37">
        <f ca="1" t="shared" si="14"/>
        <v>60</v>
      </c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>
        <v>60</v>
      </c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</row>
    <row r="911" hidden="1" customHeight="1" spans="1:54">
      <c r="A911" s="49">
        <f>ROW()-4</f>
        <v>907</v>
      </c>
      <c r="B911" s="45" t="s">
        <v>318</v>
      </c>
      <c r="C911" s="52" t="s">
        <v>13</v>
      </c>
      <c r="D911" s="32"/>
      <c r="E911" s="45">
        <v>0</v>
      </c>
      <c r="F911" s="36">
        <f ca="1">SUMIF(I$3:$BB910,"入库",I911:$BB911)</f>
        <v>80</v>
      </c>
      <c r="G911" s="45">
        <f ca="1">SUMIF(J$3:$BB910,"出库",J911:$BB911)</f>
        <v>0</v>
      </c>
      <c r="H911" s="37">
        <f ca="1" t="shared" si="14"/>
        <v>80</v>
      </c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>
        <v>80</v>
      </c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</row>
    <row r="912" hidden="1" customHeight="1" spans="1:54">
      <c r="A912" s="51"/>
      <c r="B912" s="45"/>
      <c r="C912" s="45" t="s">
        <v>14</v>
      </c>
      <c r="D912" s="32"/>
      <c r="E912" s="45">
        <v>0</v>
      </c>
      <c r="F912" s="36">
        <f ca="1">SUMIF(I$3:$BB911,"入库",I912:$BB912)</f>
        <v>0</v>
      </c>
      <c r="G912" s="45">
        <f ca="1">SUMIF(J$3:$BB911,"出库",J912:$BB912)</f>
        <v>0</v>
      </c>
      <c r="H912" s="37">
        <f ca="1" t="shared" si="14"/>
        <v>0</v>
      </c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</row>
    <row r="913" hidden="1" customHeight="1" spans="1:54">
      <c r="A913" s="53"/>
      <c r="B913" s="45"/>
      <c r="C913" s="50" t="s">
        <v>12</v>
      </c>
      <c r="D913" s="32"/>
      <c r="E913" s="45">
        <v>0</v>
      </c>
      <c r="F913" s="36">
        <f ca="1">SUMIF(I$3:$BB912,"入库",I913:$BB913)</f>
        <v>0</v>
      </c>
      <c r="G913" s="45">
        <f ca="1">SUMIF(J$3:$BB912,"出库",J913:$BB913)</f>
        <v>0</v>
      </c>
      <c r="H913" s="37">
        <f ca="1" t="shared" si="14"/>
        <v>0</v>
      </c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</row>
    <row r="914" hidden="1" customHeight="1" spans="1:54">
      <c r="A914" s="49">
        <f>ROW()-4</f>
        <v>910</v>
      </c>
      <c r="B914" s="45" t="s">
        <v>339</v>
      </c>
      <c r="C914" s="52" t="s">
        <v>13</v>
      </c>
      <c r="D914" s="32"/>
      <c r="E914" s="45">
        <v>0</v>
      </c>
      <c r="F914" s="36">
        <f ca="1">SUMIF(I$3:$BB913,"入库",I914:$BB914)</f>
        <v>50</v>
      </c>
      <c r="G914" s="45">
        <f ca="1">SUMIF(J$3:$BB913,"出库",J914:$BB914)</f>
        <v>0</v>
      </c>
      <c r="H914" s="37">
        <f ca="1" t="shared" si="14"/>
        <v>50</v>
      </c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>
        <v>50</v>
      </c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</row>
    <row r="915" hidden="1" customHeight="1" spans="1:54">
      <c r="A915" s="51"/>
      <c r="B915" s="45"/>
      <c r="C915" s="45" t="s">
        <v>14</v>
      </c>
      <c r="D915" s="32"/>
      <c r="E915" s="45">
        <v>0</v>
      </c>
      <c r="F915" s="36">
        <f ca="1">SUMIF(I$3:$BB914,"入库",I915:$BB915)</f>
        <v>40</v>
      </c>
      <c r="G915" s="45">
        <f ca="1">SUMIF(J$3:$BB914,"出库",J915:$BB915)</f>
        <v>0</v>
      </c>
      <c r="H915" s="37">
        <f ca="1" t="shared" si="14"/>
        <v>40</v>
      </c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>
        <v>40</v>
      </c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</row>
    <row r="916" hidden="1" customHeight="1" spans="1:54">
      <c r="A916" s="53"/>
      <c r="B916" s="45"/>
      <c r="C916" s="50" t="s">
        <v>12</v>
      </c>
      <c r="D916" s="32"/>
      <c r="E916" s="45">
        <v>0</v>
      </c>
      <c r="F916" s="36">
        <f ca="1">SUMIF(I$3:$BB915,"入库",I916:$BB916)</f>
        <v>80</v>
      </c>
      <c r="G916" s="45">
        <f ca="1">SUMIF(J$3:$BB915,"出库",J916:$BB916)</f>
        <v>0</v>
      </c>
      <c r="H916" s="37">
        <f ca="1" t="shared" si="14"/>
        <v>80</v>
      </c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>
        <v>80</v>
      </c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</row>
    <row r="917" hidden="1" customHeight="1" spans="1:54">
      <c r="A917" s="49">
        <f>ROW()-4</f>
        <v>913</v>
      </c>
      <c r="B917" s="45" t="s">
        <v>340</v>
      </c>
      <c r="C917" s="52" t="s">
        <v>13</v>
      </c>
      <c r="D917" s="32"/>
      <c r="E917" s="45">
        <v>0</v>
      </c>
      <c r="F917" s="36">
        <f ca="1">SUMIF(I$3:$BB916,"入库",I917:$BB917)</f>
        <v>0</v>
      </c>
      <c r="G917" s="45">
        <f ca="1">SUMIF(J$3:$BB916,"出库",J917:$BB917)</f>
        <v>0</v>
      </c>
      <c r="H917" s="37">
        <f ca="1" t="shared" si="14"/>
        <v>0</v>
      </c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</row>
    <row r="918" hidden="1" customHeight="1" spans="1:54">
      <c r="A918" s="51"/>
      <c r="B918" s="45"/>
      <c r="C918" s="45" t="s">
        <v>14</v>
      </c>
      <c r="D918" s="32"/>
      <c r="E918" s="45">
        <v>0</v>
      </c>
      <c r="F918" s="36">
        <f ca="1">SUMIF(I$3:$BB917,"入库",I918:$BB918)</f>
        <v>0</v>
      </c>
      <c r="G918" s="45">
        <f ca="1">SUMIF(J$3:$BB917,"出库",J918:$BB918)</f>
        <v>0</v>
      </c>
      <c r="H918" s="37">
        <f ca="1" t="shared" si="14"/>
        <v>0</v>
      </c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</row>
    <row r="919" hidden="1" customHeight="1" spans="1:54">
      <c r="A919" s="53"/>
      <c r="B919" s="45"/>
      <c r="C919" s="50" t="s">
        <v>12</v>
      </c>
      <c r="D919" s="32"/>
      <c r="E919" s="45">
        <v>0</v>
      </c>
      <c r="F919" s="36">
        <f ca="1">SUMIF(I$3:$BB918,"入库",I919:$BB919)</f>
        <v>50</v>
      </c>
      <c r="G919" s="45">
        <f ca="1">SUMIF(J$3:$BB918,"出库",J919:$BB919)</f>
        <v>0</v>
      </c>
      <c r="H919" s="37">
        <f ca="1" t="shared" si="14"/>
        <v>50</v>
      </c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>
        <v>50</v>
      </c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</row>
    <row r="920" hidden="1" customHeight="1" spans="1:54">
      <c r="A920" s="49">
        <f>ROW()-4</f>
        <v>916</v>
      </c>
      <c r="B920" s="45" t="s">
        <v>319</v>
      </c>
      <c r="C920" s="52" t="s">
        <v>13</v>
      </c>
      <c r="D920" s="32"/>
      <c r="E920" s="45">
        <v>0</v>
      </c>
      <c r="F920" s="36">
        <f ca="1">SUMIF(I$3:$BB919,"入库",I920:$BB920)</f>
        <v>210</v>
      </c>
      <c r="G920" s="45">
        <f ca="1">SUMIF(J$3:$BB919,"出库",J920:$BB920)</f>
        <v>0</v>
      </c>
      <c r="H920" s="37">
        <f ca="1" t="shared" si="14"/>
        <v>210</v>
      </c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>
        <v>210</v>
      </c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</row>
    <row r="921" hidden="1" customHeight="1" spans="1:54">
      <c r="A921" s="51"/>
      <c r="B921" s="45"/>
      <c r="C921" s="45" t="s">
        <v>14</v>
      </c>
      <c r="D921" s="32"/>
      <c r="E921" s="45">
        <v>0</v>
      </c>
      <c r="F921" s="36">
        <f ca="1">SUMIF(I$3:$BB920,"入库",I921:$BB921)</f>
        <v>60</v>
      </c>
      <c r="G921" s="45">
        <f ca="1">SUMIF(J$3:$BB920,"出库",J921:$BB921)</f>
        <v>0</v>
      </c>
      <c r="H921" s="37">
        <f ca="1" t="shared" si="14"/>
        <v>60</v>
      </c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>
        <v>60</v>
      </c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</row>
    <row r="922" hidden="1" customHeight="1" spans="1:54">
      <c r="A922" s="53"/>
      <c r="B922" s="45"/>
      <c r="C922" s="50" t="s">
        <v>12</v>
      </c>
      <c r="D922" s="32"/>
      <c r="E922" s="45">
        <v>0</v>
      </c>
      <c r="F922" s="36">
        <f ca="1">SUMIF(I$3:$BB921,"入库",I922:$BB922)</f>
        <v>310</v>
      </c>
      <c r="G922" s="45">
        <f ca="1">SUMIF(J$3:$BB921,"出库",J922:$BB922)</f>
        <v>0</v>
      </c>
      <c r="H922" s="37">
        <f ca="1" t="shared" si="14"/>
        <v>310</v>
      </c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>
        <v>310</v>
      </c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</row>
    <row r="923" hidden="1" customHeight="1" spans="1:54">
      <c r="A923" s="49">
        <f>ROW()-4</f>
        <v>919</v>
      </c>
      <c r="B923" s="45" t="s">
        <v>341</v>
      </c>
      <c r="C923" s="52" t="s">
        <v>13</v>
      </c>
      <c r="D923" s="32"/>
      <c r="E923" s="45">
        <v>0</v>
      </c>
      <c r="F923" s="36">
        <f ca="1">SUMIF(I$3:$BB922,"入库",I923:$BB923)</f>
        <v>60</v>
      </c>
      <c r="G923" s="45">
        <f ca="1">SUMIF(J$3:$BB922,"出库",J923:$BB923)</f>
        <v>0</v>
      </c>
      <c r="H923" s="37">
        <f ca="1" t="shared" si="14"/>
        <v>60</v>
      </c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>
        <v>60</v>
      </c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</row>
    <row r="924" hidden="1" customHeight="1" spans="1:54">
      <c r="A924" s="51"/>
      <c r="B924" s="45"/>
      <c r="C924" s="45" t="s">
        <v>14</v>
      </c>
      <c r="D924" s="32"/>
      <c r="E924" s="45">
        <v>0</v>
      </c>
      <c r="F924" s="36">
        <f ca="1">SUMIF(I$3:$BB923,"入库",I924:$BB924)</f>
        <v>0</v>
      </c>
      <c r="G924" s="45">
        <f ca="1">SUMIF(J$3:$BB923,"出库",J924:$BB924)</f>
        <v>0</v>
      </c>
      <c r="H924" s="37">
        <f ca="1" t="shared" si="14"/>
        <v>0</v>
      </c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</row>
    <row r="925" hidden="1" customHeight="1" spans="1:54">
      <c r="A925" s="53"/>
      <c r="B925" s="45"/>
      <c r="C925" s="50" t="s">
        <v>12</v>
      </c>
      <c r="D925" s="32"/>
      <c r="E925" s="45">
        <v>0</v>
      </c>
      <c r="F925" s="36">
        <f ca="1">SUMIF(I$3:$BB924,"入库",I925:$BB925)</f>
        <v>210</v>
      </c>
      <c r="G925" s="45">
        <f ca="1">SUMIF(J$3:$BB924,"出库",J925:$BB925)</f>
        <v>0</v>
      </c>
      <c r="H925" s="37">
        <f ca="1" t="shared" si="14"/>
        <v>210</v>
      </c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>
        <v>210</v>
      </c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</row>
    <row r="926" hidden="1" customHeight="1" spans="1:54">
      <c r="A926" s="49">
        <f>ROW()-4</f>
        <v>922</v>
      </c>
      <c r="B926" s="45" t="s">
        <v>342</v>
      </c>
      <c r="C926" s="52" t="s">
        <v>13</v>
      </c>
      <c r="D926" s="32"/>
      <c r="E926" s="45">
        <v>0</v>
      </c>
      <c r="F926" s="36">
        <f ca="1">SUMIF(I$3:$BB925,"入库",I926:$BB926)</f>
        <v>15</v>
      </c>
      <c r="G926" s="45">
        <f ca="1">SUMIF(J$3:$BB925,"出库",J926:$BB926)</f>
        <v>0</v>
      </c>
      <c r="H926" s="37">
        <f ca="1" t="shared" si="14"/>
        <v>15</v>
      </c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>
        <v>15</v>
      </c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</row>
    <row r="927" hidden="1" customHeight="1" spans="1:54">
      <c r="A927" s="51"/>
      <c r="B927" s="45"/>
      <c r="C927" s="45" t="s">
        <v>14</v>
      </c>
      <c r="D927" s="32"/>
      <c r="E927" s="45">
        <v>0</v>
      </c>
      <c r="F927" s="36">
        <f ca="1">SUMIF(I$3:$BB926,"入库",I927:$BB927)</f>
        <v>0</v>
      </c>
      <c r="G927" s="45">
        <f ca="1">SUMIF(J$3:$BB926,"出库",J927:$BB927)</f>
        <v>0</v>
      </c>
      <c r="H927" s="37">
        <f ca="1" t="shared" si="14"/>
        <v>0</v>
      </c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</row>
    <row r="928" hidden="1" customHeight="1" spans="1:54">
      <c r="A928" s="53"/>
      <c r="B928" s="45"/>
      <c r="C928" s="50" t="s">
        <v>12</v>
      </c>
      <c r="D928" s="32"/>
      <c r="E928" s="45">
        <v>0</v>
      </c>
      <c r="F928" s="36">
        <f ca="1">SUMIF(I$3:$BB927,"入库",I928:$BB928)</f>
        <v>0</v>
      </c>
      <c r="G928" s="45">
        <f ca="1">SUMIF(J$3:$BB927,"出库",J928:$BB928)</f>
        <v>0</v>
      </c>
      <c r="H928" s="37">
        <f ca="1" t="shared" si="14"/>
        <v>0</v>
      </c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</row>
    <row r="929" hidden="1" customHeight="1" spans="1:54">
      <c r="A929" s="49">
        <f>ROW()-4</f>
        <v>925</v>
      </c>
      <c r="B929" s="45" t="s">
        <v>321</v>
      </c>
      <c r="C929" s="52" t="s">
        <v>13</v>
      </c>
      <c r="D929" s="32"/>
      <c r="E929" s="45">
        <v>0</v>
      </c>
      <c r="F929" s="36">
        <f ca="1">SUMIF(I$3:$BB928,"入库",I929:$BB929)</f>
        <v>30</v>
      </c>
      <c r="G929" s="45">
        <f ca="1">SUMIF(J$3:$BB928,"出库",J929:$BB929)</f>
        <v>0</v>
      </c>
      <c r="H929" s="37">
        <f ca="1" t="shared" si="14"/>
        <v>30</v>
      </c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>
        <v>30</v>
      </c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</row>
    <row r="930" hidden="1" customHeight="1" spans="1:54">
      <c r="A930" s="51"/>
      <c r="B930" s="45"/>
      <c r="C930" s="45" t="s">
        <v>14</v>
      </c>
      <c r="D930" s="32"/>
      <c r="E930" s="45">
        <v>0</v>
      </c>
      <c r="F930" s="36">
        <f ca="1">SUMIF(I$3:$BB929,"入库",I930:$BB930)</f>
        <v>0</v>
      </c>
      <c r="G930" s="45">
        <f ca="1">SUMIF(J$3:$BB929,"出库",J930:$BB930)</f>
        <v>0</v>
      </c>
      <c r="H930" s="37">
        <f ca="1" t="shared" si="14"/>
        <v>0</v>
      </c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</row>
    <row r="931" hidden="1" customHeight="1" spans="1:54">
      <c r="A931" s="53"/>
      <c r="B931" s="45"/>
      <c r="C931" s="50" t="s">
        <v>12</v>
      </c>
      <c r="D931" s="32"/>
      <c r="E931" s="45">
        <v>0</v>
      </c>
      <c r="F931" s="36">
        <f ca="1">SUMIF(I$3:$BB930,"入库",I931:$BB931)</f>
        <v>600</v>
      </c>
      <c r="G931" s="45">
        <f ca="1">SUMIF(J$3:$BB930,"出库",J931:$BB931)</f>
        <v>0</v>
      </c>
      <c r="H931" s="37">
        <f ca="1" t="shared" si="14"/>
        <v>600</v>
      </c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>
        <v>600</v>
      </c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</row>
    <row r="932" hidden="1" customHeight="1" spans="1:54">
      <c r="A932" s="49">
        <f>ROW()-4</f>
        <v>928</v>
      </c>
      <c r="B932" s="45" t="s">
        <v>322</v>
      </c>
      <c r="C932" s="52" t="s">
        <v>13</v>
      </c>
      <c r="D932" s="32"/>
      <c r="E932" s="45">
        <v>0</v>
      </c>
      <c r="F932" s="36">
        <f ca="1">SUMIF(I$3:$BB931,"入库",I932:$BB932)</f>
        <v>100</v>
      </c>
      <c r="G932" s="45">
        <f ca="1">SUMIF(J$3:$BB931,"出库",J932:$BB932)</f>
        <v>0</v>
      </c>
      <c r="H932" s="37">
        <f ca="1" t="shared" si="14"/>
        <v>100</v>
      </c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>
        <v>100</v>
      </c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</row>
    <row r="933" hidden="1" customHeight="1" spans="1:54">
      <c r="A933" s="51"/>
      <c r="B933" s="45"/>
      <c r="C933" s="45" t="s">
        <v>14</v>
      </c>
      <c r="D933" s="32"/>
      <c r="E933" s="45">
        <v>0</v>
      </c>
      <c r="F933" s="36">
        <f ca="1">SUMIF(I$3:$BB932,"入库",I933:$BB933)</f>
        <v>0</v>
      </c>
      <c r="G933" s="45">
        <f ca="1">SUMIF(J$3:$BB932,"出库",J933:$BB933)</f>
        <v>0</v>
      </c>
      <c r="H933" s="37">
        <f ca="1" t="shared" si="14"/>
        <v>0</v>
      </c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</row>
    <row r="934" hidden="1" customHeight="1" spans="1:54">
      <c r="A934" s="53"/>
      <c r="B934" s="45"/>
      <c r="C934" s="50" t="s">
        <v>12</v>
      </c>
      <c r="D934" s="32"/>
      <c r="E934" s="45">
        <v>0</v>
      </c>
      <c r="F934" s="36">
        <f ca="1">SUMIF(I$3:$BB933,"入库",I934:$BB934)</f>
        <v>5</v>
      </c>
      <c r="G934" s="45">
        <f ca="1">SUMIF(J$3:$BB933,"出库",J934:$BB934)</f>
        <v>0</v>
      </c>
      <c r="H934" s="37">
        <f ca="1" t="shared" si="14"/>
        <v>5</v>
      </c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>
        <v>5</v>
      </c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</row>
    <row r="935" hidden="1" customHeight="1" spans="1:54">
      <c r="A935" s="49">
        <f>ROW()-4</f>
        <v>931</v>
      </c>
      <c r="B935" s="45" t="s">
        <v>343</v>
      </c>
      <c r="C935" s="52" t="s">
        <v>13</v>
      </c>
      <c r="D935" s="32"/>
      <c r="E935" s="45">
        <v>0</v>
      </c>
      <c r="F935" s="36">
        <f ca="1">SUMIF(I$3:$BB934,"入库",I935:$BB935)</f>
        <v>0</v>
      </c>
      <c r="G935" s="45">
        <f ca="1">SUMIF(J$3:$BB934,"出库",J935:$BB935)</f>
        <v>0</v>
      </c>
      <c r="H935" s="37">
        <f ca="1" t="shared" si="14"/>
        <v>0</v>
      </c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</row>
    <row r="936" hidden="1" customHeight="1" spans="1:54">
      <c r="A936" s="51"/>
      <c r="B936" s="45"/>
      <c r="C936" s="45" t="s">
        <v>14</v>
      </c>
      <c r="D936" s="32"/>
      <c r="E936" s="45">
        <v>0</v>
      </c>
      <c r="F936" s="36">
        <f ca="1">SUMIF(I$3:$BB935,"入库",I936:$BB936)</f>
        <v>0</v>
      </c>
      <c r="G936" s="45">
        <f ca="1">SUMIF(J$3:$BB935,"出库",J936:$BB936)</f>
        <v>0</v>
      </c>
      <c r="H936" s="37">
        <f ca="1" t="shared" si="14"/>
        <v>0</v>
      </c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</row>
    <row r="937" hidden="1" customHeight="1" spans="1:54">
      <c r="A937" s="53"/>
      <c r="B937" s="45"/>
      <c r="C937" s="50" t="s">
        <v>12</v>
      </c>
      <c r="D937" s="32"/>
      <c r="E937" s="45">
        <v>0</v>
      </c>
      <c r="F937" s="36">
        <f ca="1">SUMIF(I$3:$BB936,"入库",I937:$BB937)</f>
        <v>60</v>
      </c>
      <c r="G937" s="45">
        <f ca="1">SUMIF(J$3:$BB936,"出库",J937:$BB937)</f>
        <v>0</v>
      </c>
      <c r="H937" s="37">
        <f ca="1" t="shared" si="14"/>
        <v>60</v>
      </c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>
        <v>60</v>
      </c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</row>
    <row r="938" hidden="1" customHeight="1" spans="1:54">
      <c r="A938" s="49">
        <f>ROW()-4</f>
        <v>934</v>
      </c>
      <c r="B938" s="45" t="s">
        <v>344</v>
      </c>
      <c r="C938" s="52" t="s">
        <v>13</v>
      </c>
      <c r="D938" s="32"/>
      <c r="E938" s="45">
        <v>0</v>
      </c>
      <c r="F938" s="36">
        <f ca="1">SUMIF(I$3:$BB937,"入库",I938:$BB938)</f>
        <v>0</v>
      </c>
      <c r="G938" s="45">
        <f ca="1">SUMIF(J$3:$BB937,"出库",J938:$BB938)</f>
        <v>0</v>
      </c>
      <c r="H938" s="37">
        <f ca="1" t="shared" si="14"/>
        <v>0</v>
      </c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</row>
    <row r="939" hidden="1" customHeight="1" spans="1:54">
      <c r="A939" s="51"/>
      <c r="B939" s="45"/>
      <c r="C939" s="45" t="s">
        <v>14</v>
      </c>
      <c r="D939" s="32"/>
      <c r="E939" s="45">
        <v>0</v>
      </c>
      <c r="F939" s="36">
        <f ca="1">SUMIF(I$3:$BB938,"入库",I939:$BB939)</f>
        <v>0</v>
      </c>
      <c r="G939" s="45">
        <f ca="1">SUMIF(J$3:$BB938,"出库",J939:$BB939)</f>
        <v>0</v>
      </c>
      <c r="H939" s="37">
        <f ca="1" t="shared" si="14"/>
        <v>0</v>
      </c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</row>
    <row r="940" hidden="1" customHeight="1" spans="1:54">
      <c r="A940" s="53"/>
      <c r="B940" s="45"/>
      <c r="C940" s="50" t="s">
        <v>12</v>
      </c>
      <c r="D940" s="32"/>
      <c r="E940" s="45">
        <v>0</v>
      </c>
      <c r="F940" s="36">
        <f ca="1">SUMIF(I$3:$BB939,"入库",I940:$BB940)</f>
        <v>2400</v>
      </c>
      <c r="G940" s="45">
        <f ca="1">SUMIF(J$3:$BB939,"出库",J940:$BB940)</f>
        <v>0</v>
      </c>
      <c r="H940" s="37">
        <f ca="1" t="shared" si="14"/>
        <v>2400</v>
      </c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>
        <v>2400</v>
      </c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</row>
    <row r="941" hidden="1" customHeight="1" spans="1:54">
      <c r="A941" s="49">
        <f>ROW()-4</f>
        <v>937</v>
      </c>
      <c r="B941" s="45" t="s">
        <v>345</v>
      </c>
      <c r="C941" s="52" t="s">
        <v>13</v>
      </c>
      <c r="D941" s="32"/>
      <c r="E941" s="45">
        <v>0</v>
      </c>
      <c r="F941" s="36">
        <f ca="1">SUMIF(I$3:$BB940,"入库",I941:$BB941)</f>
        <v>30</v>
      </c>
      <c r="G941" s="45">
        <f ca="1">SUMIF(J$3:$BB940,"出库",J941:$BB941)</f>
        <v>0</v>
      </c>
      <c r="H941" s="37">
        <f ca="1" t="shared" si="14"/>
        <v>30</v>
      </c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>
        <v>30</v>
      </c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</row>
    <row r="942" hidden="1" customHeight="1" spans="1:54">
      <c r="A942" s="51"/>
      <c r="B942" s="45"/>
      <c r="C942" s="45" t="s">
        <v>14</v>
      </c>
      <c r="D942" s="32"/>
      <c r="E942" s="45">
        <v>0</v>
      </c>
      <c r="F942" s="36">
        <f ca="1">SUMIF(I$3:$BB941,"入库",I942:$BB942)</f>
        <v>150</v>
      </c>
      <c r="G942" s="45">
        <f ca="1">SUMIF(J$3:$BB941,"出库",J942:$BB942)</f>
        <v>0</v>
      </c>
      <c r="H942" s="37">
        <f ca="1" t="shared" si="14"/>
        <v>150</v>
      </c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>
        <v>150</v>
      </c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</row>
    <row r="943" hidden="1" customHeight="1" spans="1:54">
      <c r="A943" s="53"/>
      <c r="B943" s="45"/>
      <c r="C943" s="50" t="s">
        <v>12</v>
      </c>
      <c r="D943" s="32"/>
      <c r="E943" s="45">
        <v>0</v>
      </c>
      <c r="F943" s="36">
        <f ca="1">SUMIF(I$3:$BB942,"入库",I943:$BB943)</f>
        <v>10</v>
      </c>
      <c r="G943" s="45">
        <f ca="1">SUMIF(J$3:$BB942,"出库",J943:$BB943)</f>
        <v>0</v>
      </c>
      <c r="H943" s="37">
        <f ca="1" t="shared" si="14"/>
        <v>10</v>
      </c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>
        <v>10</v>
      </c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</row>
    <row r="944" hidden="1" customHeight="1" spans="1:54">
      <c r="A944" s="49">
        <f>ROW()-4</f>
        <v>940</v>
      </c>
      <c r="B944" s="45" t="s">
        <v>346</v>
      </c>
      <c r="C944" s="52" t="s">
        <v>13</v>
      </c>
      <c r="D944" s="32"/>
      <c r="E944" s="45">
        <v>0</v>
      </c>
      <c r="F944" s="36">
        <f ca="1">SUMIF(I$3:$BB943,"入库",I944:$BB944)</f>
        <v>100</v>
      </c>
      <c r="G944" s="45">
        <f ca="1">SUMIF(J$3:$BB943,"出库",J944:$BB944)</f>
        <v>0</v>
      </c>
      <c r="H944" s="37">
        <f ca="1" t="shared" si="14"/>
        <v>100</v>
      </c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>
        <v>100</v>
      </c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</row>
    <row r="945" hidden="1" customHeight="1" spans="1:54">
      <c r="A945" s="51"/>
      <c r="B945" s="45"/>
      <c r="C945" s="45" t="s">
        <v>14</v>
      </c>
      <c r="D945" s="32"/>
      <c r="E945" s="45">
        <v>0</v>
      </c>
      <c r="F945" s="36">
        <f ca="1">SUMIF(I$3:$BB944,"入库",I945:$BB945)</f>
        <v>60</v>
      </c>
      <c r="G945" s="45">
        <f ca="1">SUMIF(J$3:$BB944,"出库",J945:$BB945)</f>
        <v>0</v>
      </c>
      <c r="H945" s="37">
        <f ca="1" t="shared" si="14"/>
        <v>60</v>
      </c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>
        <v>60</v>
      </c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</row>
    <row r="946" hidden="1" customHeight="1" spans="1:54">
      <c r="A946" s="53"/>
      <c r="B946" s="45"/>
      <c r="C946" s="50" t="s">
        <v>12</v>
      </c>
      <c r="D946" s="32"/>
      <c r="E946" s="45">
        <v>0</v>
      </c>
      <c r="F946" s="36">
        <f ca="1">SUMIF(I$3:$BB945,"入库",I946:$BB946)</f>
        <v>20</v>
      </c>
      <c r="G946" s="45">
        <f ca="1">SUMIF(J$3:$BB945,"出库",J946:$BB946)</f>
        <v>0</v>
      </c>
      <c r="H946" s="37">
        <f ca="1" t="shared" si="14"/>
        <v>20</v>
      </c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>
        <v>20</v>
      </c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</row>
    <row r="947" hidden="1" customHeight="1" spans="1:54">
      <c r="A947" s="49">
        <f>ROW()-4</f>
        <v>943</v>
      </c>
      <c r="B947" s="45" t="s">
        <v>347</v>
      </c>
      <c r="C947" s="52" t="s">
        <v>13</v>
      </c>
      <c r="D947" s="32"/>
      <c r="E947" s="45">
        <v>0</v>
      </c>
      <c r="F947" s="36">
        <f ca="1">SUMIF(I$3:$BB946,"入库",I947:$BB947)</f>
        <v>0</v>
      </c>
      <c r="G947" s="45">
        <f ca="1">SUMIF(J$3:$BB946,"出库",J947:$BB947)</f>
        <v>0</v>
      </c>
      <c r="H947" s="37">
        <f ca="1" t="shared" si="14"/>
        <v>0</v>
      </c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</row>
    <row r="948" hidden="1" customHeight="1" spans="1:54">
      <c r="A948" s="51"/>
      <c r="B948" s="45"/>
      <c r="C948" s="45" t="s">
        <v>14</v>
      </c>
      <c r="D948" s="32"/>
      <c r="E948" s="45">
        <v>0</v>
      </c>
      <c r="F948" s="36">
        <f ca="1">SUMIF(I$3:$BB947,"入库",I948:$BB948)</f>
        <v>0</v>
      </c>
      <c r="G948" s="45">
        <f ca="1">SUMIF(J$3:$BB947,"出库",J948:$BB948)</f>
        <v>0</v>
      </c>
      <c r="H948" s="37">
        <f ca="1" t="shared" si="14"/>
        <v>0</v>
      </c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</row>
    <row r="949" hidden="1" customHeight="1" spans="1:54">
      <c r="A949" s="53"/>
      <c r="B949" s="45"/>
      <c r="C949" s="50" t="s">
        <v>12</v>
      </c>
      <c r="D949" s="32"/>
      <c r="E949" s="45">
        <v>0</v>
      </c>
      <c r="F949" s="36">
        <f ca="1">SUMIF(I$3:$BB948,"入库",I949:$BB949)</f>
        <v>50</v>
      </c>
      <c r="G949" s="45">
        <f ca="1">SUMIF(J$3:$BB948,"出库",J949:$BB949)</f>
        <v>0</v>
      </c>
      <c r="H949" s="37">
        <f ca="1" t="shared" si="14"/>
        <v>50</v>
      </c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>
        <v>50</v>
      </c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</row>
    <row r="950" hidden="1" customHeight="1" spans="1:54">
      <c r="A950" s="49">
        <f>ROW()-4</f>
        <v>946</v>
      </c>
      <c r="B950" s="45" t="s">
        <v>348</v>
      </c>
      <c r="C950" s="52" t="s">
        <v>13</v>
      </c>
      <c r="D950" s="32"/>
      <c r="E950" s="45">
        <v>0</v>
      </c>
      <c r="F950" s="36">
        <f ca="1">SUMIF(I$3:$BB949,"入库",I950:$BB950)</f>
        <v>100</v>
      </c>
      <c r="G950" s="45">
        <f ca="1">SUMIF(J$3:$BB949,"出库",J950:$BB950)</f>
        <v>0</v>
      </c>
      <c r="H950" s="37">
        <f ca="1" t="shared" si="14"/>
        <v>100</v>
      </c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>
        <v>100</v>
      </c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</row>
    <row r="951" hidden="1" customHeight="1" spans="1:54">
      <c r="A951" s="51"/>
      <c r="B951" s="45"/>
      <c r="C951" s="45" t="s">
        <v>14</v>
      </c>
      <c r="D951" s="32"/>
      <c r="E951" s="45">
        <v>0</v>
      </c>
      <c r="F951" s="36">
        <f ca="1">SUMIF(I$3:$BB950,"入库",I951:$BB951)</f>
        <v>0</v>
      </c>
      <c r="G951" s="45">
        <f ca="1">SUMIF(J$3:$BB950,"出库",J951:$BB951)</f>
        <v>0</v>
      </c>
      <c r="H951" s="37">
        <f ca="1" t="shared" si="14"/>
        <v>0</v>
      </c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</row>
    <row r="952" hidden="1" customHeight="1" spans="1:54">
      <c r="A952" s="53"/>
      <c r="B952" s="45"/>
      <c r="C952" s="50" t="s">
        <v>12</v>
      </c>
      <c r="D952" s="32"/>
      <c r="E952" s="45">
        <v>0</v>
      </c>
      <c r="F952" s="36">
        <f ca="1">SUMIF(I$3:$BB951,"入库",I952:$BB952)</f>
        <v>10</v>
      </c>
      <c r="G952" s="45">
        <f ca="1">SUMIF(J$3:$BB951,"出库",J952:$BB952)</f>
        <v>0</v>
      </c>
      <c r="H952" s="37">
        <f ca="1" t="shared" si="14"/>
        <v>10</v>
      </c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>
        <v>10</v>
      </c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</row>
    <row r="953" hidden="1" customHeight="1" spans="1:54">
      <c r="A953" s="49">
        <f>ROW()-4</f>
        <v>949</v>
      </c>
      <c r="B953" s="45" t="s">
        <v>349</v>
      </c>
      <c r="C953" s="52" t="s">
        <v>13</v>
      </c>
      <c r="D953" s="32"/>
      <c r="E953" s="45">
        <v>0</v>
      </c>
      <c r="F953" s="36">
        <f ca="1">SUMIF(I$3:$BB952,"入库",I953:$BB953)</f>
        <v>0</v>
      </c>
      <c r="G953" s="45">
        <f ca="1">SUMIF(J$3:$BB952,"出库",J953:$BB953)</f>
        <v>0</v>
      </c>
      <c r="H953" s="37">
        <f ca="1" t="shared" si="14"/>
        <v>0</v>
      </c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</row>
    <row r="954" hidden="1" customHeight="1" spans="1:54">
      <c r="A954" s="51"/>
      <c r="B954" s="45"/>
      <c r="C954" s="45" t="s">
        <v>14</v>
      </c>
      <c r="D954" s="32"/>
      <c r="E954" s="45">
        <v>0</v>
      </c>
      <c r="F954" s="36">
        <f ca="1">SUMIF(I$3:$BB953,"入库",I954:$BB954)</f>
        <v>0</v>
      </c>
      <c r="G954" s="45">
        <f ca="1">SUMIF(J$3:$BB953,"出库",J954:$BB954)</f>
        <v>0</v>
      </c>
      <c r="H954" s="37">
        <f ca="1" t="shared" si="14"/>
        <v>0</v>
      </c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</row>
    <row r="955" hidden="1" customHeight="1" spans="1:54">
      <c r="A955" s="53"/>
      <c r="B955" s="45"/>
      <c r="C955" s="50" t="s">
        <v>12</v>
      </c>
      <c r="D955" s="32"/>
      <c r="E955" s="45">
        <v>0</v>
      </c>
      <c r="F955" s="36">
        <f ca="1">SUMIF(I$3:$BB954,"入库",I955:$BB955)</f>
        <v>300</v>
      </c>
      <c r="G955" s="45">
        <f ca="1">SUMIF(J$3:$BB954,"出库",J955:$BB955)</f>
        <v>0</v>
      </c>
      <c r="H955" s="37">
        <f ca="1" t="shared" si="14"/>
        <v>300</v>
      </c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>
        <v>300</v>
      </c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</row>
    <row r="956" hidden="1" customHeight="1" spans="1:54">
      <c r="A956" s="49">
        <f>ROW()-4</f>
        <v>952</v>
      </c>
      <c r="B956" s="45" t="s">
        <v>325</v>
      </c>
      <c r="C956" s="52" t="s">
        <v>13</v>
      </c>
      <c r="D956" s="32"/>
      <c r="E956" s="45">
        <v>0</v>
      </c>
      <c r="F956" s="36">
        <f ca="1">SUMIF(I$3:$BB955,"入库",I956:$BB956)</f>
        <v>230</v>
      </c>
      <c r="G956" s="45">
        <f ca="1">SUMIF(J$3:$BB955,"出库",J956:$BB956)</f>
        <v>0</v>
      </c>
      <c r="H956" s="37">
        <f ca="1" t="shared" si="14"/>
        <v>230</v>
      </c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>
        <v>230</v>
      </c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</row>
    <row r="957" hidden="1" customHeight="1" spans="1:54">
      <c r="A957" s="51"/>
      <c r="B957" s="45"/>
      <c r="C957" s="45" t="s">
        <v>14</v>
      </c>
      <c r="D957" s="32"/>
      <c r="E957" s="45">
        <v>0</v>
      </c>
      <c r="F957" s="36">
        <f ca="1">SUMIF(I$3:$BB956,"入库",I957:$BB957)</f>
        <v>30</v>
      </c>
      <c r="G957" s="45">
        <f ca="1">SUMIF(J$3:$BB956,"出库",J957:$BB957)</f>
        <v>0</v>
      </c>
      <c r="H957" s="37">
        <f ca="1" t="shared" si="14"/>
        <v>30</v>
      </c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>
        <v>30</v>
      </c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</row>
    <row r="958" hidden="1" customHeight="1" spans="1:54">
      <c r="A958" s="53"/>
      <c r="B958" s="45"/>
      <c r="C958" s="50" t="s">
        <v>12</v>
      </c>
      <c r="D958" s="32"/>
      <c r="E958" s="45">
        <v>0</v>
      </c>
      <c r="F958" s="36">
        <f ca="1">SUMIF(I$3:$BB957,"入库",I958:$BB958)</f>
        <v>1560</v>
      </c>
      <c r="G958" s="45">
        <f ca="1">SUMIF(J$3:$BB957,"出库",J958:$BB958)</f>
        <v>0</v>
      </c>
      <c r="H958" s="37">
        <f ca="1" t="shared" si="14"/>
        <v>1560</v>
      </c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>
        <v>1560</v>
      </c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</row>
    <row r="959" hidden="1" customHeight="1" spans="1:54">
      <c r="A959" s="49">
        <f>ROW()-4</f>
        <v>955</v>
      </c>
      <c r="B959" s="45" t="s">
        <v>350</v>
      </c>
      <c r="C959" s="52" t="s">
        <v>13</v>
      </c>
      <c r="D959" s="32"/>
      <c r="E959" s="45">
        <v>0</v>
      </c>
      <c r="F959" s="36">
        <f ca="1">SUMIF(I$3:$BB958,"入库",I959:$BB959)</f>
        <v>0</v>
      </c>
      <c r="G959" s="45">
        <f ca="1">SUMIF(J$3:$BB958,"出库",J959:$BB959)</f>
        <v>0</v>
      </c>
      <c r="H959" s="37">
        <f ca="1" t="shared" si="14"/>
        <v>0</v>
      </c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</row>
    <row r="960" hidden="1" customHeight="1" spans="1:54">
      <c r="A960" s="51"/>
      <c r="B960" s="45"/>
      <c r="C960" s="45" t="s">
        <v>14</v>
      </c>
      <c r="D960" s="32"/>
      <c r="E960" s="45">
        <v>0</v>
      </c>
      <c r="F960" s="36">
        <f ca="1">SUMIF(I$3:$BB959,"入库",I960:$BB960)</f>
        <v>0</v>
      </c>
      <c r="G960" s="45">
        <f ca="1">SUMIF(J$3:$BB959,"出库",J960:$BB960)</f>
        <v>0</v>
      </c>
      <c r="H960" s="37">
        <f ca="1" t="shared" si="14"/>
        <v>0</v>
      </c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</row>
    <row r="961" hidden="1" customHeight="1" spans="1:54">
      <c r="A961" s="53"/>
      <c r="B961" s="45"/>
      <c r="C961" s="50" t="s">
        <v>12</v>
      </c>
      <c r="D961" s="32"/>
      <c r="E961" s="45">
        <v>0</v>
      </c>
      <c r="F961" s="36">
        <f ca="1">SUMIF(I$3:$BB960,"入库",I961:$BB961)</f>
        <v>60</v>
      </c>
      <c r="G961" s="45">
        <f ca="1">SUMIF(J$3:$BB960,"出库",J961:$BB961)</f>
        <v>0</v>
      </c>
      <c r="H961" s="37">
        <f ca="1" t="shared" si="14"/>
        <v>60</v>
      </c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>
        <v>60</v>
      </c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</row>
    <row r="962" hidden="1" customHeight="1" spans="1:54">
      <c r="A962" s="49">
        <f>ROW()-4</f>
        <v>958</v>
      </c>
      <c r="B962" s="45" t="s">
        <v>351</v>
      </c>
      <c r="C962" s="52" t="s">
        <v>13</v>
      </c>
      <c r="D962" s="32"/>
      <c r="E962" s="45">
        <v>0</v>
      </c>
      <c r="F962" s="36">
        <f ca="1">SUMIF(I$3:$BB961,"入库",I962:$BB962)</f>
        <v>0</v>
      </c>
      <c r="G962" s="45">
        <f ca="1">SUMIF(J$3:$BB961,"出库",J962:$BB962)</f>
        <v>0</v>
      </c>
      <c r="H962" s="37">
        <f ca="1" t="shared" si="14"/>
        <v>0</v>
      </c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</row>
    <row r="963" hidden="1" customHeight="1" spans="1:54">
      <c r="A963" s="51"/>
      <c r="B963" s="45"/>
      <c r="C963" s="45" t="s">
        <v>14</v>
      </c>
      <c r="D963" s="54"/>
      <c r="E963" s="45">
        <v>0</v>
      </c>
      <c r="F963" s="55">
        <f ca="1">SUMIF(I$3:$BB962,"入库",I963:$BB963)</f>
        <v>0</v>
      </c>
      <c r="G963" s="49">
        <f ca="1">SUMIF(J$3:$BB962,"出库",J963:$BB963)</f>
        <v>0</v>
      </c>
      <c r="H963" s="40">
        <f ca="1" t="shared" si="14"/>
        <v>0</v>
      </c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</row>
    <row r="964" s="32" customFormat="1" hidden="1" customHeight="1" spans="1:54">
      <c r="A964" s="53"/>
      <c r="B964" s="45"/>
      <c r="C964" s="50" t="s">
        <v>12</v>
      </c>
      <c r="E964" s="45">
        <v>0</v>
      </c>
      <c r="F964" s="55">
        <f ca="1">SUMIF(I$3:$BB963,"入库",I964:$BB964)</f>
        <v>60</v>
      </c>
      <c r="G964" s="49">
        <f ca="1">SUMIF(J$3:$BB963,"出库",J964:$BB964)</f>
        <v>0</v>
      </c>
      <c r="H964" s="40">
        <f ca="1" t="shared" si="14"/>
        <v>60</v>
      </c>
      <c r="AG964" s="32">
        <v>60</v>
      </c>
    </row>
    <row r="965" hidden="1" customHeight="1" spans="1:54">
      <c r="A965" s="49">
        <f>ROW()-4</f>
        <v>961</v>
      </c>
      <c r="B965" s="45" t="s">
        <v>352</v>
      </c>
      <c r="C965" s="52" t="s">
        <v>13</v>
      </c>
      <c r="D965" s="32"/>
      <c r="E965" s="45">
        <v>0</v>
      </c>
      <c r="F965" s="36">
        <f ca="1">SUMIF(I$3:$BB964,"入库",I965:$BB965)</f>
        <v>110</v>
      </c>
      <c r="G965" s="45">
        <f ca="1">SUMIF(J$3:$BB964,"出库",J965:$BB965)</f>
        <v>0</v>
      </c>
      <c r="H965" s="37">
        <f ca="1" t="shared" ref="H965:H1009" si="15">E965+F965-G965</f>
        <v>110</v>
      </c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>
        <v>110</v>
      </c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</row>
    <row r="966" hidden="1" customHeight="1" spans="1:54">
      <c r="A966" s="51"/>
      <c r="B966" s="45"/>
      <c r="C966" s="45" t="s">
        <v>14</v>
      </c>
      <c r="D966" s="32"/>
      <c r="E966" s="45">
        <v>0</v>
      </c>
      <c r="F966" s="36">
        <f ca="1">SUMIF(I$3:$BB965,"入库",I966:$BB966)</f>
        <v>210</v>
      </c>
      <c r="G966" s="45">
        <f ca="1">SUMIF(J$3:$BB965,"出库",J966:$BB966)</f>
        <v>0</v>
      </c>
      <c r="H966" s="37">
        <f ca="1" t="shared" si="15"/>
        <v>210</v>
      </c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>
        <v>210</v>
      </c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</row>
    <row r="967" hidden="1" customHeight="1" spans="1:54">
      <c r="A967" s="53"/>
      <c r="B967" s="45"/>
      <c r="C967" s="50" t="s">
        <v>12</v>
      </c>
      <c r="D967" s="32"/>
      <c r="E967" s="45">
        <v>0</v>
      </c>
      <c r="F967" s="36">
        <f ca="1">SUMIF(I$3:$BB966,"入库",I967:$BB967)</f>
        <v>10</v>
      </c>
      <c r="G967" s="45">
        <f ca="1">SUMIF(J$3:$BB966,"出库",J967:$BB967)</f>
        <v>0</v>
      </c>
      <c r="H967" s="37">
        <f ca="1" t="shared" si="15"/>
        <v>10</v>
      </c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>
        <v>10</v>
      </c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</row>
    <row r="968" hidden="1" customHeight="1" spans="1:54">
      <c r="A968" s="49">
        <f>ROW()-4</f>
        <v>964</v>
      </c>
      <c r="B968" s="45" t="s">
        <v>330</v>
      </c>
      <c r="C968" s="52" t="s">
        <v>13</v>
      </c>
      <c r="D968" s="32"/>
      <c r="E968" s="45">
        <v>0</v>
      </c>
      <c r="F968" s="36">
        <f ca="1">SUMIF(I$3:$BB967,"入库",I968:$BB968)</f>
        <v>70</v>
      </c>
      <c r="G968" s="45">
        <f ca="1">SUMIF(J$3:$BB967,"出库",J968:$BB968)</f>
        <v>0</v>
      </c>
      <c r="H968" s="37">
        <f ca="1" t="shared" si="15"/>
        <v>70</v>
      </c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>
        <v>70</v>
      </c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</row>
    <row r="969" hidden="1" customHeight="1" spans="1:54">
      <c r="A969" s="51"/>
      <c r="B969" s="45"/>
      <c r="C969" s="45" t="s">
        <v>14</v>
      </c>
      <c r="D969" s="32"/>
      <c r="E969" s="45">
        <v>0</v>
      </c>
      <c r="F969" s="36">
        <f ca="1">SUMIF(I$3:$BB968,"入库",I969:$BB969)</f>
        <v>450</v>
      </c>
      <c r="G969" s="45">
        <f ca="1">SUMIF(J$3:$BB968,"出库",J969:$BB969)</f>
        <v>0</v>
      </c>
      <c r="H969" s="37">
        <f ca="1" t="shared" si="15"/>
        <v>450</v>
      </c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>
        <v>450</v>
      </c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</row>
    <row r="970" ht="16" hidden="1" customHeight="1" spans="1:54">
      <c r="A970" s="53"/>
      <c r="B970" s="45"/>
      <c r="C970" s="50" t="s">
        <v>12</v>
      </c>
      <c r="D970" s="32"/>
      <c r="E970" s="45">
        <v>0</v>
      </c>
      <c r="F970" s="36">
        <f ca="1">SUMIF(I$3:$BB969,"入库",I970:$BB970)</f>
        <v>0</v>
      </c>
      <c r="G970" s="45">
        <f ca="1">SUMIF(J$3:$BB969,"出库",J970:$BB970)</f>
        <v>0</v>
      </c>
      <c r="H970" s="37">
        <f ca="1" t="shared" si="15"/>
        <v>0</v>
      </c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</row>
    <row r="971" hidden="1" customHeight="1" spans="1:54">
      <c r="A971" s="49">
        <f>ROW()-4</f>
        <v>967</v>
      </c>
      <c r="B971" s="45" t="s">
        <v>328</v>
      </c>
      <c r="C971" s="52" t="s">
        <v>13</v>
      </c>
      <c r="D971" s="32"/>
      <c r="E971" s="45">
        <v>0</v>
      </c>
      <c r="F971" s="36">
        <f ca="1">SUMIF(I$3:$BB970,"入库",I971:$BB971)</f>
        <v>200</v>
      </c>
      <c r="G971" s="45">
        <f ca="1">SUMIF(J$3:$BB970,"出库",J971:$BB971)</f>
        <v>0</v>
      </c>
      <c r="H971" s="37">
        <f ca="1" t="shared" si="15"/>
        <v>200</v>
      </c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>
        <v>200</v>
      </c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</row>
    <row r="972" hidden="1" customHeight="1" spans="1:54">
      <c r="A972" s="51"/>
      <c r="B972" s="45"/>
      <c r="C972" s="45" t="s">
        <v>14</v>
      </c>
      <c r="D972" s="32"/>
      <c r="E972" s="45">
        <v>0</v>
      </c>
      <c r="F972" s="36">
        <f ca="1">SUMIF(I$3:$BB971,"入库",I972:$BB972)</f>
        <v>0</v>
      </c>
      <c r="G972" s="45">
        <f ca="1">SUMIF(J$3:$BB971,"出库",J972:$BB972)</f>
        <v>0</v>
      </c>
      <c r="H972" s="37">
        <f ca="1" t="shared" si="15"/>
        <v>0</v>
      </c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</row>
    <row r="973" hidden="1" customHeight="1" spans="1:54">
      <c r="A973" s="53"/>
      <c r="B973" s="45"/>
      <c r="C973" s="50" t="s">
        <v>12</v>
      </c>
      <c r="D973" s="32"/>
      <c r="E973" s="45">
        <v>0</v>
      </c>
      <c r="F973" s="36">
        <f ca="1">SUMIF(I$3:$BB972,"入库",I973:$BB973)</f>
        <v>20</v>
      </c>
      <c r="G973" s="45">
        <f ca="1">SUMIF(J$3:$BB972,"出库",J973:$BB973)</f>
        <v>0</v>
      </c>
      <c r="H973" s="37">
        <f ca="1" t="shared" si="15"/>
        <v>20</v>
      </c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>
        <v>20</v>
      </c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</row>
    <row r="974" hidden="1" customHeight="1" spans="1:54">
      <c r="A974" s="49">
        <f>ROW()-4</f>
        <v>970</v>
      </c>
      <c r="B974" s="45" t="s">
        <v>353</v>
      </c>
      <c r="C974" s="52" t="s">
        <v>13</v>
      </c>
      <c r="D974" s="32"/>
      <c r="E974" s="45">
        <v>0</v>
      </c>
      <c r="F974" s="36">
        <f ca="1">SUMIF(I$3:$BB973,"入库",I974:$BB974)</f>
        <v>10</v>
      </c>
      <c r="G974" s="45">
        <f ca="1">SUMIF(J$3:$BB973,"出库",J974:$BB974)</f>
        <v>0</v>
      </c>
      <c r="H974" s="37">
        <f ca="1" t="shared" si="15"/>
        <v>10</v>
      </c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>
        <v>10</v>
      </c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</row>
    <row r="975" hidden="1" customHeight="1" spans="1:54">
      <c r="A975" s="51"/>
      <c r="B975" s="45"/>
      <c r="C975" s="45" t="s">
        <v>14</v>
      </c>
      <c r="D975" s="32"/>
      <c r="E975" s="45">
        <v>0</v>
      </c>
      <c r="F975" s="36">
        <f ca="1">SUMIF(I$3:$BB974,"入库",I975:$BB975)</f>
        <v>0</v>
      </c>
      <c r="G975" s="45">
        <f ca="1">SUMIF(J$3:$BB974,"出库",J975:$BB975)</f>
        <v>0</v>
      </c>
      <c r="H975" s="37">
        <f ca="1" t="shared" si="15"/>
        <v>0</v>
      </c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</row>
    <row r="976" hidden="1" customHeight="1" spans="1:54">
      <c r="A976" s="53"/>
      <c r="B976" s="45"/>
      <c r="C976" s="50" t="s">
        <v>12</v>
      </c>
      <c r="D976" s="32"/>
      <c r="E976" s="45">
        <v>0</v>
      </c>
      <c r="F976" s="36">
        <f ca="1">SUMIF(I$3:$BB975,"入库",I976:$BB976)</f>
        <v>70</v>
      </c>
      <c r="G976" s="45">
        <f ca="1">SUMIF(J$3:$BB975,"出库",J976:$BB976)</f>
        <v>0</v>
      </c>
      <c r="H976" s="37">
        <f ca="1" t="shared" si="15"/>
        <v>70</v>
      </c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>
        <v>70</v>
      </c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</row>
    <row r="977" hidden="1" customHeight="1" spans="1:54">
      <c r="A977" s="49">
        <f>ROW()-4</f>
        <v>973</v>
      </c>
      <c r="B977" s="45" t="s">
        <v>354</v>
      </c>
      <c r="C977" s="52" t="s">
        <v>13</v>
      </c>
      <c r="D977" s="32"/>
      <c r="E977" s="45">
        <v>0</v>
      </c>
      <c r="F977" s="36">
        <f ca="1">SUMIF(I$3:$BB976,"入库",I977:$BB977)</f>
        <v>0</v>
      </c>
      <c r="G977" s="45">
        <f ca="1">SUMIF(J$3:$BB976,"出库",J977:$BB977)</f>
        <v>0</v>
      </c>
      <c r="H977" s="37">
        <f ca="1" t="shared" si="15"/>
        <v>0</v>
      </c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</row>
    <row r="978" hidden="1" customHeight="1" spans="1:54">
      <c r="A978" s="51"/>
      <c r="B978" s="45"/>
      <c r="C978" s="45" t="s">
        <v>14</v>
      </c>
      <c r="D978" s="32"/>
      <c r="E978" s="45">
        <v>0</v>
      </c>
      <c r="F978" s="36">
        <f ca="1">SUMIF(I$3:$BB977,"入库",I978:$BB978)</f>
        <v>0</v>
      </c>
      <c r="G978" s="45">
        <f ca="1">SUMIF(J$3:$BB977,"出库",J978:$BB978)</f>
        <v>0</v>
      </c>
      <c r="H978" s="37">
        <f ca="1" t="shared" si="15"/>
        <v>0</v>
      </c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</row>
    <row r="979" hidden="1" customHeight="1" spans="1:54">
      <c r="A979" s="53"/>
      <c r="B979" s="45"/>
      <c r="C979" s="50" t="s">
        <v>12</v>
      </c>
      <c r="D979" s="32"/>
      <c r="E979" s="45">
        <v>0</v>
      </c>
      <c r="F979" s="36">
        <f ca="1">SUMIF(I$3:$BB978,"入库",I979:$BB979)</f>
        <v>200</v>
      </c>
      <c r="G979" s="45">
        <f ca="1">SUMIF(J$3:$BB978,"出库",J979:$BB979)</f>
        <v>0</v>
      </c>
      <c r="H979" s="37">
        <f ca="1" t="shared" si="15"/>
        <v>200</v>
      </c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>
        <v>200</v>
      </c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</row>
    <row r="980" hidden="1" customHeight="1" spans="1:54">
      <c r="A980" s="49">
        <f>ROW()-4</f>
        <v>976</v>
      </c>
      <c r="B980" s="45" t="s">
        <v>355</v>
      </c>
      <c r="C980" s="52" t="s">
        <v>13</v>
      </c>
      <c r="D980" s="32"/>
      <c r="E980" s="45">
        <v>0</v>
      </c>
      <c r="F980" s="36">
        <f ca="1">SUMIF(I$3:$BB979,"入库",I980:$BB980)</f>
        <v>0</v>
      </c>
      <c r="G980" s="45">
        <f ca="1">SUMIF(J$3:$BB979,"出库",J980:$BB980)</f>
        <v>0</v>
      </c>
      <c r="H980" s="37">
        <f ca="1" t="shared" si="15"/>
        <v>0</v>
      </c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</row>
    <row r="981" hidden="1" customHeight="1" spans="1:54">
      <c r="A981" s="51"/>
      <c r="B981" s="45"/>
      <c r="C981" s="45" t="s">
        <v>14</v>
      </c>
      <c r="D981" s="32"/>
      <c r="E981" s="45">
        <v>0</v>
      </c>
      <c r="F981" s="36">
        <f ca="1">SUMIF(I$3:$BB980,"入库",I981:$BB981)</f>
        <v>0</v>
      </c>
      <c r="G981" s="45">
        <f ca="1">SUMIF(J$3:$BB980,"出库",J981:$BB981)</f>
        <v>0</v>
      </c>
      <c r="H981" s="37">
        <f ca="1" t="shared" si="15"/>
        <v>0</v>
      </c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</row>
    <row r="982" hidden="1" customHeight="1" spans="1:54">
      <c r="A982" s="53"/>
      <c r="B982" s="45"/>
      <c r="C982" s="50" t="s">
        <v>12</v>
      </c>
      <c r="D982" s="32"/>
      <c r="E982" s="45">
        <v>0</v>
      </c>
      <c r="F982" s="36">
        <f ca="1">SUMIF(I$3:$BB981,"入库",I982:$BB982)</f>
        <v>800</v>
      </c>
      <c r="G982" s="45">
        <f ca="1">SUMIF(J$3:$BB981,"出库",J982:$BB982)</f>
        <v>0</v>
      </c>
      <c r="H982" s="37">
        <f ca="1" t="shared" si="15"/>
        <v>800</v>
      </c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>
        <v>800</v>
      </c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</row>
    <row r="983" hidden="1" customHeight="1" spans="1:54">
      <c r="A983" s="49">
        <f>ROW()-4</f>
        <v>979</v>
      </c>
      <c r="B983" s="45" t="s">
        <v>333</v>
      </c>
      <c r="C983" s="52" t="s">
        <v>13</v>
      </c>
      <c r="D983" s="32"/>
      <c r="E983" s="45">
        <v>0</v>
      </c>
      <c r="F983" s="36">
        <f ca="1">SUMIF(I$3:$BB982,"入库",I983:$BB983)</f>
        <v>0</v>
      </c>
      <c r="G983" s="45">
        <f ca="1">SUMIF(J$3:$BB982,"出库",J983:$BB983)</f>
        <v>0</v>
      </c>
      <c r="H983" s="37">
        <f ca="1" t="shared" si="15"/>
        <v>0</v>
      </c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</row>
    <row r="984" hidden="1" customHeight="1" spans="1:54">
      <c r="A984" s="51"/>
      <c r="B984" s="45"/>
      <c r="C984" s="45" t="s">
        <v>14</v>
      </c>
      <c r="D984" s="32"/>
      <c r="E984" s="45">
        <v>0</v>
      </c>
      <c r="F984" s="36">
        <f ca="1">SUMIF(I$3:$BB983,"入库",I984:$BB984)</f>
        <v>0</v>
      </c>
      <c r="G984" s="45">
        <f ca="1">SUMIF(J$3:$BB983,"出库",J984:$BB984)</f>
        <v>0</v>
      </c>
      <c r="H984" s="37">
        <f ca="1" t="shared" si="15"/>
        <v>0</v>
      </c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</row>
    <row r="985" hidden="1" customHeight="1" spans="1:54">
      <c r="A985" s="53"/>
      <c r="B985" s="45"/>
      <c r="C985" s="50" t="s">
        <v>12</v>
      </c>
      <c r="D985" s="32"/>
      <c r="E985" s="45">
        <v>0</v>
      </c>
      <c r="F985" s="36">
        <f ca="1">SUMIF(I$3:$BB984,"入库",I985:$BB985)</f>
        <v>120</v>
      </c>
      <c r="G985" s="45">
        <f ca="1">SUMIF(J$3:$BB984,"出库",J985:$BB985)</f>
        <v>0</v>
      </c>
      <c r="H985" s="37">
        <f ca="1" t="shared" si="15"/>
        <v>120</v>
      </c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>
        <v>120</v>
      </c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</row>
    <row r="986" hidden="1" customHeight="1" spans="1:54">
      <c r="A986" s="49">
        <f>ROW()-4</f>
        <v>982</v>
      </c>
      <c r="B986" s="45" t="s">
        <v>356</v>
      </c>
      <c r="C986" s="52" t="s">
        <v>13</v>
      </c>
      <c r="D986" s="32"/>
      <c r="E986" s="45">
        <v>0</v>
      </c>
      <c r="F986" s="36">
        <f ca="1">SUMIF(I$3:$BB985,"入库",I986:$BB986)</f>
        <v>0</v>
      </c>
      <c r="G986" s="45">
        <f ca="1">SUMIF(J$3:$BB985,"出库",J986:$BB986)</f>
        <v>0</v>
      </c>
      <c r="H986" s="37">
        <f ca="1" t="shared" si="15"/>
        <v>0</v>
      </c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</row>
    <row r="987" hidden="1" customHeight="1" spans="1:54">
      <c r="A987" s="51"/>
      <c r="B987" s="45"/>
      <c r="C987" s="45" t="s">
        <v>14</v>
      </c>
      <c r="D987" s="32"/>
      <c r="E987" s="45">
        <v>0</v>
      </c>
      <c r="F987" s="36">
        <f ca="1">SUMIF(I$3:$BB986,"入库",I987:$BB987)</f>
        <v>0</v>
      </c>
      <c r="G987" s="45">
        <f ca="1">SUMIF(J$3:$BB986,"出库",J987:$BB987)</f>
        <v>0</v>
      </c>
      <c r="H987" s="37">
        <f ca="1" t="shared" si="15"/>
        <v>0</v>
      </c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</row>
    <row r="988" hidden="1" customHeight="1" spans="1:54">
      <c r="A988" s="53"/>
      <c r="B988" s="45"/>
      <c r="C988" s="50" t="s">
        <v>12</v>
      </c>
      <c r="D988" s="32"/>
      <c r="E988" s="45">
        <v>0</v>
      </c>
      <c r="F988" s="36">
        <f ca="1">SUMIF(I$3:$BB987,"入库",I988:$BB988)</f>
        <v>200</v>
      </c>
      <c r="G988" s="45">
        <f ca="1">SUMIF(J$3:$BB987,"出库",J988:$BB988)</f>
        <v>0</v>
      </c>
      <c r="H988" s="37">
        <f ca="1" t="shared" si="15"/>
        <v>200</v>
      </c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>
        <v>200</v>
      </c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</row>
    <row r="989" hidden="1" customHeight="1" spans="1:54">
      <c r="A989" s="49">
        <f>ROW()-4</f>
        <v>985</v>
      </c>
      <c r="B989" s="45"/>
      <c r="C989" s="52" t="s">
        <v>13</v>
      </c>
      <c r="D989" s="32"/>
      <c r="E989" s="45">
        <v>0</v>
      </c>
      <c r="F989" s="36">
        <f ca="1">SUMIF(I$3:$BB988,"入库",I989:$BB989)</f>
        <v>0</v>
      </c>
      <c r="G989" s="45">
        <f ca="1">SUMIF(J$3:$BB988,"出库",J989:$BB989)</f>
        <v>0</v>
      </c>
      <c r="H989" s="37">
        <f ca="1" t="shared" si="15"/>
        <v>0</v>
      </c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</row>
    <row r="990" hidden="1" customHeight="1" spans="1:54">
      <c r="A990" s="51"/>
      <c r="B990" s="45"/>
      <c r="C990" s="45" t="s">
        <v>14</v>
      </c>
      <c r="D990" s="32"/>
      <c r="E990" s="45">
        <v>0</v>
      </c>
      <c r="F990" s="36">
        <f ca="1">SUMIF(I$3:$BB989,"入库",I990:$BB990)</f>
        <v>0</v>
      </c>
      <c r="G990" s="45">
        <f ca="1">SUMIF(J$3:$BB989,"出库",J990:$BB990)</f>
        <v>0</v>
      </c>
      <c r="H990" s="37">
        <f ca="1" t="shared" si="15"/>
        <v>0</v>
      </c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</row>
    <row r="991" hidden="1" customHeight="1" spans="1:54">
      <c r="A991" s="53"/>
      <c r="B991" s="45"/>
      <c r="C991" s="50" t="s">
        <v>12</v>
      </c>
      <c r="D991" s="32"/>
      <c r="E991" s="45">
        <v>0</v>
      </c>
      <c r="F991" s="36">
        <f ca="1">SUMIF(I$3:$BB990,"入库",I991:$BB991)</f>
        <v>0</v>
      </c>
      <c r="G991" s="45">
        <f ca="1">SUMIF(J$3:$BB990,"出库",J991:$BB991)</f>
        <v>0</v>
      </c>
      <c r="H991" s="37">
        <f ca="1" t="shared" si="15"/>
        <v>0</v>
      </c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</row>
    <row r="992" hidden="1" customHeight="1" spans="1:54">
      <c r="A992" s="49">
        <f>ROW()-4</f>
        <v>988</v>
      </c>
      <c r="B992" s="45"/>
      <c r="C992" s="52" t="s">
        <v>13</v>
      </c>
      <c r="D992" s="32"/>
      <c r="E992" s="45">
        <v>0</v>
      </c>
      <c r="F992" s="36">
        <f ca="1">SUMIF(I$3:$BB991,"入库",I992:$BB992)</f>
        <v>0</v>
      </c>
      <c r="G992" s="45">
        <f ca="1">SUMIF(J$3:$BB991,"出库",J992:$BB992)</f>
        <v>0</v>
      </c>
      <c r="H992" s="37">
        <f ca="1" t="shared" si="15"/>
        <v>0</v>
      </c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</row>
    <row r="993" hidden="1" customHeight="1" spans="1:54">
      <c r="A993" s="51"/>
      <c r="B993" s="45"/>
      <c r="C993" s="45" t="s">
        <v>14</v>
      </c>
      <c r="D993" s="32"/>
      <c r="E993" s="45">
        <v>0</v>
      </c>
      <c r="F993" s="36">
        <f ca="1">SUMIF(I$3:$BB992,"入库",I993:$BB993)</f>
        <v>0</v>
      </c>
      <c r="G993" s="45">
        <f ca="1">SUMIF(J$3:$BB992,"出库",J993:$BB993)</f>
        <v>0</v>
      </c>
      <c r="H993" s="37">
        <f ca="1" t="shared" si="15"/>
        <v>0</v>
      </c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</row>
    <row r="994" hidden="1" customHeight="1" spans="1:54">
      <c r="A994" s="53"/>
      <c r="B994" s="45"/>
      <c r="C994" s="50" t="s">
        <v>12</v>
      </c>
      <c r="D994" s="32"/>
      <c r="E994" s="45">
        <v>0</v>
      </c>
      <c r="F994" s="36">
        <f ca="1">SUMIF(I$3:$BB993,"入库",I994:$BB994)</f>
        <v>0</v>
      </c>
      <c r="G994" s="45">
        <f ca="1">SUMIF(J$3:$BB993,"出库",J994:$BB994)</f>
        <v>0</v>
      </c>
      <c r="H994" s="37">
        <f ca="1" t="shared" si="15"/>
        <v>0</v>
      </c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</row>
    <row r="995" hidden="1" customHeight="1" spans="1:54">
      <c r="A995" s="49">
        <f>ROW()-4</f>
        <v>991</v>
      </c>
      <c r="B995" s="45"/>
      <c r="C995" s="52" t="s">
        <v>13</v>
      </c>
      <c r="D995" s="32"/>
      <c r="E995" s="45">
        <v>0</v>
      </c>
      <c r="F995" s="36">
        <f ca="1">SUMIF(I$3:$BB994,"入库",I995:$BB995)</f>
        <v>0</v>
      </c>
      <c r="G995" s="45">
        <f ca="1">SUMIF(J$3:$BB994,"出库",J995:$BB995)</f>
        <v>0</v>
      </c>
      <c r="H995" s="37">
        <f ca="1" t="shared" si="15"/>
        <v>0</v>
      </c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</row>
    <row r="996" hidden="1" customHeight="1" spans="1:54">
      <c r="A996" s="51"/>
      <c r="B996" s="45"/>
      <c r="C996" s="45" t="s">
        <v>14</v>
      </c>
      <c r="D996" s="32"/>
      <c r="E996" s="45">
        <v>0</v>
      </c>
      <c r="F996" s="36">
        <f ca="1">SUMIF(I$3:$BB995,"入库",I996:$BB996)</f>
        <v>0</v>
      </c>
      <c r="G996" s="45">
        <f ca="1">SUMIF(J$3:$BB995,"出库",J996:$BB996)</f>
        <v>0</v>
      </c>
      <c r="H996" s="37">
        <f ca="1" t="shared" si="15"/>
        <v>0</v>
      </c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</row>
    <row r="997" hidden="1" customHeight="1" spans="1:54">
      <c r="A997" s="53"/>
      <c r="B997" s="45"/>
      <c r="C997" s="50" t="s">
        <v>12</v>
      </c>
      <c r="D997" s="32"/>
      <c r="E997" s="45">
        <v>0</v>
      </c>
      <c r="F997" s="36">
        <f ca="1">SUMIF(I$3:$BB996,"入库",I997:$BB997)</f>
        <v>0</v>
      </c>
      <c r="G997" s="45">
        <f ca="1">SUMIF(J$3:$BB996,"出库",J997:$BB997)</f>
        <v>0</v>
      </c>
      <c r="H997" s="37">
        <f ca="1" t="shared" si="15"/>
        <v>0</v>
      </c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</row>
    <row r="998" hidden="1" customHeight="1" spans="1:54">
      <c r="A998" s="49">
        <f>ROW()-4</f>
        <v>994</v>
      </c>
      <c r="B998" s="45"/>
      <c r="C998" s="52" t="s">
        <v>13</v>
      </c>
      <c r="D998" s="32"/>
      <c r="E998" s="45">
        <v>0</v>
      </c>
      <c r="F998" s="36">
        <f ca="1">SUMIF(I$3:$BB997,"入库",I998:$BB998)</f>
        <v>0</v>
      </c>
      <c r="G998" s="45">
        <f ca="1">SUMIF(J$3:$BB997,"出库",J998:$BB998)</f>
        <v>0</v>
      </c>
      <c r="H998" s="37">
        <f ca="1" t="shared" si="15"/>
        <v>0</v>
      </c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</row>
    <row r="999" hidden="1" customHeight="1" spans="1:54">
      <c r="A999" s="51"/>
      <c r="B999" s="45"/>
      <c r="C999" s="45" t="s">
        <v>14</v>
      </c>
      <c r="D999" s="32"/>
      <c r="E999" s="45">
        <v>0</v>
      </c>
      <c r="F999" s="36">
        <f ca="1">SUMIF(I$3:$BB998,"入库",I999:$BB999)</f>
        <v>0</v>
      </c>
      <c r="G999" s="45">
        <f ca="1">SUMIF(J$3:$BB998,"出库",J999:$BB999)</f>
        <v>0</v>
      </c>
      <c r="H999" s="37">
        <f ca="1" t="shared" si="15"/>
        <v>0</v>
      </c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</row>
    <row r="1000" hidden="1" customHeight="1" spans="1:54">
      <c r="A1000" s="53"/>
      <c r="B1000" s="45"/>
      <c r="C1000" s="50" t="s">
        <v>12</v>
      </c>
      <c r="D1000" s="32"/>
      <c r="E1000" s="45">
        <v>0</v>
      </c>
      <c r="F1000" s="36">
        <f ca="1">SUMIF(I$3:$BB999,"入库",I1000:$BB1000)</f>
        <v>0</v>
      </c>
      <c r="G1000" s="45">
        <f ca="1">SUMIF(J$3:$BB999,"出库",J1000:$BB1000)</f>
        <v>0</v>
      </c>
      <c r="H1000" s="37">
        <f ca="1" t="shared" si="15"/>
        <v>0</v>
      </c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</row>
    <row r="1001" hidden="1" customHeight="1" spans="1:54">
      <c r="A1001" s="49">
        <f>ROW()-4</f>
        <v>997</v>
      </c>
      <c r="B1001" s="45"/>
      <c r="C1001" s="52" t="s">
        <v>13</v>
      </c>
      <c r="D1001" s="32"/>
      <c r="E1001" s="45">
        <v>0</v>
      </c>
      <c r="F1001" s="36">
        <f ca="1">SUMIF(I$3:$BB1000,"入库",I1001:$BB1001)</f>
        <v>0</v>
      </c>
      <c r="G1001" s="45">
        <f ca="1">SUMIF(J$3:$BB1000,"出库",J1001:$BB1001)</f>
        <v>0</v>
      </c>
      <c r="H1001" s="37">
        <f ca="1" t="shared" si="15"/>
        <v>0</v>
      </c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</row>
    <row r="1002" hidden="1" customHeight="1" spans="1:54">
      <c r="A1002" s="51"/>
      <c r="B1002" s="45"/>
      <c r="C1002" s="45" t="s">
        <v>14</v>
      </c>
      <c r="D1002" s="32"/>
      <c r="E1002" s="45">
        <v>0</v>
      </c>
      <c r="F1002" s="36">
        <f ca="1">SUMIF(I$3:$BB1001,"入库",I1002:$BB1002)</f>
        <v>0</v>
      </c>
      <c r="G1002" s="45">
        <f ca="1">SUMIF(J$3:$BB1001,"出库",J1002:$BB1002)</f>
        <v>0</v>
      </c>
      <c r="H1002" s="37">
        <f ca="1" t="shared" si="15"/>
        <v>0</v>
      </c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</row>
    <row r="1003" hidden="1" customHeight="1" spans="1:54">
      <c r="A1003" s="53"/>
      <c r="B1003" s="45"/>
      <c r="C1003" s="50" t="s">
        <v>12</v>
      </c>
      <c r="D1003" s="32"/>
      <c r="E1003" s="45">
        <v>0</v>
      </c>
      <c r="F1003" s="36">
        <f ca="1">SUMIF(I$3:$BB1002,"入库",I1003:$BB1003)</f>
        <v>0</v>
      </c>
      <c r="G1003" s="45">
        <f ca="1">SUMIF(J$3:$BB1002,"出库",J1003:$BB1003)</f>
        <v>0</v>
      </c>
      <c r="H1003" s="37">
        <f ca="1" t="shared" si="15"/>
        <v>0</v>
      </c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</row>
    <row r="1004" hidden="1" customHeight="1" spans="1:54">
      <c r="A1004" s="49">
        <f>ROW()-4</f>
        <v>1000</v>
      </c>
      <c r="B1004" s="45"/>
      <c r="C1004" s="52" t="s">
        <v>13</v>
      </c>
      <c r="D1004" s="32"/>
      <c r="E1004" s="45">
        <v>0</v>
      </c>
      <c r="F1004" s="36">
        <f ca="1">SUMIF(I$3:$BB1003,"入库",I1004:$BB1004)</f>
        <v>0</v>
      </c>
      <c r="G1004" s="45">
        <f ca="1">SUMIF(J$3:$BB1003,"出库",J1004:$BB1004)</f>
        <v>0</v>
      </c>
      <c r="H1004" s="37">
        <f ca="1" t="shared" si="15"/>
        <v>0</v>
      </c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</row>
    <row r="1005" hidden="1" customHeight="1" spans="1:54">
      <c r="A1005" s="51"/>
      <c r="B1005" s="45"/>
      <c r="C1005" s="45" t="s">
        <v>14</v>
      </c>
      <c r="D1005" s="32"/>
      <c r="E1005" s="45">
        <v>0</v>
      </c>
      <c r="F1005" s="36">
        <f ca="1">SUMIF(I$3:$BB1004,"入库",I1005:$BB1005)</f>
        <v>0</v>
      </c>
      <c r="G1005" s="45">
        <f ca="1">SUMIF(J$3:$BB1004,"出库",J1005:$BB1005)</f>
        <v>0</v>
      </c>
      <c r="H1005" s="37">
        <f ca="1" t="shared" si="15"/>
        <v>0</v>
      </c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</row>
    <row r="1006" hidden="1" customHeight="1" spans="1:54">
      <c r="A1006" s="53"/>
      <c r="B1006" s="45"/>
      <c r="C1006" s="50" t="s">
        <v>12</v>
      </c>
      <c r="D1006" s="32"/>
      <c r="E1006" s="45">
        <v>0</v>
      </c>
      <c r="F1006" s="36">
        <f ca="1">SUMIF(I$3:$BB1005,"入库",I1006:$BB1006)</f>
        <v>0</v>
      </c>
      <c r="G1006" s="45">
        <f ca="1">SUMIF(J$3:$BB1005,"出库",J1006:$BB1006)</f>
        <v>0</v>
      </c>
      <c r="H1006" s="37">
        <f ca="1" t="shared" si="15"/>
        <v>0</v>
      </c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</row>
    <row r="1007" hidden="1" customHeight="1" spans="1:54">
      <c r="A1007" s="49">
        <f>ROW()-4</f>
        <v>1003</v>
      </c>
      <c r="B1007" s="45"/>
      <c r="C1007" s="52" t="s">
        <v>13</v>
      </c>
      <c r="D1007" s="32"/>
      <c r="E1007" s="45">
        <v>0</v>
      </c>
      <c r="F1007" s="36">
        <f ca="1">SUMIF(I$3:$BB1006,"入库",I1007:$BB1007)</f>
        <v>0</v>
      </c>
      <c r="G1007" s="45">
        <f ca="1">SUMIF(J$3:$BB1006,"出库",J1007:$BB1007)</f>
        <v>0</v>
      </c>
      <c r="H1007" s="37">
        <f ca="1" t="shared" si="15"/>
        <v>0</v>
      </c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</row>
    <row r="1008" hidden="1" customHeight="1" spans="1:54">
      <c r="A1008" s="51"/>
      <c r="B1008" s="45"/>
      <c r="C1008" s="45" t="s">
        <v>14</v>
      </c>
      <c r="D1008" s="32"/>
      <c r="E1008" s="45">
        <v>0</v>
      </c>
      <c r="F1008" s="36">
        <f ca="1">SUMIF(I$3:$BB1007,"入库",I1008:$BB1008)</f>
        <v>0</v>
      </c>
      <c r="G1008" s="45">
        <f ca="1">SUMIF(J$3:$BB1007,"出库",J1008:$BB1008)</f>
        <v>0</v>
      </c>
      <c r="H1008" s="37">
        <f ca="1" t="shared" si="15"/>
        <v>0</v>
      </c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</row>
    <row r="1009" hidden="1" customHeight="1" spans="1:54">
      <c r="A1009" s="53"/>
      <c r="B1009" s="45"/>
      <c r="C1009" s="50" t="s">
        <v>12</v>
      </c>
      <c r="D1009" s="32"/>
      <c r="E1009" s="45">
        <v>0</v>
      </c>
      <c r="F1009" s="36">
        <f ca="1">SUMIF(I$3:$BB1008,"入库",I1009:$BB1009)</f>
        <v>0</v>
      </c>
      <c r="G1009" s="45">
        <f ca="1">SUMIF(J$3:$BB1008,"出库",J1009:$BB1009)</f>
        <v>0</v>
      </c>
      <c r="H1009" s="37">
        <f ca="1" t="shared" si="15"/>
        <v>0</v>
      </c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</row>
    <row r="1010" hidden="1" customHeight="1" spans="1:54">
      <c r="A1010" s="49">
        <f>ROW()-4</f>
        <v>1006</v>
      </c>
      <c r="B1010" s="45"/>
      <c r="C1010" s="52" t="s">
        <v>13</v>
      </c>
      <c r="D1010" s="32"/>
      <c r="E1010" s="45">
        <v>0</v>
      </c>
      <c r="F1010" s="36">
        <f ca="1">SUMIF(I$3:$BB1009,"入库",I1010:$BB1010)</f>
        <v>0</v>
      </c>
      <c r="G1010" s="45">
        <f ca="1">SUMIF(J$3:$BB1009,"出库",J1010:$BB1010)</f>
        <v>0</v>
      </c>
      <c r="H1010" s="37">
        <f ca="1" t="shared" ref="H1010:H1015" si="16">E1010+F1010-G1010</f>
        <v>0</v>
      </c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</row>
    <row r="1011" hidden="1" customHeight="1" spans="1:54">
      <c r="A1011" s="51"/>
      <c r="B1011" s="45"/>
      <c r="C1011" s="45" t="s">
        <v>14</v>
      </c>
      <c r="D1011" s="32"/>
      <c r="E1011" s="45">
        <v>0</v>
      </c>
      <c r="F1011" s="36">
        <f ca="1">SUMIF(I$3:$BB1010,"入库",I1011:$BB1011)</f>
        <v>0</v>
      </c>
      <c r="G1011" s="45">
        <f ca="1">SUMIF(J$3:$BB1010,"出库",J1011:$BB1011)</f>
        <v>0</v>
      </c>
      <c r="H1011" s="37">
        <f ca="1" t="shared" si="16"/>
        <v>0</v>
      </c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</row>
    <row r="1012" hidden="1" customHeight="1" spans="1:54">
      <c r="A1012" s="53"/>
      <c r="B1012" s="45"/>
      <c r="C1012" s="50" t="s">
        <v>12</v>
      </c>
      <c r="D1012" s="32"/>
      <c r="E1012" s="45">
        <v>0</v>
      </c>
      <c r="F1012" s="36">
        <f ca="1">SUMIF(I$3:$BB1011,"入库",I1012:$BB1012)</f>
        <v>0</v>
      </c>
      <c r="G1012" s="45">
        <f ca="1">SUMIF(J$3:$BB1011,"出库",J1012:$BB1012)</f>
        <v>0</v>
      </c>
      <c r="H1012" s="37">
        <f ca="1" t="shared" si="16"/>
        <v>0</v>
      </c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</row>
    <row r="1013" hidden="1" customHeight="1" spans="1:54">
      <c r="A1013" s="49">
        <f>ROW()-4</f>
        <v>1009</v>
      </c>
      <c r="B1013" s="45"/>
      <c r="C1013" s="52" t="s">
        <v>13</v>
      </c>
      <c r="D1013" s="32"/>
      <c r="E1013" s="45">
        <v>0</v>
      </c>
      <c r="F1013" s="36">
        <f ca="1">SUMIF(I$3:$BB1012,"入库",I1013:$BB1013)</f>
        <v>0</v>
      </c>
      <c r="G1013" s="45">
        <f ca="1">SUMIF(J$3:$BB1012,"出库",J1013:$BB1013)</f>
        <v>0</v>
      </c>
      <c r="H1013" s="37">
        <f ca="1" t="shared" si="16"/>
        <v>0</v>
      </c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</row>
    <row r="1014" hidden="1" customHeight="1" spans="1:54">
      <c r="A1014" s="51"/>
      <c r="B1014" s="45"/>
      <c r="C1014" s="45" t="s">
        <v>14</v>
      </c>
      <c r="D1014" s="32"/>
      <c r="E1014" s="45">
        <v>0</v>
      </c>
      <c r="F1014" s="36">
        <f ca="1">SUMIF(I$3:$BB1013,"入库",I1014:$BB1014)</f>
        <v>0</v>
      </c>
      <c r="G1014" s="45">
        <f ca="1">SUMIF(J$3:$BB1013,"出库",J1014:$BB1014)</f>
        <v>0</v>
      </c>
      <c r="H1014" s="37">
        <f ca="1" t="shared" si="16"/>
        <v>0</v>
      </c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</row>
    <row r="1015" hidden="1" customHeight="1" spans="1:54">
      <c r="A1015" s="53"/>
      <c r="B1015" s="45"/>
      <c r="C1015" s="50" t="s">
        <v>12</v>
      </c>
      <c r="D1015" s="32"/>
      <c r="E1015" s="45">
        <v>0</v>
      </c>
      <c r="F1015" s="36">
        <f ca="1">SUMIF(I$3:$BB1014,"入库",I1015:$BB1015)</f>
        <v>0</v>
      </c>
      <c r="G1015" s="45">
        <f ca="1">SUMIF(J$3:$BB1014,"出库",J1015:$BB1015)</f>
        <v>0</v>
      </c>
      <c r="H1015" s="37">
        <f ca="1" t="shared" si="16"/>
        <v>0</v>
      </c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</row>
    <row r="1016" hidden="1" customHeight="1" spans="1:54">
      <c r="A1016" s="49">
        <f>ROW()-4</f>
        <v>1012</v>
      </c>
      <c r="B1016" s="45"/>
      <c r="C1016" s="52" t="s">
        <v>13</v>
      </c>
      <c r="D1016" s="32"/>
      <c r="E1016" s="45">
        <v>0</v>
      </c>
      <c r="F1016" s="36">
        <f ca="1">SUMIF(I$3:$BB1015,"入库",I1016:$BB1016)</f>
        <v>0</v>
      </c>
      <c r="G1016" s="45">
        <f ca="1">SUMIF(J$3:$BB1015,"出库",J1016:$BB1016)</f>
        <v>0</v>
      </c>
      <c r="H1016" s="37">
        <f ca="1" t="shared" ref="H1016:H1021" si="17">E1016+F1016-G1016</f>
        <v>0</v>
      </c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</row>
    <row r="1017" hidden="1" customHeight="1" spans="1:54">
      <c r="A1017" s="51"/>
      <c r="B1017" s="45"/>
      <c r="C1017" s="45" t="s">
        <v>14</v>
      </c>
      <c r="D1017" s="32"/>
      <c r="E1017" s="45">
        <v>0</v>
      </c>
      <c r="F1017" s="36">
        <f ca="1">SUMIF(I$3:$BB1016,"入库",I1017:$BB1017)</f>
        <v>0</v>
      </c>
      <c r="G1017" s="45">
        <f ca="1">SUMIF(J$3:$BB1016,"出库",J1017:$BB1017)</f>
        <v>0</v>
      </c>
      <c r="H1017" s="37">
        <f ca="1" t="shared" si="17"/>
        <v>0</v>
      </c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</row>
    <row r="1018" hidden="1" customHeight="1" spans="1:54">
      <c r="A1018" s="53"/>
      <c r="B1018" s="45"/>
      <c r="C1018" s="50" t="s">
        <v>12</v>
      </c>
      <c r="D1018" s="32"/>
      <c r="E1018" s="45">
        <v>0</v>
      </c>
      <c r="F1018" s="36">
        <f ca="1">SUMIF(I$3:$BB1017,"入库",I1018:$BB1018)</f>
        <v>0</v>
      </c>
      <c r="G1018" s="45">
        <f ca="1">SUMIF(J$3:$BB1017,"出库",J1018:$BB1018)</f>
        <v>0</v>
      </c>
      <c r="H1018" s="37">
        <f ca="1" t="shared" si="17"/>
        <v>0</v>
      </c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</row>
    <row r="1019" hidden="1" customHeight="1" spans="1:54">
      <c r="A1019" s="49">
        <f>ROW()-4</f>
        <v>1015</v>
      </c>
      <c r="B1019" s="45"/>
      <c r="C1019" s="52" t="s">
        <v>13</v>
      </c>
      <c r="D1019" s="32"/>
      <c r="E1019" s="45">
        <v>0</v>
      </c>
      <c r="F1019" s="36">
        <f ca="1">SUMIF(I$3:$BB1018,"入库",I1019:$BB1019)</f>
        <v>0</v>
      </c>
      <c r="G1019" s="45">
        <f ca="1">SUMIF(J$3:$BB1018,"出库",J1019:$BB1019)</f>
        <v>0</v>
      </c>
      <c r="H1019" s="37">
        <f ca="1" t="shared" si="17"/>
        <v>0</v>
      </c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</row>
    <row r="1020" hidden="1" customHeight="1" spans="1:54">
      <c r="A1020" s="51"/>
      <c r="B1020" s="45"/>
      <c r="C1020" s="45" t="s">
        <v>14</v>
      </c>
      <c r="D1020" s="32"/>
      <c r="E1020" s="45">
        <v>0</v>
      </c>
      <c r="F1020" s="36">
        <f ca="1">SUMIF(I$3:$BB1019,"入库",I1020:$BB1020)</f>
        <v>0</v>
      </c>
      <c r="G1020" s="45">
        <f ca="1">SUMIF(J$3:$BB1019,"出库",J1020:$BB1020)</f>
        <v>0</v>
      </c>
      <c r="H1020" s="37">
        <f ca="1" t="shared" si="17"/>
        <v>0</v>
      </c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</row>
    <row r="1021" hidden="1" customHeight="1" spans="1:54">
      <c r="A1021" s="53"/>
      <c r="B1021" s="45"/>
      <c r="C1021" s="50" t="s">
        <v>12</v>
      </c>
      <c r="D1021" s="32"/>
      <c r="E1021" s="45">
        <v>0</v>
      </c>
      <c r="F1021" s="36">
        <f ca="1">SUMIF(I$3:$BB1020,"入库",I1021:$BB1021)</f>
        <v>0</v>
      </c>
      <c r="G1021" s="45">
        <f ca="1">SUMIF(J$3:$BB1020,"出库",J1021:$BB1021)</f>
        <v>0</v>
      </c>
      <c r="H1021" s="37">
        <f ca="1" t="shared" si="17"/>
        <v>0</v>
      </c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</row>
    <row r="1022" hidden="1" customHeight="1" spans="1:54">
      <c r="A1022" s="49">
        <f>ROW()-4</f>
        <v>1018</v>
      </c>
      <c r="B1022" s="45"/>
      <c r="C1022" s="52" t="s">
        <v>13</v>
      </c>
      <c r="D1022" s="32"/>
      <c r="E1022" s="45">
        <v>0</v>
      </c>
      <c r="F1022" s="36">
        <f ca="1">SUMIF(I$3:$BB1021,"入库",I1022:$BB1022)</f>
        <v>0</v>
      </c>
      <c r="G1022" s="45">
        <f ca="1">SUMIF(J$3:$BB1021,"出库",J1022:$BB1022)</f>
        <v>0</v>
      </c>
      <c r="H1022" s="37">
        <f ca="1" t="shared" ref="H1022:H1030" si="18">E1022+F1022-G1022</f>
        <v>0</v>
      </c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</row>
    <row r="1023" hidden="1" customHeight="1" spans="1:54">
      <c r="A1023" s="51"/>
      <c r="B1023" s="45"/>
      <c r="C1023" s="45" t="s">
        <v>14</v>
      </c>
      <c r="D1023" s="32"/>
      <c r="E1023" s="45">
        <v>0</v>
      </c>
      <c r="F1023" s="36">
        <f ca="1">SUMIF(I$3:$BB1022,"入库",I1023:$BB1023)</f>
        <v>0</v>
      </c>
      <c r="G1023" s="45">
        <f ca="1">SUMIF(J$3:$BB1022,"出库",J1023:$BB1023)</f>
        <v>0</v>
      </c>
      <c r="H1023" s="37">
        <f ca="1" t="shared" si="18"/>
        <v>0</v>
      </c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</row>
    <row r="1024" hidden="1" customHeight="1" spans="1:54">
      <c r="A1024" s="53"/>
      <c r="B1024" s="45"/>
      <c r="C1024" s="50" t="s">
        <v>12</v>
      </c>
      <c r="D1024" s="32"/>
      <c r="E1024" s="45">
        <v>0</v>
      </c>
      <c r="F1024" s="36">
        <f ca="1">SUMIF(I$3:$BB1023,"入库",I1024:$BB1024)</f>
        <v>0</v>
      </c>
      <c r="G1024" s="45">
        <f ca="1">SUMIF(J$3:$BB1023,"出库",J1024:$BB1024)</f>
        <v>0</v>
      </c>
      <c r="H1024" s="37">
        <f ca="1" t="shared" si="18"/>
        <v>0</v>
      </c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</row>
    <row r="1025" hidden="1" customHeight="1" spans="1:54">
      <c r="A1025" s="49">
        <f>ROW()-4</f>
        <v>1021</v>
      </c>
      <c r="B1025" s="45"/>
      <c r="C1025" s="52" t="s">
        <v>13</v>
      </c>
      <c r="D1025" s="32"/>
      <c r="E1025" s="45">
        <v>0</v>
      </c>
      <c r="F1025" s="36">
        <f ca="1">SUMIF(I$3:$BB1024,"入库",I1025:$BB1025)</f>
        <v>0</v>
      </c>
      <c r="G1025" s="45">
        <f ca="1">SUMIF(J$3:$BB1024,"出库",J1025:$BB1025)</f>
        <v>0</v>
      </c>
      <c r="H1025" s="37">
        <f ca="1" t="shared" si="18"/>
        <v>0</v>
      </c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</row>
    <row r="1026" hidden="1" customHeight="1" spans="1:54">
      <c r="A1026" s="51"/>
      <c r="B1026" s="45"/>
      <c r="C1026" s="45" t="s">
        <v>14</v>
      </c>
      <c r="D1026" s="32"/>
      <c r="E1026" s="45">
        <v>0</v>
      </c>
      <c r="F1026" s="36">
        <f ca="1">SUMIF(I$3:$BB1025,"入库",I1026:$BB1026)</f>
        <v>0</v>
      </c>
      <c r="G1026" s="45">
        <f ca="1">SUMIF(J$3:$BB1025,"出库",J1026:$BB1026)</f>
        <v>0</v>
      </c>
      <c r="H1026" s="37">
        <f ca="1" t="shared" si="18"/>
        <v>0</v>
      </c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</row>
    <row r="1027" hidden="1" customHeight="1" spans="1:54">
      <c r="A1027" s="53"/>
      <c r="B1027" s="45"/>
      <c r="C1027" s="50" t="s">
        <v>12</v>
      </c>
      <c r="D1027" s="32"/>
      <c r="E1027" s="45">
        <v>0</v>
      </c>
      <c r="F1027" s="36">
        <f ca="1">SUMIF(I$3:$BB1026,"入库",I1027:$BB1027)</f>
        <v>0</v>
      </c>
      <c r="G1027" s="45">
        <f ca="1">SUMIF(J$3:$BB1026,"出库",J1027:$BB1027)</f>
        <v>0</v>
      </c>
      <c r="H1027" s="37">
        <f ca="1" t="shared" si="18"/>
        <v>0</v>
      </c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</row>
    <row r="1028" hidden="1" customHeight="1" spans="1:54">
      <c r="A1028" s="49">
        <f>ROW()-4</f>
        <v>1024</v>
      </c>
      <c r="B1028" s="45"/>
      <c r="C1028" s="52" t="s">
        <v>13</v>
      </c>
      <c r="D1028" s="32"/>
      <c r="E1028" s="45">
        <v>0</v>
      </c>
      <c r="F1028" s="36">
        <f ca="1">SUMIF(I$3:$BB1027,"入库",I1028:$BB1028)</f>
        <v>0</v>
      </c>
      <c r="G1028" s="45">
        <f ca="1">SUMIF(J$3:$BB1027,"出库",J1028:$BB1028)</f>
        <v>0</v>
      </c>
      <c r="H1028" s="37">
        <f ca="1" t="shared" si="18"/>
        <v>0</v>
      </c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</row>
    <row r="1029" hidden="1" customHeight="1" spans="1:54">
      <c r="A1029" s="51"/>
      <c r="B1029" s="45"/>
      <c r="C1029" s="45" t="s">
        <v>14</v>
      </c>
      <c r="D1029" s="32"/>
      <c r="E1029" s="45">
        <v>0</v>
      </c>
      <c r="F1029" s="36">
        <f ca="1">SUMIF(I$3:$BB1028,"入库",I1029:$BB1029)</f>
        <v>0</v>
      </c>
      <c r="G1029" s="45">
        <f ca="1">SUMIF(J$3:$BB1028,"出库",J1029:$BB1029)</f>
        <v>0</v>
      </c>
      <c r="H1029" s="37">
        <f ca="1" t="shared" si="18"/>
        <v>0</v>
      </c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</row>
    <row r="1030" hidden="1" customHeight="1" spans="1:54">
      <c r="A1030" s="53"/>
      <c r="B1030" s="45"/>
      <c r="C1030" s="50" t="s">
        <v>12</v>
      </c>
      <c r="D1030" s="32"/>
      <c r="E1030" s="45">
        <v>0</v>
      </c>
      <c r="F1030" s="36">
        <f ca="1">SUMIF(I$3:$BB1029,"入库",I1030:$BB1030)</f>
        <v>0</v>
      </c>
      <c r="G1030" s="45">
        <f ca="1">SUMIF(J$3:$BB1029,"出库",J1030:$BB1030)</f>
        <v>0</v>
      </c>
      <c r="H1030" s="37">
        <f ca="1" t="shared" si="18"/>
        <v>0</v>
      </c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</row>
    <row r="1031" hidden="1" customHeight="1" spans="1:54">
      <c r="A1031" s="49">
        <f>ROW()-4</f>
        <v>1027</v>
      </c>
      <c r="B1031" s="45"/>
      <c r="C1031" s="52" t="s">
        <v>13</v>
      </c>
      <c r="D1031" s="32"/>
      <c r="E1031" s="45">
        <v>0</v>
      </c>
      <c r="F1031" s="36">
        <f ca="1">SUMIF(I$3:$BB1030,"入库",I1031:$BB1031)</f>
        <v>0</v>
      </c>
      <c r="G1031" s="45">
        <f ca="1">SUMIF(J$3:$BB1030,"出库",J1031:$BB1031)</f>
        <v>0</v>
      </c>
      <c r="H1031" s="37">
        <f ca="1" t="shared" ref="H1031:H1048" si="19">E1031+F1031-G1031</f>
        <v>0</v>
      </c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</row>
    <row r="1032" hidden="1" customHeight="1" spans="1:54">
      <c r="A1032" s="51"/>
      <c r="B1032" s="45"/>
      <c r="C1032" s="45" t="s">
        <v>14</v>
      </c>
      <c r="D1032" s="32"/>
      <c r="E1032" s="45">
        <v>0</v>
      </c>
      <c r="F1032" s="36">
        <f ca="1">SUMIF(I$3:$BB1031,"入库",I1032:$BB1032)</f>
        <v>0</v>
      </c>
      <c r="G1032" s="45">
        <f ca="1">SUMIF(J$3:$BB1031,"出库",J1032:$BB1032)</f>
        <v>0</v>
      </c>
      <c r="H1032" s="37">
        <f ca="1" t="shared" si="19"/>
        <v>0</v>
      </c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</row>
    <row r="1033" hidden="1" customHeight="1" spans="1:54">
      <c r="A1033" s="53"/>
      <c r="B1033" s="45"/>
      <c r="C1033" s="50" t="s">
        <v>12</v>
      </c>
      <c r="D1033" s="32"/>
      <c r="E1033" s="45">
        <v>0</v>
      </c>
      <c r="F1033" s="36">
        <f ca="1">SUMIF(I$3:$BB1032,"入库",I1033:$BB1033)</f>
        <v>0</v>
      </c>
      <c r="G1033" s="45">
        <f ca="1">SUMIF(J$3:$BB1032,"出库",J1033:$BB1033)</f>
        <v>0</v>
      </c>
      <c r="H1033" s="37">
        <f ca="1" t="shared" si="19"/>
        <v>0</v>
      </c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</row>
    <row r="1034" hidden="1" customHeight="1" spans="1:54">
      <c r="A1034" s="49">
        <f>ROW()-4</f>
        <v>1030</v>
      </c>
      <c r="B1034" s="45"/>
      <c r="C1034" s="52" t="s">
        <v>13</v>
      </c>
      <c r="D1034" s="32"/>
      <c r="E1034" s="45">
        <v>0</v>
      </c>
      <c r="F1034" s="36">
        <f ca="1">SUMIF(I$3:$BB1033,"入库",I1034:$BB1034)</f>
        <v>0</v>
      </c>
      <c r="G1034" s="45">
        <f ca="1">SUMIF(J$3:$BB1033,"出库",J1034:$BB1034)</f>
        <v>0</v>
      </c>
      <c r="H1034" s="37">
        <f ca="1" t="shared" si="19"/>
        <v>0</v>
      </c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</row>
    <row r="1035" hidden="1" customHeight="1" spans="1:54">
      <c r="A1035" s="51"/>
      <c r="B1035" s="45"/>
      <c r="C1035" s="45" t="s">
        <v>14</v>
      </c>
      <c r="D1035" s="32"/>
      <c r="E1035" s="45">
        <v>0</v>
      </c>
      <c r="F1035" s="36">
        <f ca="1">SUMIF(I$3:$BB1034,"入库",I1035:$BB1035)</f>
        <v>0</v>
      </c>
      <c r="G1035" s="45">
        <f ca="1">SUMIF(J$3:$BB1034,"出库",J1035:$BB1035)</f>
        <v>0</v>
      </c>
      <c r="H1035" s="37">
        <f ca="1" t="shared" si="19"/>
        <v>0</v>
      </c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</row>
    <row r="1036" hidden="1" customHeight="1" spans="1:54">
      <c r="A1036" s="53"/>
      <c r="B1036" s="45"/>
      <c r="C1036" s="50" t="s">
        <v>12</v>
      </c>
      <c r="D1036" s="32"/>
      <c r="E1036" s="45">
        <v>0</v>
      </c>
      <c r="F1036" s="36">
        <f ca="1">SUMIF(I$3:$BB1035,"入库",I1036:$BB1036)</f>
        <v>0</v>
      </c>
      <c r="G1036" s="45">
        <f ca="1">SUMIF(J$3:$BB1035,"出库",J1036:$BB1036)</f>
        <v>0</v>
      </c>
      <c r="H1036" s="37">
        <f ca="1" t="shared" si="19"/>
        <v>0</v>
      </c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</row>
    <row r="1037" hidden="1" customHeight="1" spans="1:54">
      <c r="A1037" s="49">
        <f>ROW()-4</f>
        <v>1033</v>
      </c>
      <c r="B1037" s="45"/>
      <c r="C1037" s="52" t="s">
        <v>13</v>
      </c>
      <c r="D1037" s="32"/>
      <c r="E1037" s="45">
        <v>0</v>
      </c>
      <c r="F1037" s="36">
        <f ca="1">SUMIF(I$3:$BB1036,"入库",I1037:$BB1037)</f>
        <v>0</v>
      </c>
      <c r="G1037" s="45">
        <f ca="1">SUMIF(J$3:$BB1036,"出库",J1037:$BB1037)</f>
        <v>0</v>
      </c>
      <c r="H1037" s="37">
        <f ca="1" t="shared" si="19"/>
        <v>0</v>
      </c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</row>
    <row r="1038" hidden="1" customHeight="1" spans="1:54">
      <c r="A1038" s="51"/>
      <c r="B1038" s="45"/>
      <c r="C1038" s="45" t="s">
        <v>14</v>
      </c>
      <c r="D1038" s="32"/>
      <c r="E1038" s="45">
        <v>0</v>
      </c>
      <c r="F1038" s="36">
        <f ca="1">SUMIF(I$3:$BB1037,"入库",I1038:$BB1038)</f>
        <v>0</v>
      </c>
      <c r="G1038" s="45">
        <f ca="1">SUMIF(J$3:$BB1037,"出库",J1038:$BB1038)</f>
        <v>0</v>
      </c>
      <c r="H1038" s="37">
        <f ca="1" t="shared" si="19"/>
        <v>0</v>
      </c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</row>
    <row r="1039" hidden="1" customHeight="1" spans="1:54">
      <c r="A1039" s="53"/>
      <c r="B1039" s="45"/>
      <c r="C1039" s="50" t="s">
        <v>12</v>
      </c>
      <c r="D1039" s="32"/>
      <c r="E1039" s="45">
        <v>0</v>
      </c>
      <c r="F1039" s="36">
        <f ca="1">SUMIF(I$3:$BB1038,"入库",I1039:$BB1039)</f>
        <v>0</v>
      </c>
      <c r="G1039" s="45">
        <f ca="1">SUMIF(J$3:$BB1038,"出库",J1039:$BB1039)</f>
        <v>0</v>
      </c>
      <c r="H1039" s="37">
        <f ca="1" t="shared" si="19"/>
        <v>0</v>
      </c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</row>
    <row r="1040" hidden="1" customHeight="1" spans="1:54">
      <c r="A1040" s="49">
        <f>ROW()-4</f>
        <v>1036</v>
      </c>
      <c r="B1040" s="45"/>
      <c r="C1040" s="52" t="s">
        <v>13</v>
      </c>
      <c r="D1040" s="32"/>
      <c r="E1040" s="45">
        <v>0</v>
      </c>
      <c r="F1040" s="36">
        <f ca="1">SUMIF(I$3:$BB1039,"入库",I1040:$BB1040)</f>
        <v>0</v>
      </c>
      <c r="G1040" s="45">
        <f ca="1">SUMIF(J$3:$BB1039,"出库",J1040:$BB1040)</f>
        <v>0</v>
      </c>
      <c r="H1040" s="37">
        <f ca="1" t="shared" si="19"/>
        <v>0</v>
      </c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</row>
    <row r="1041" hidden="1" customHeight="1" spans="1:54">
      <c r="A1041" s="51"/>
      <c r="B1041" s="45"/>
      <c r="C1041" s="45" t="s">
        <v>14</v>
      </c>
      <c r="D1041" s="32"/>
      <c r="E1041" s="45">
        <v>0</v>
      </c>
      <c r="F1041" s="36">
        <f ca="1">SUMIF(I$3:$BB1040,"入库",I1041:$BB1041)</f>
        <v>0</v>
      </c>
      <c r="G1041" s="45">
        <f ca="1">SUMIF(J$3:$BB1040,"出库",J1041:$BB1041)</f>
        <v>0</v>
      </c>
      <c r="H1041" s="37">
        <f ca="1" t="shared" si="19"/>
        <v>0</v>
      </c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</row>
    <row r="1042" hidden="1" customHeight="1" spans="1:54">
      <c r="A1042" s="53"/>
      <c r="B1042" s="45"/>
      <c r="C1042" s="50" t="s">
        <v>12</v>
      </c>
      <c r="D1042" s="32"/>
      <c r="E1042" s="45">
        <v>0</v>
      </c>
      <c r="F1042" s="36">
        <f ca="1">SUMIF(I$3:$BB1041,"入库",I1042:$BB1042)</f>
        <v>0</v>
      </c>
      <c r="G1042" s="45">
        <f ca="1">SUMIF(J$3:$BB1041,"出库",J1042:$BB1042)</f>
        <v>0</v>
      </c>
      <c r="H1042" s="37">
        <f ca="1" t="shared" si="19"/>
        <v>0</v>
      </c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</row>
    <row r="1043" hidden="1" customHeight="1" spans="1:54">
      <c r="A1043" s="49"/>
      <c r="B1043" s="45"/>
      <c r="C1043" s="52" t="s">
        <v>13</v>
      </c>
      <c r="D1043" s="32"/>
      <c r="E1043" s="45">
        <v>0</v>
      </c>
      <c r="F1043" s="36">
        <f ca="1">SUMIF(I$3:$BB1042,"入库",I1043:$BB1043)</f>
        <v>0</v>
      </c>
      <c r="G1043" s="45">
        <f ca="1">SUMIF(J$3:$BB1042,"出库",J1043:$BB1043)</f>
        <v>0</v>
      </c>
      <c r="H1043" s="37">
        <f ca="1" t="shared" si="19"/>
        <v>0</v>
      </c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</row>
    <row r="1044" hidden="1" customHeight="1" spans="1:54">
      <c r="A1044" s="51"/>
      <c r="B1044" s="45"/>
      <c r="C1044" s="45" t="s">
        <v>14</v>
      </c>
      <c r="D1044" s="32"/>
      <c r="E1044" s="45">
        <v>0</v>
      </c>
      <c r="F1044" s="36">
        <f ca="1">SUMIF(I$3:$BB1043,"入库",I1044:$BB1044)</f>
        <v>0</v>
      </c>
      <c r="G1044" s="45">
        <f ca="1">SUMIF(J$3:$BB1043,"出库",J1044:$BB1044)</f>
        <v>0</v>
      </c>
      <c r="H1044" s="37">
        <f ca="1" t="shared" si="19"/>
        <v>0</v>
      </c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</row>
    <row r="1045" hidden="1" customHeight="1" spans="1:54">
      <c r="A1045" s="53"/>
      <c r="B1045" s="45"/>
      <c r="C1045" s="50" t="s">
        <v>12</v>
      </c>
      <c r="D1045" s="32"/>
      <c r="E1045" s="45">
        <v>0</v>
      </c>
      <c r="F1045" s="36">
        <f ca="1">SUMIF(I$3:$BB1044,"入库",I1045:$BB1045)</f>
        <v>0</v>
      </c>
      <c r="G1045" s="45">
        <f ca="1">SUMIF(J$3:$BB1044,"出库",J1045:$BB1045)</f>
        <v>0</v>
      </c>
      <c r="H1045" s="37">
        <f ca="1" t="shared" si="19"/>
        <v>0</v>
      </c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  <c r="AR1045" s="32"/>
      <c r="AS1045" s="32"/>
      <c r="AT1045" s="32"/>
      <c r="AU1045" s="32"/>
      <c r="AV1045" s="32"/>
      <c r="AW1045" s="32"/>
      <c r="AX1045" s="32"/>
      <c r="AY1045" s="32"/>
      <c r="AZ1045" s="32"/>
      <c r="BA1045" s="32"/>
      <c r="BB1045" s="32"/>
    </row>
    <row r="1046" hidden="1" customHeight="1" spans="1:54">
      <c r="A1046" s="45"/>
      <c r="B1046" s="45" t="s">
        <v>334</v>
      </c>
      <c r="C1046" s="52" t="s">
        <v>13</v>
      </c>
      <c r="D1046" s="32"/>
      <c r="E1046" s="45">
        <v>0</v>
      </c>
      <c r="F1046" s="36">
        <f ca="1">SUMIF(I$3:$BB1033,"入库",I1046:$BB1046)</f>
        <v>0</v>
      </c>
      <c r="G1046" s="45">
        <f ca="1">SUMIF(J$3:$BB1033,"出库",J1046:$BB1046)</f>
        <v>0</v>
      </c>
      <c r="H1046" s="37">
        <f ca="1" t="shared" si="19"/>
        <v>0</v>
      </c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</row>
    <row r="1047" hidden="1" customHeight="1" spans="1:54">
      <c r="A1047" s="45"/>
      <c r="B1047" s="45"/>
      <c r="C1047" s="45" t="s">
        <v>14</v>
      </c>
      <c r="D1047" s="32"/>
      <c r="E1047" s="45">
        <v>0</v>
      </c>
      <c r="F1047" s="36">
        <f ca="1">SUMIF(I$3:$BB1046,"入库",I1047:$BB1047)</f>
        <v>0</v>
      </c>
      <c r="G1047" s="45">
        <f ca="1">SUMIF(J$3:$BB1046,"出库",J1047:$BB1047)</f>
        <v>0</v>
      </c>
      <c r="H1047" s="37">
        <f ca="1" t="shared" si="19"/>
        <v>0</v>
      </c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</row>
    <row r="1048" hidden="1" customHeight="1" spans="1:54">
      <c r="A1048" s="45"/>
      <c r="B1048" s="45"/>
      <c r="C1048" s="50" t="s">
        <v>12</v>
      </c>
      <c r="D1048" s="32"/>
      <c r="E1048" s="45">
        <v>0</v>
      </c>
      <c r="F1048" s="36">
        <f ca="1">SUMIF(I$3:$BB1047,"入库",I1048:$BB1048)</f>
        <v>0</v>
      </c>
      <c r="G1048" s="45">
        <f ca="1">SUMIF(J$3:$BB1047,"出库",J1048:$BB1048)</f>
        <v>0</v>
      </c>
      <c r="H1048" s="37">
        <f ca="1" t="shared" si="19"/>
        <v>0</v>
      </c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</row>
  </sheetData>
  <autoFilter xmlns:etc="http://www.wps.cn/officeDocument/2017/etCustomData" ref="A4:H1048" etc:filterBottomFollowUsedRange="0">
    <filterColumn colId="1">
      <filters>
        <filter val="13*13*3"/>
      </filters>
    </filterColumn>
    <extLst/>
  </autoFilter>
  <mergeCells count="728">
    <mergeCell ref="A1:H1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A889"/>
    <mergeCell ref="A890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B362:B364"/>
    <mergeCell ref="B365:B367"/>
    <mergeCell ref="B368:B370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B419:B421"/>
    <mergeCell ref="B422:B424"/>
    <mergeCell ref="B425:B427"/>
    <mergeCell ref="B428:B430"/>
    <mergeCell ref="B431:B433"/>
    <mergeCell ref="B434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54:B556"/>
    <mergeCell ref="B557:B559"/>
    <mergeCell ref="B560:B562"/>
    <mergeCell ref="B563:B565"/>
    <mergeCell ref="B566:B568"/>
    <mergeCell ref="B569:B571"/>
    <mergeCell ref="B572:B574"/>
    <mergeCell ref="B575:B577"/>
    <mergeCell ref="B578:B580"/>
    <mergeCell ref="B581:B583"/>
    <mergeCell ref="B584:B586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B671:B673"/>
    <mergeCell ref="B674:B676"/>
    <mergeCell ref="B677:B679"/>
    <mergeCell ref="B680:B682"/>
    <mergeCell ref="B683:B685"/>
    <mergeCell ref="B686:B688"/>
    <mergeCell ref="B689:B691"/>
    <mergeCell ref="B692:B694"/>
    <mergeCell ref="B695:B697"/>
    <mergeCell ref="B698:B700"/>
    <mergeCell ref="B701:B703"/>
    <mergeCell ref="B704:B706"/>
    <mergeCell ref="B707:B709"/>
    <mergeCell ref="B710:B712"/>
    <mergeCell ref="B713:B715"/>
    <mergeCell ref="B716:B718"/>
    <mergeCell ref="B719:B721"/>
    <mergeCell ref="B722:B724"/>
    <mergeCell ref="B725:B727"/>
    <mergeCell ref="B728:B730"/>
    <mergeCell ref="B731:B733"/>
    <mergeCell ref="B734:B736"/>
    <mergeCell ref="B737:B739"/>
    <mergeCell ref="B740:B742"/>
    <mergeCell ref="B743:B745"/>
    <mergeCell ref="B746:B748"/>
    <mergeCell ref="B749:B751"/>
    <mergeCell ref="B752:B754"/>
    <mergeCell ref="B755:B757"/>
    <mergeCell ref="B758:B760"/>
    <mergeCell ref="B761:B763"/>
    <mergeCell ref="B764:B766"/>
    <mergeCell ref="B767:B769"/>
    <mergeCell ref="B770:B772"/>
    <mergeCell ref="B773:B775"/>
    <mergeCell ref="B776:B778"/>
    <mergeCell ref="B779:B781"/>
    <mergeCell ref="B782:B784"/>
    <mergeCell ref="B785:B787"/>
    <mergeCell ref="B788:B790"/>
    <mergeCell ref="B791:B793"/>
    <mergeCell ref="B794:B796"/>
    <mergeCell ref="B797:B799"/>
    <mergeCell ref="B800:B802"/>
    <mergeCell ref="B803:B805"/>
    <mergeCell ref="B806:B808"/>
    <mergeCell ref="B809:B811"/>
    <mergeCell ref="B812:B814"/>
    <mergeCell ref="B815:B817"/>
    <mergeCell ref="B818:B820"/>
    <mergeCell ref="B821:B823"/>
    <mergeCell ref="B824:B826"/>
    <mergeCell ref="B827:B829"/>
    <mergeCell ref="B830:B832"/>
    <mergeCell ref="B833:B835"/>
    <mergeCell ref="B836:B838"/>
    <mergeCell ref="B839:B841"/>
    <mergeCell ref="B842:B844"/>
    <mergeCell ref="B845:B847"/>
    <mergeCell ref="B848:B850"/>
    <mergeCell ref="B851:B853"/>
    <mergeCell ref="B854:B856"/>
    <mergeCell ref="B857:B859"/>
    <mergeCell ref="B860:B862"/>
    <mergeCell ref="B863:B865"/>
    <mergeCell ref="B866:B868"/>
    <mergeCell ref="B869:B871"/>
    <mergeCell ref="B872:B874"/>
    <mergeCell ref="B875:B877"/>
    <mergeCell ref="B878:B880"/>
    <mergeCell ref="B881:B883"/>
    <mergeCell ref="B884:B886"/>
    <mergeCell ref="B887:B889"/>
    <mergeCell ref="B890:B892"/>
    <mergeCell ref="B893:B895"/>
    <mergeCell ref="B896:B898"/>
    <mergeCell ref="B899:B901"/>
    <mergeCell ref="B902:B904"/>
    <mergeCell ref="B905:B907"/>
    <mergeCell ref="B908:B910"/>
    <mergeCell ref="B911:B913"/>
    <mergeCell ref="B914:B916"/>
    <mergeCell ref="B917:B919"/>
    <mergeCell ref="B920:B922"/>
    <mergeCell ref="B923:B925"/>
    <mergeCell ref="B926:B928"/>
    <mergeCell ref="B929:B931"/>
    <mergeCell ref="B932:B934"/>
    <mergeCell ref="B935:B937"/>
    <mergeCell ref="B938:B940"/>
    <mergeCell ref="B941:B943"/>
    <mergeCell ref="B944:B946"/>
    <mergeCell ref="B947:B949"/>
    <mergeCell ref="B950:B952"/>
    <mergeCell ref="B953:B955"/>
    <mergeCell ref="B956:B958"/>
    <mergeCell ref="B959:B961"/>
    <mergeCell ref="B962:B964"/>
    <mergeCell ref="B965:B967"/>
    <mergeCell ref="B968:B970"/>
    <mergeCell ref="B971:B973"/>
    <mergeCell ref="B974:B976"/>
    <mergeCell ref="B977:B979"/>
    <mergeCell ref="B980:B982"/>
    <mergeCell ref="B983:B985"/>
    <mergeCell ref="B986:B988"/>
    <mergeCell ref="B989:B991"/>
    <mergeCell ref="B992:B994"/>
    <mergeCell ref="B995:B997"/>
    <mergeCell ref="B998:B1000"/>
    <mergeCell ref="B1001:B1003"/>
    <mergeCell ref="B1004:B1006"/>
    <mergeCell ref="B1007:B1009"/>
    <mergeCell ref="B1010:B1012"/>
    <mergeCell ref="B1013:B1015"/>
    <mergeCell ref="B1016:B1018"/>
    <mergeCell ref="B1019:B1021"/>
    <mergeCell ref="B1022:B1024"/>
    <mergeCell ref="B1025:B1027"/>
    <mergeCell ref="B1028:B1030"/>
    <mergeCell ref="B1031:B1033"/>
    <mergeCell ref="B1034:B1036"/>
    <mergeCell ref="B1037:B1039"/>
    <mergeCell ref="B1040:B1042"/>
    <mergeCell ref="B1043:B1045"/>
    <mergeCell ref="B1046:B1048"/>
    <mergeCell ref="C2:C4"/>
    <mergeCell ref="D2:D4"/>
    <mergeCell ref="E2:E4"/>
    <mergeCell ref="F2:F4"/>
    <mergeCell ref="G2:G4"/>
    <mergeCell ref="H2:H4"/>
  </mergeCells>
  <conditionalFormatting sqref="B2">
    <cfRule type="expression" dxfId="0" priority="1681">
      <formula>$A3&lt;&gt;""</formula>
    </cfRule>
    <cfRule type="expression" priority="1682">
      <formula>$A3&lt;&gt;""</formula>
    </cfRule>
    <cfRule type="expression" priority="1683">
      <formula>$A$2</formula>
    </cfRule>
  </conditionalFormatting>
  <conditionalFormatting sqref="A8">
    <cfRule type="expression" priority="1044">
      <formula>$A$2</formula>
    </cfRule>
    <cfRule type="expression" priority="698">
      <formula>$A9&lt;&gt;""</formula>
    </cfRule>
    <cfRule type="expression" dxfId="0" priority="352">
      <formula>$A9&lt;&gt;""</formula>
    </cfRule>
  </conditionalFormatting>
  <conditionalFormatting sqref="A11">
    <cfRule type="expression" priority="1043">
      <formula>$A$2</formula>
    </cfRule>
    <cfRule type="expression" priority="697">
      <formula>$A12&lt;&gt;""</formula>
    </cfRule>
    <cfRule type="expression" dxfId="0" priority="351">
      <formula>$A12&lt;&gt;""</formula>
    </cfRule>
  </conditionalFormatting>
  <conditionalFormatting sqref="A14">
    <cfRule type="expression" priority="6">
      <formula>$A$2</formula>
    </cfRule>
    <cfRule type="expression" priority="5">
      <formula>$A15&lt;&gt;""</formula>
    </cfRule>
    <cfRule type="expression" dxfId="0" priority="4">
      <formula>$A15&lt;&gt;""</formula>
    </cfRule>
  </conditionalFormatting>
  <conditionalFormatting sqref="A17">
    <cfRule type="expression" priority="3">
      <formula>$A$2</formula>
    </cfRule>
    <cfRule type="expression" priority="2">
      <formula>$A18&lt;&gt;""</formula>
    </cfRule>
    <cfRule type="expression" dxfId="0" priority="1">
      <formula>$A18&lt;&gt;""</formula>
    </cfRule>
  </conditionalFormatting>
  <conditionalFormatting sqref="I19:BB19">
    <cfRule type="expression" dxfId="0" priority="1918">
      <formula>$A25&lt;&gt;""</formula>
    </cfRule>
    <cfRule type="expression" priority="1919">
      <formula>$A25&lt;&gt;""</formula>
    </cfRule>
    <cfRule type="expression" priority="1920">
      <formula>$A$2</formula>
    </cfRule>
  </conditionalFormatting>
  <conditionalFormatting sqref="A20">
    <cfRule type="expression" priority="1040">
      <formula>$A$2</formula>
    </cfRule>
    <cfRule type="expression" priority="694">
      <formula>$A21&lt;&gt;""</formula>
    </cfRule>
    <cfRule type="expression" dxfId="0" priority="348">
      <formula>$A21&lt;&gt;""</formula>
    </cfRule>
  </conditionalFormatting>
  <conditionalFormatting sqref="I20:BB20">
    <cfRule type="expression" dxfId="0" priority="1924">
      <formula>#REF!&lt;&gt;""</formula>
    </cfRule>
    <cfRule type="expression" priority="1925">
      <formula>#REF!&lt;&gt;""</formula>
    </cfRule>
    <cfRule type="expression" priority="1926">
      <formula>$A$2</formula>
    </cfRule>
  </conditionalFormatting>
  <conditionalFormatting sqref="I21:BB21">
    <cfRule type="expression" dxfId="0" priority="1921">
      <formula>#REF!&lt;&gt;""</formula>
    </cfRule>
    <cfRule type="expression" priority="1922">
      <formula>#REF!&lt;&gt;""</formula>
    </cfRule>
    <cfRule type="expression" priority="1923">
      <formula>$A$2</formula>
    </cfRule>
  </conditionalFormatting>
  <conditionalFormatting sqref="I22:BB22">
    <cfRule type="expression" dxfId="0" priority="1915">
      <formula>#REF!&lt;&gt;""</formula>
    </cfRule>
    <cfRule type="expression" priority="1916">
      <formula>#REF!&lt;&gt;""</formula>
    </cfRule>
    <cfRule type="expression" priority="1917">
      <formula>$A$2</formula>
    </cfRule>
  </conditionalFormatting>
  <conditionalFormatting sqref="A23">
    <cfRule type="expression" priority="1039">
      <formula>$A$2</formula>
    </cfRule>
    <cfRule type="expression" priority="693">
      <formula>$A24&lt;&gt;""</formula>
    </cfRule>
    <cfRule type="expression" dxfId="0" priority="347">
      <formula>$A24&lt;&gt;""</formula>
    </cfRule>
  </conditionalFormatting>
  <conditionalFormatting sqref="I23:BB23">
    <cfRule type="expression" dxfId="0" priority="1912">
      <formula>#REF!&lt;&gt;""</formula>
    </cfRule>
    <cfRule type="expression" priority="1913">
      <formula>#REF!&lt;&gt;""</formula>
    </cfRule>
    <cfRule type="expression" priority="1914">
      <formula>$A$2</formula>
    </cfRule>
  </conditionalFormatting>
  <conditionalFormatting sqref="I24:BB24">
    <cfRule type="expression" dxfId="0" priority="1909">
      <formula>#REF!&lt;&gt;""</formula>
    </cfRule>
    <cfRule type="expression" priority="1910">
      <formula>#REF!&lt;&gt;""</formula>
    </cfRule>
    <cfRule type="expression" priority="1911">
      <formula>$A$2</formula>
    </cfRule>
  </conditionalFormatting>
  <conditionalFormatting sqref="A26">
    <cfRule type="expression" priority="1038">
      <formula>$A$2</formula>
    </cfRule>
    <cfRule type="expression" priority="692">
      <formula>$A27&lt;&gt;""</formula>
    </cfRule>
    <cfRule type="expression" dxfId="0" priority="346">
      <formula>$A27&lt;&gt;""</formula>
    </cfRule>
  </conditionalFormatting>
  <conditionalFormatting sqref="A29">
    <cfRule type="expression" priority="1037">
      <formula>$A$2</formula>
    </cfRule>
    <cfRule type="expression" priority="691">
      <formula>$A30&lt;&gt;""</formula>
    </cfRule>
    <cfRule type="expression" dxfId="0" priority="345">
      <formula>$A30&lt;&gt;""</formula>
    </cfRule>
  </conditionalFormatting>
  <conditionalFormatting sqref="A32">
    <cfRule type="expression" priority="1036">
      <formula>$A$2</formula>
    </cfRule>
    <cfRule type="expression" priority="690">
      <formula>$A33&lt;&gt;""</formula>
    </cfRule>
    <cfRule type="expression" dxfId="0" priority="344">
      <formula>$A33&lt;&gt;""</formula>
    </cfRule>
  </conditionalFormatting>
  <conditionalFormatting sqref="A35">
    <cfRule type="expression" priority="1035">
      <formula>$A$2</formula>
    </cfRule>
    <cfRule type="expression" priority="689">
      <formula>$A36&lt;&gt;""</formula>
    </cfRule>
    <cfRule type="expression" dxfId="0" priority="343">
      <formula>$A36&lt;&gt;""</formula>
    </cfRule>
  </conditionalFormatting>
  <conditionalFormatting sqref="A38">
    <cfRule type="expression" priority="1034">
      <formula>$A$2</formula>
    </cfRule>
    <cfRule type="expression" priority="688">
      <formula>$A39&lt;&gt;""</formula>
    </cfRule>
    <cfRule type="expression" dxfId="0" priority="342">
      <formula>$A39&lt;&gt;""</formula>
    </cfRule>
  </conditionalFormatting>
  <conditionalFormatting sqref="A41">
    <cfRule type="expression" priority="1033">
      <formula>$A$2</formula>
    </cfRule>
    <cfRule type="expression" priority="687">
      <formula>$A42&lt;&gt;""</formula>
    </cfRule>
    <cfRule type="expression" dxfId="0" priority="341">
      <formula>$A42&lt;&gt;""</formula>
    </cfRule>
  </conditionalFormatting>
  <conditionalFormatting sqref="A44">
    <cfRule type="expression" priority="1032">
      <formula>$A$2</formula>
    </cfRule>
    <cfRule type="expression" priority="686">
      <formula>$A45&lt;&gt;""</formula>
    </cfRule>
    <cfRule type="expression" dxfId="0" priority="340">
      <formula>$A45&lt;&gt;""</formula>
    </cfRule>
  </conditionalFormatting>
  <conditionalFormatting sqref="A47">
    <cfRule type="expression" priority="1031">
      <formula>$A$2</formula>
    </cfRule>
    <cfRule type="expression" priority="685">
      <formula>$A48&lt;&gt;""</formula>
    </cfRule>
    <cfRule type="expression" dxfId="0" priority="339">
      <formula>$A48&lt;&gt;""</formula>
    </cfRule>
  </conditionalFormatting>
  <conditionalFormatting sqref="A50">
    <cfRule type="expression" priority="1030">
      <formula>$A$2</formula>
    </cfRule>
    <cfRule type="expression" priority="684">
      <formula>$A51&lt;&gt;""</formula>
    </cfRule>
    <cfRule type="expression" dxfId="0" priority="338">
      <formula>$A51&lt;&gt;""</formula>
    </cfRule>
  </conditionalFormatting>
  <conditionalFormatting sqref="A53">
    <cfRule type="expression" priority="1029">
      <formula>$A$2</formula>
    </cfRule>
    <cfRule type="expression" priority="683">
      <formula>$A54&lt;&gt;""</formula>
    </cfRule>
    <cfRule type="expression" dxfId="0" priority="337">
      <formula>$A54&lt;&gt;""</formula>
    </cfRule>
  </conditionalFormatting>
  <conditionalFormatting sqref="A56">
    <cfRule type="expression" priority="1028">
      <formula>$A$2</formula>
    </cfRule>
    <cfRule type="expression" priority="682">
      <formula>$A57&lt;&gt;""</formula>
    </cfRule>
    <cfRule type="expression" dxfId="0" priority="336">
      <formula>$A57&lt;&gt;""</formula>
    </cfRule>
  </conditionalFormatting>
  <conditionalFormatting sqref="A59">
    <cfRule type="expression" priority="1027">
      <formula>$A$2</formula>
    </cfRule>
    <cfRule type="expression" priority="681">
      <formula>$A60&lt;&gt;""</formula>
    </cfRule>
    <cfRule type="expression" dxfId="0" priority="335">
      <formula>$A60&lt;&gt;""</formula>
    </cfRule>
  </conditionalFormatting>
  <conditionalFormatting sqref="A62">
    <cfRule type="expression" priority="1026">
      <formula>$A$2</formula>
    </cfRule>
    <cfRule type="expression" priority="680">
      <formula>$A63&lt;&gt;""</formula>
    </cfRule>
    <cfRule type="expression" dxfId="0" priority="334">
      <formula>$A63&lt;&gt;""</formula>
    </cfRule>
  </conditionalFormatting>
  <conditionalFormatting sqref="A65">
    <cfRule type="expression" priority="1025">
      <formula>$A$2</formula>
    </cfRule>
    <cfRule type="expression" priority="679">
      <formula>$A66&lt;&gt;""</formula>
    </cfRule>
    <cfRule type="expression" dxfId="0" priority="333">
      <formula>$A66&lt;&gt;""</formula>
    </cfRule>
  </conditionalFormatting>
  <conditionalFormatting sqref="A68">
    <cfRule type="expression" priority="1024">
      <formula>$A$2</formula>
    </cfRule>
    <cfRule type="expression" priority="678">
      <formula>$A69&lt;&gt;""</formula>
    </cfRule>
    <cfRule type="expression" dxfId="0" priority="332">
      <formula>$A69&lt;&gt;""</formula>
    </cfRule>
  </conditionalFormatting>
  <conditionalFormatting sqref="A71">
    <cfRule type="expression" priority="1023">
      <formula>$A$2</formula>
    </cfRule>
    <cfRule type="expression" priority="677">
      <formula>$A72&lt;&gt;""</formula>
    </cfRule>
    <cfRule type="expression" dxfId="0" priority="331">
      <formula>$A72&lt;&gt;""</formula>
    </cfRule>
  </conditionalFormatting>
  <conditionalFormatting sqref="A74">
    <cfRule type="expression" priority="1022">
      <formula>$A$2</formula>
    </cfRule>
    <cfRule type="expression" priority="676">
      <formula>$A75&lt;&gt;""</formula>
    </cfRule>
    <cfRule type="expression" dxfId="0" priority="330">
      <formula>$A75&lt;&gt;""</formula>
    </cfRule>
  </conditionalFormatting>
  <conditionalFormatting sqref="A77">
    <cfRule type="expression" priority="1021">
      <formula>$A$2</formula>
    </cfRule>
    <cfRule type="expression" priority="675">
      <formula>$A78&lt;&gt;""</formula>
    </cfRule>
    <cfRule type="expression" dxfId="0" priority="329">
      <formula>$A78&lt;&gt;""</formula>
    </cfRule>
  </conditionalFormatting>
  <conditionalFormatting sqref="A80">
    <cfRule type="expression" priority="1020">
      <formula>$A$2</formula>
    </cfRule>
    <cfRule type="expression" priority="674">
      <formula>$A81&lt;&gt;""</formula>
    </cfRule>
    <cfRule type="expression" dxfId="0" priority="328">
      <formula>$A81&lt;&gt;""</formula>
    </cfRule>
  </conditionalFormatting>
  <conditionalFormatting sqref="A83">
    <cfRule type="expression" priority="1019">
      <formula>$A$2</formula>
    </cfRule>
    <cfRule type="expression" priority="673">
      <formula>$A84&lt;&gt;""</formula>
    </cfRule>
    <cfRule type="expression" dxfId="0" priority="327">
      <formula>$A84&lt;&gt;""</formula>
    </cfRule>
  </conditionalFormatting>
  <conditionalFormatting sqref="A86">
    <cfRule type="expression" priority="1018">
      <formula>$A$2</formula>
    </cfRule>
    <cfRule type="expression" priority="672">
      <formula>$A87&lt;&gt;""</formula>
    </cfRule>
    <cfRule type="expression" dxfId="0" priority="326">
      <formula>$A87&lt;&gt;""</formula>
    </cfRule>
  </conditionalFormatting>
  <conditionalFormatting sqref="A89">
    <cfRule type="expression" priority="1017">
      <formula>$A$2</formula>
    </cfRule>
    <cfRule type="expression" priority="671">
      <formula>$A90&lt;&gt;""</formula>
    </cfRule>
    <cfRule type="expression" dxfId="0" priority="325">
      <formula>$A90&lt;&gt;""</formula>
    </cfRule>
  </conditionalFormatting>
  <conditionalFormatting sqref="A92">
    <cfRule type="expression" priority="1016">
      <formula>$A$2</formula>
    </cfRule>
    <cfRule type="expression" priority="670">
      <formula>$A93&lt;&gt;""</formula>
    </cfRule>
    <cfRule type="expression" dxfId="0" priority="324">
      <formula>$A93&lt;&gt;""</formula>
    </cfRule>
  </conditionalFormatting>
  <conditionalFormatting sqref="A95">
    <cfRule type="expression" priority="1015">
      <formula>$A$2</formula>
    </cfRule>
    <cfRule type="expression" priority="669">
      <formula>$A96&lt;&gt;""</formula>
    </cfRule>
    <cfRule type="expression" dxfId="0" priority="323">
      <formula>$A96&lt;&gt;""</formula>
    </cfRule>
  </conditionalFormatting>
  <conditionalFormatting sqref="A98">
    <cfRule type="expression" priority="1014">
      <formula>$A$2</formula>
    </cfRule>
    <cfRule type="expression" priority="668">
      <formula>$A99&lt;&gt;""</formula>
    </cfRule>
    <cfRule type="expression" dxfId="0" priority="322">
      <formula>$A99&lt;&gt;""</formula>
    </cfRule>
  </conditionalFormatting>
  <conditionalFormatting sqref="A101">
    <cfRule type="expression" priority="1013">
      <formula>$A$2</formula>
    </cfRule>
    <cfRule type="expression" priority="667">
      <formula>$A102&lt;&gt;""</formula>
    </cfRule>
    <cfRule type="expression" dxfId="0" priority="321">
      <formula>$A102&lt;&gt;""</formula>
    </cfRule>
  </conditionalFormatting>
  <conditionalFormatting sqref="A104">
    <cfRule type="expression" priority="1012">
      <formula>$A$2</formula>
    </cfRule>
    <cfRule type="expression" priority="666">
      <formula>$A105&lt;&gt;""</formula>
    </cfRule>
    <cfRule type="expression" dxfId="0" priority="320">
      <formula>$A105&lt;&gt;""</formula>
    </cfRule>
  </conditionalFormatting>
  <conditionalFormatting sqref="A107">
    <cfRule type="expression" priority="1011">
      <formula>$A$2</formula>
    </cfRule>
    <cfRule type="expression" priority="665">
      <formula>$A108&lt;&gt;""</formula>
    </cfRule>
    <cfRule type="expression" dxfId="0" priority="319">
      <formula>$A108&lt;&gt;""</formula>
    </cfRule>
  </conditionalFormatting>
  <conditionalFormatting sqref="A110">
    <cfRule type="expression" priority="1010">
      <formula>$A$2</formula>
    </cfRule>
    <cfRule type="expression" priority="664">
      <formula>$A111&lt;&gt;""</formula>
    </cfRule>
    <cfRule type="expression" dxfId="0" priority="318">
      <formula>$A111&lt;&gt;""</formula>
    </cfRule>
  </conditionalFormatting>
  <conditionalFormatting sqref="A113">
    <cfRule type="expression" priority="1009">
      <formula>$A$2</formula>
    </cfRule>
    <cfRule type="expression" priority="663">
      <formula>$A114&lt;&gt;""</formula>
    </cfRule>
    <cfRule type="expression" dxfId="0" priority="317">
      <formula>$A114&lt;&gt;""</formula>
    </cfRule>
  </conditionalFormatting>
  <conditionalFormatting sqref="A116">
    <cfRule type="expression" priority="1008">
      <formula>$A$2</formula>
    </cfRule>
    <cfRule type="expression" priority="662">
      <formula>$A117&lt;&gt;""</formula>
    </cfRule>
    <cfRule type="expression" dxfId="0" priority="316">
      <formula>$A117&lt;&gt;""</formula>
    </cfRule>
  </conditionalFormatting>
  <conditionalFormatting sqref="A119">
    <cfRule type="expression" priority="1007">
      <formula>$A$2</formula>
    </cfRule>
    <cfRule type="expression" priority="661">
      <formula>$A120&lt;&gt;""</formula>
    </cfRule>
    <cfRule type="expression" dxfId="0" priority="315">
      <formula>$A120&lt;&gt;""</formula>
    </cfRule>
  </conditionalFormatting>
  <conditionalFormatting sqref="A122">
    <cfRule type="expression" priority="1006">
      <formula>$A$2</formula>
    </cfRule>
    <cfRule type="expression" priority="660">
      <formula>$A123&lt;&gt;""</formula>
    </cfRule>
    <cfRule type="expression" dxfId="0" priority="314">
      <formula>$A123&lt;&gt;""</formula>
    </cfRule>
  </conditionalFormatting>
  <conditionalFormatting sqref="A125">
    <cfRule type="expression" priority="1005">
      <formula>$A$2</formula>
    </cfRule>
    <cfRule type="expression" priority="659">
      <formula>$A126&lt;&gt;""</formula>
    </cfRule>
    <cfRule type="expression" dxfId="0" priority="313">
      <formula>$A126&lt;&gt;""</formula>
    </cfRule>
  </conditionalFormatting>
  <conditionalFormatting sqref="A128">
    <cfRule type="expression" priority="1004">
      <formula>$A$2</formula>
    </cfRule>
    <cfRule type="expression" priority="658">
      <formula>$A129&lt;&gt;""</formula>
    </cfRule>
    <cfRule type="expression" dxfId="0" priority="312">
      <formula>$A129&lt;&gt;""</formula>
    </cfRule>
  </conditionalFormatting>
  <conditionalFormatting sqref="A131">
    <cfRule type="expression" priority="1003">
      <formula>$A$2</formula>
    </cfRule>
    <cfRule type="expression" priority="657">
      <formula>$A132&lt;&gt;""</formula>
    </cfRule>
    <cfRule type="expression" dxfId="0" priority="311">
      <formula>$A132&lt;&gt;""</formula>
    </cfRule>
  </conditionalFormatting>
  <conditionalFormatting sqref="A134">
    <cfRule type="expression" priority="1002">
      <formula>$A$2</formula>
    </cfRule>
    <cfRule type="expression" priority="656">
      <formula>$A135&lt;&gt;""</formula>
    </cfRule>
    <cfRule type="expression" dxfId="0" priority="310">
      <formula>$A135&lt;&gt;""</formula>
    </cfRule>
  </conditionalFormatting>
  <conditionalFormatting sqref="A137">
    <cfRule type="expression" priority="1001">
      <formula>$A$2</formula>
    </cfRule>
    <cfRule type="expression" priority="655">
      <formula>$A138&lt;&gt;""</formula>
    </cfRule>
    <cfRule type="expression" dxfId="0" priority="309">
      <formula>$A138&lt;&gt;""</formula>
    </cfRule>
  </conditionalFormatting>
  <conditionalFormatting sqref="A140">
    <cfRule type="expression" priority="1000">
      <formula>$A$2</formula>
    </cfRule>
    <cfRule type="expression" priority="654">
      <formula>$A141&lt;&gt;""</formula>
    </cfRule>
    <cfRule type="expression" dxfId="0" priority="308">
      <formula>$A141&lt;&gt;""</formula>
    </cfRule>
  </conditionalFormatting>
  <conditionalFormatting sqref="A143">
    <cfRule type="expression" priority="999">
      <formula>$A$2</formula>
    </cfRule>
    <cfRule type="expression" priority="653">
      <formula>$A144&lt;&gt;""</formula>
    </cfRule>
    <cfRule type="expression" dxfId="0" priority="307">
      <formula>$A144&lt;&gt;""</formula>
    </cfRule>
  </conditionalFormatting>
  <conditionalFormatting sqref="A146">
    <cfRule type="expression" priority="998">
      <formula>$A$2</formula>
    </cfRule>
    <cfRule type="expression" priority="652">
      <formula>$A147&lt;&gt;""</formula>
    </cfRule>
    <cfRule type="expression" dxfId="0" priority="306">
      <formula>$A147&lt;&gt;""</formula>
    </cfRule>
  </conditionalFormatting>
  <conditionalFormatting sqref="A149">
    <cfRule type="expression" priority="997">
      <formula>$A$2</formula>
    </cfRule>
    <cfRule type="expression" priority="651">
      <formula>$A150&lt;&gt;""</formula>
    </cfRule>
    <cfRule type="expression" dxfId="0" priority="305">
      <formula>$A150&lt;&gt;""</formula>
    </cfRule>
  </conditionalFormatting>
  <conditionalFormatting sqref="A152">
    <cfRule type="expression" priority="996">
      <formula>$A$2</formula>
    </cfRule>
    <cfRule type="expression" priority="650">
      <formula>$A153&lt;&gt;""</formula>
    </cfRule>
    <cfRule type="expression" dxfId="0" priority="304">
      <formula>$A153&lt;&gt;""</formula>
    </cfRule>
  </conditionalFormatting>
  <conditionalFormatting sqref="A155">
    <cfRule type="expression" priority="995">
      <formula>$A$2</formula>
    </cfRule>
    <cfRule type="expression" priority="649">
      <formula>$A156&lt;&gt;""</formula>
    </cfRule>
    <cfRule type="expression" dxfId="0" priority="303">
      <formula>$A156&lt;&gt;""</formula>
    </cfRule>
  </conditionalFormatting>
  <conditionalFormatting sqref="A158">
    <cfRule type="expression" priority="994">
      <formula>$A$2</formula>
    </cfRule>
    <cfRule type="expression" priority="648">
      <formula>$A159&lt;&gt;""</formula>
    </cfRule>
    <cfRule type="expression" dxfId="0" priority="302">
      <formula>$A159&lt;&gt;""</formula>
    </cfRule>
  </conditionalFormatting>
  <conditionalFormatting sqref="A161">
    <cfRule type="expression" priority="993">
      <formula>$A$2</formula>
    </cfRule>
    <cfRule type="expression" priority="647">
      <formula>$A162&lt;&gt;""</formula>
    </cfRule>
    <cfRule type="expression" dxfId="0" priority="301">
      <formula>$A162&lt;&gt;""</formula>
    </cfRule>
  </conditionalFormatting>
  <conditionalFormatting sqref="A164">
    <cfRule type="expression" priority="992">
      <formula>$A$2</formula>
    </cfRule>
    <cfRule type="expression" priority="646">
      <formula>$A165&lt;&gt;""</formula>
    </cfRule>
    <cfRule type="expression" dxfId="0" priority="300">
      <formula>$A165&lt;&gt;""</formula>
    </cfRule>
  </conditionalFormatting>
  <conditionalFormatting sqref="A167">
    <cfRule type="expression" priority="991">
      <formula>$A$2</formula>
    </cfRule>
    <cfRule type="expression" priority="645">
      <formula>$A168&lt;&gt;""</formula>
    </cfRule>
    <cfRule type="expression" dxfId="0" priority="299">
      <formula>$A168&lt;&gt;""</formula>
    </cfRule>
  </conditionalFormatting>
  <conditionalFormatting sqref="A170">
    <cfRule type="expression" priority="990">
      <formula>$A$2</formula>
    </cfRule>
    <cfRule type="expression" priority="644">
      <formula>$A171&lt;&gt;""</formula>
    </cfRule>
    <cfRule type="expression" dxfId="0" priority="298">
      <formula>$A171&lt;&gt;""</formula>
    </cfRule>
  </conditionalFormatting>
  <conditionalFormatting sqref="A173">
    <cfRule type="expression" priority="989">
      <formula>$A$2</formula>
    </cfRule>
    <cfRule type="expression" priority="643">
      <formula>$A174&lt;&gt;""</formula>
    </cfRule>
    <cfRule type="expression" dxfId="0" priority="297">
      <formula>$A174&lt;&gt;""</formula>
    </cfRule>
  </conditionalFormatting>
  <conditionalFormatting sqref="A176">
    <cfRule type="expression" priority="988">
      <formula>$A$2</formula>
    </cfRule>
    <cfRule type="expression" priority="642">
      <formula>$A177&lt;&gt;""</formula>
    </cfRule>
    <cfRule type="expression" dxfId="0" priority="296">
      <formula>$A177&lt;&gt;""</formula>
    </cfRule>
  </conditionalFormatting>
  <conditionalFormatting sqref="A179">
    <cfRule type="expression" priority="987">
      <formula>$A$2</formula>
    </cfRule>
    <cfRule type="expression" priority="641">
      <formula>$A180&lt;&gt;""</formula>
    </cfRule>
    <cfRule type="expression" dxfId="0" priority="295">
      <formula>$A180&lt;&gt;""</formula>
    </cfRule>
  </conditionalFormatting>
  <conditionalFormatting sqref="A182">
    <cfRule type="expression" priority="986">
      <formula>$A$2</formula>
    </cfRule>
    <cfRule type="expression" priority="640">
      <formula>$A183&lt;&gt;""</formula>
    </cfRule>
    <cfRule type="expression" dxfId="0" priority="294">
      <formula>$A183&lt;&gt;""</formula>
    </cfRule>
  </conditionalFormatting>
  <conditionalFormatting sqref="A185">
    <cfRule type="expression" priority="985">
      <formula>$A$2</formula>
    </cfRule>
    <cfRule type="expression" priority="639">
      <formula>$A186&lt;&gt;""</formula>
    </cfRule>
    <cfRule type="expression" dxfId="0" priority="293">
      <formula>$A186&lt;&gt;""</formula>
    </cfRule>
  </conditionalFormatting>
  <conditionalFormatting sqref="A188">
    <cfRule type="expression" priority="984">
      <formula>$A$2</formula>
    </cfRule>
    <cfRule type="expression" priority="638">
      <formula>$A189&lt;&gt;""</formula>
    </cfRule>
    <cfRule type="expression" dxfId="0" priority="292">
      <formula>$A189&lt;&gt;""</formula>
    </cfRule>
  </conditionalFormatting>
  <conditionalFormatting sqref="A191">
    <cfRule type="expression" priority="983">
      <formula>$A$2</formula>
    </cfRule>
    <cfRule type="expression" priority="637">
      <formula>$A192&lt;&gt;""</formula>
    </cfRule>
    <cfRule type="expression" dxfId="0" priority="291">
      <formula>$A192&lt;&gt;""</formula>
    </cfRule>
  </conditionalFormatting>
  <conditionalFormatting sqref="A194">
    <cfRule type="expression" priority="982">
      <formula>$A$2</formula>
    </cfRule>
    <cfRule type="expression" priority="636">
      <formula>$A195&lt;&gt;""</formula>
    </cfRule>
    <cfRule type="expression" dxfId="0" priority="290">
      <formula>$A195&lt;&gt;""</formula>
    </cfRule>
  </conditionalFormatting>
  <conditionalFormatting sqref="A197">
    <cfRule type="expression" priority="981">
      <formula>$A$2</formula>
    </cfRule>
    <cfRule type="expression" priority="635">
      <formula>$A198&lt;&gt;""</formula>
    </cfRule>
    <cfRule type="expression" dxfId="0" priority="289">
      <formula>$A198&lt;&gt;""</formula>
    </cfRule>
  </conditionalFormatting>
  <conditionalFormatting sqref="A200">
    <cfRule type="expression" priority="980">
      <formula>$A$2</formula>
    </cfRule>
    <cfRule type="expression" priority="634">
      <formula>$A201&lt;&gt;""</formula>
    </cfRule>
    <cfRule type="expression" dxfId="0" priority="288">
      <formula>$A201&lt;&gt;""</formula>
    </cfRule>
  </conditionalFormatting>
  <conditionalFormatting sqref="A203">
    <cfRule type="expression" priority="979">
      <formula>$A$2</formula>
    </cfRule>
    <cfRule type="expression" priority="633">
      <formula>$A204&lt;&gt;""</formula>
    </cfRule>
    <cfRule type="expression" dxfId="0" priority="287">
      <formula>$A204&lt;&gt;""</formula>
    </cfRule>
  </conditionalFormatting>
  <conditionalFormatting sqref="A206">
    <cfRule type="expression" priority="978">
      <formula>$A$2</formula>
    </cfRule>
    <cfRule type="expression" priority="632">
      <formula>$A207&lt;&gt;""</formula>
    </cfRule>
    <cfRule type="expression" dxfId="0" priority="286">
      <formula>$A207&lt;&gt;""</formula>
    </cfRule>
  </conditionalFormatting>
  <conditionalFormatting sqref="A209">
    <cfRule type="expression" priority="977">
      <formula>$A$2</formula>
    </cfRule>
    <cfRule type="expression" priority="631">
      <formula>$A210&lt;&gt;""</formula>
    </cfRule>
    <cfRule type="expression" dxfId="0" priority="285">
      <formula>$A210&lt;&gt;""</formula>
    </cfRule>
  </conditionalFormatting>
  <conditionalFormatting sqref="A212">
    <cfRule type="expression" priority="976">
      <formula>$A$2</formula>
    </cfRule>
    <cfRule type="expression" priority="630">
      <formula>$A213&lt;&gt;""</formula>
    </cfRule>
    <cfRule type="expression" dxfId="0" priority="284">
      <formula>$A213&lt;&gt;""</formula>
    </cfRule>
  </conditionalFormatting>
  <conditionalFormatting sqref="A215">
    <cfRule type="expression" priority="975">
      <formula>$A$2</formula>
    </cfRule>
    <cfRule type="expression" priority="629">
      <formula>$A216&lt;&gt;""</formula>
    </cfRule>
    <cfRule type="expression" dxfId="0" priority="283">
      <formula>$A216&lt;&gt;""</formula>
    </cfRule>
  </conditionalFormatting>
  <conditionalFormatting sqref="A218">
    <cfRule type="expression" priority="974">
      <formula>$A$2</formula>
    </cfRule>
    <cfRule type="expression" priority="628">
      <formula>$A219&lt;&gt;""</formula>
    </cfRule>
    <cfRule type="expression" dxfId="0" priority="282">
      <formula>$A219&lt;&gt;""</formula>
    </cfRule>
  </conditionalFormatting>
  <conditionalFormatting sqref="A221">
    <cfRule type="expression" priority="973">
      <formula>$A$2</formula>
    </cfRule>
    <cfRule type="expression" priority="627">
      <formula>$A222&lt;&gt;""</formula>
    </cfRule>
    <cfRule type="expression" dxfId="0" priority="281">
      <formula>$A222&lt;&gt;""</formula>
    </cfRule>
  </conditionalFormatting>
  <conditionalFormatting sqref="A224">
    <cfRule type="expression" priority="972">
      <formula>$A$2</formula>
    </cfRule>
    <cfRule type="expression" priority="626">
      <formula>$A225&lt;&gt;""</formula>
    </cfRule>
    <cfRule type="expression" dxfId="0" priority="280">
      <formula>$A225&lt;&gt;""</formula>
    </cfRule>
  </conditionalFormatting>
  <conditionalFormatting sqref="A227">
    <cfRule type="expression" priority="971">
      <formula>$A$2</formula>
    </cfRule>
    <cfRule type="expression" priority="625">
      <formula>$A228&lt;&gt;""</formula>
    </cfRule>
    <cfRule type="expression" dxfId="0" priority="279">
      <formula>$A228&lt;&gt;""</formula>
    </cfRule>
  </conditionalFormatting>
  <conditionalFormatting sqref="A230">
    <cfRule type="expression" priority="970">
      <formula>$A$2</formula>
    </cfRule>
    <cfRule type="expression" priority="624">
      <formula>$A231&lt;&gt;""</formula>
    </cfRule>
    <cfRule type="expression" dxfId="0" priority="278">
      <formula>$A231&lt;&gt;""</formula>
    </cfRule>
  </conditionalFormatting>
  <conditionalFormatting sqref="A233">
    <cfRule type="expression" priority="969">
      <formula>$A$2</formula>
    </cfRule>
    <cfRule type="expression" priority="623">
      <formula>$A234&lt;&gt;""</formula>
    </cfRule>
    <cfRule type="expression" dxfId="0" priority="277">
      <formula>$A234&lt;&gt;""</formula>
    </cfRule>
  </conditionalFormatting>
  <conditionalFormatting sqref="A236">
    <cfRule type="expression" priority="968">
      <formula>$A$2</formula>
    </cfRule>
    <cfRule type="expression" priority="622">
      <formula>$A237&lt;&gt;""</formula>
    </cfRule>
    <cfRule type="expression" dxfId="0" priority="276">
      <formula>$A237&lt;&gt;""</formula>
    </cfRule>
  </conditionalFormatting>
  <conditionalFormatting sqref="A239">
    <cfRule type="expression" priority="967">
      <formula>$A$2</formula>
    </cfRule>
    <cfRule type="expression" priority="621">
      <formula>$A240&lt;&gt;""</formula>
    </cfRule>
    <cfRule type="expression" dxfId="0" priority="275">
      <formula>$A240&lt;&gt;""</formula>
    </cfRule>
  </conditionalFormatting>
  <conditionalFormatting sqref="A242">
    <cfRule type="expression" priority="966">
      <formula>$A$2</formula>
    </cfRule>
    <cfRule type="expression" priority="620">
      <formula>$A243&lt;&gt;""</formula>
    </cfRule>
    <cfRule type="expression" dxfId="0" priority="274">
      <formula>$A243&lt;&gt;""</formula>
    </cfRule>
  </conditionalFormatting>
  <conditionalFormatting sqref="A245">
    <cfRule type="expression" priority="965">
      <formula>$A$2</formula>
    </cfRule>
    <cfRule type="expression" priority="619">
      <formula>$A246&lt;&gt;""</formula>
    </cfRule>
    <cfRule type="expression" dxfId="0" priority="273">
      <formula>$A246&lt;&gt;""</formula>
    </cfRule>
  </conditionalFormatting>
  <conditionalFormatting sqref="A248">
    <cfRule type="expression" priority="964">
      <formula>$A$2</formula>
    </cfRule>
    <cfRule type="expression" priority="618">
      <formula>$A249&lt;&gt;""</formula>
    </cfRule>
    <cfRule type="expression" dxfId="0" priority="272">
      <formula>$A249&lt;&gt;""</formula>
    </cfRule>
  </conditionalFormatting>
  <conditionalFormatting sqref="A251">
    <cfRule type="expression" priority="963">
      <formula>$A$2</formula>
    </cfRule>
    <cfRule type="expression" priority="617">
      <formula>$A252&lt;&gt;""</formula>
    </cfRule>
    <cfRule type="expression" dxfId="0" priority="271">
      <formula>$A252&lt;&gt;""</formula>
    </cfRule>
  </conditionalFormatting>
  <conditionalFormatting sqref="A254">
    <cfRule type="expression" priority="962">
      <formula>$A$2</formula>
    </cfRule>
    <cfRule type="expression" priority="616">
      <formula>$A255&lt;&gt;""</formula>
    </cfRule>
    <cfRule type="expression" dxfId="0" priority="270">
      <formula>$A255&lt;&gt;""</formula>
    </cfRule>
  </conditionalFormatting>
  <conditionalFormatting sqref="A257">
    <cfRule type="expression" priority="961">
      <formula>$A$2</formula>
    </cfRule>
    <cfRule type="expression" priority="615">
      <formula>$A258&lt;&gt;""</formula>
    </cfRule>
    <cfRule type="expression" dxfId="0" priority="269">
      <formula>$A258&lt;&gt;""</formula>
    </cfRule>
  </conditionalFormatting>
  <conditionalFormatting sqref="A260">
    <cfRule type="expression" priority="960">
      <formula>$A$2</formula>
    </cfRule>
    <cfRule type="expression" priority="614">
      <formula>$A261&lt;&gt;""</formula>
    </cfRule>
    <cfRule type="expression" dxfId="0" priority="268">
      <formula>$A261&lt;&gt;""</formula>
    </cfRule>
  </conditionalFormatting>
  <conditionalFormatting sqref="A263">
    <cfRule type="expression" priority="959">
      <formula>$A$2</formula>
    </cfRule>
    <cfRule type="expression" priority="613">
      <formula>$A264&lt;&gt;""</formula>
    </cfRule>
    <cfRule type="expression" dxfId="0" priority="267">
      <formula>$A264&lt;&gt;""</formula>
    </cfRule>
  </conditionalFormatting>
  <conditionalFormatting sqref="A266">
    <cfRule type="expression" priority="958">
      <formula>$A$2</formula>
    </cfRule>
    <cfRule type="expression" priority="612">
      <formula>$A267&lt;&gt;""</formula>
    </cfRule>
    <cfRule type="expression" dxfId="0" priority="266">
      <formula>$A267&lt;&gt;""</formula>
    </cfRule>
  </conditionalFormatting>
  <conditionalFormatting sqref="A269">
    <cfRule type="expression" priority="957">
      <formula>$A$2</formula>
    </cfRule>
    <cfRule type="expression" priority="611">
      <formula>$A270&lt;&gt;""</formula>
    </cfRule>
    <cfRule type="expression" dxfId="0" priority="265">
      <formula>$A270&lt;&gt;""</formula>
    </cfRule>
  </conditionalFormatting>
  <conditionalFormatting sqref="A272">
    <cfRule type="expression" priority="956">
      <formula>$A$2</formula>
    </cfRule>
    <cfRule type="expression" priority="610">
      <formula>$A273&lt;&gt;""</formula>
    </cfRule>
    <cfRule type="expression" dxfId="0" priority="264">
      <formula>$A273&lt;&gt;""</formula>
    </cfRule>
  </conditionalFormatting>
  <conditionalFormatting sqref="A275">
    <cfRule type="expression" priority="955">
      <formula>$A$2</formula>
    </cfRule>
    <cfRule type="expression" priority="609">
      <formula>$A276&lt;&gt;""</formula>
    </cfRule>
    <cfRule type="expression" dxfId="0" priority="263">
      <formula>$A276&lt;&gt;""</formula>
    </cfRule>
  </conditionalFormatting>
  <conditionalFormatting sqref="A278">
    <cfRule type="expression" priority="954">
      <formula>$A$2</formula>
    </cfRule>
    <cfRule type="expression" priority="608">
      <formula>$A279&lt;&gt;""</formula>
    </cfRule>
    <cfRule type="expression" dxfId="0" priority="262">
      <formula>$A279&lt;&gt;""</formula>
    </cfRule>
  </conditionalFormatting>
  <conditionalFormatting sqref="A281">
    <cfRule type="expression" priority="953">
      <formula>$A$2</formula>
    </cfRule>
    <cfRule type="expression" priority="607">
      <formula>$A282&lt;&gt;""</formula>
    </cfRule>
    <cfRule type="expression" dxfId="0" priority="261">
      <formula>$A282&lt;&gt;""</formula>
    </cfRule>
  </conditionalFormatting>
  <conditionalFormatting sqref="A284">
    <cfRule type="expression" priority="952">
      <formula>$A$2</formula>
    </cfRule>
    <cfRule type="expression" priority="606">
      <formula>$A285&lt;&gt;""</formula>
    </cfRule>
    <cfRule type="expression" dxfId="0" priority="260">
      <formula>$A285&lt;&gt;""</formula>
    </cfRule>
  </conditionalFormatting>
  <conditionalFormatting sqref="A287">
    <cfRule type="expression" priority="951">
      <formula>$A$2</formula>
    </cfRule>
    <cfRule type="expression" priority="605">
      <formula>$A288&lt;&gt;""</formula>
    </cfRule>
    <cfRule type="expression" dxfId="0" priority="259">
      <formula>$A288&lt;&gt;""</formula>
    </cfRule>
  </conditionalFormatting>
  <conditionalFormatting sqref="A290">
    <cfRule type="expression" priority="950">
      <formula>$A$2</formula>
    </cfRule>
    <cfRule type="expression" priority="604">
      <formula>$A291&lt;&gt;""</formula>
    </cfRule>
    <cfRule type="expression" dxfId="0" priority="258">
      <formula>$A291&lt;&gt;""</formula>
    </cfRule>
  </conditionalFormatting>
  <conditionalFormatting sqref="A293">
    <cfRule type="expression" priority="949">
      <formula>$A$2</formula>
    </cfRule>
    <cfRule type="expression" priority="603">
      <formula>$A294&lt;&gt;""</formula>
    </cfRule>
    <cfRule type="expression" dxfId="0" priority="257">
      <formula>$A294&lt;&gt;""</formula>
    </cfRule>
  </conditionalFormatting>
  <conditionalFormatting sqref="A296">
    <cfRule type="expression" priority="948">
      <formula>$A$2</formula>
    </cfRule>
    <cfRule type="expression" priority="602">
      <formula>$A297&lt;&gt;""</formula>
    </cfRule>
    <cfRule type="expression" dxfId="0" priority="256">
      <formula>$A297&lt;&gt;""</formula>
    </cfRule>
  </conditionalFormatting>
  <conditionalFormatting sqref="A299">
    <cfRule type="expression" priority="947">
      <formula>$A$2</formula>
    </cfRule>
    <cfRule type="expression" priority="601">
      <formula>$A300&lt;&gt;""</formula>
    </cfRule>
    <cfRule type="expression" dxfId="0" priority="255">
      <formula>$A300&lt;&gt;""</formula>
    </cfRule>
  </conditionalFormatting>
  <conditionalFormatting sqref="A302">
    <cfRule type="expression" priority="946">
      <formula>$A$2</formula>
    </cfRule>
    <cfRule type="expression" priority="600">
      <formula>$A303&lt;&gt;""</formula>
    </cfRule>
    <cfRule type="expression" dxfId="0" priority="254">
      <formula>$A303&lt;&gt;""</formula>
    </cfRule>
  </conditionalFormatting>
  <conditionalFormatting sqref="A305">
    <cfRule type="expression" priority="945">
      <formula>$A$2</formula>
    </cfRule>
    <cfRule type="expression" priority="599">
      <formula>$A306&lt;&gt;""</formula>
    </cfRule>
    <cfRule type="expression" dxfId="0" priority="253">
      <formula>$A306&lt;&gt;""</formula>
    </cfRule>
  </conditionalFormatting>
  <conditionalFormatting sqref="A308">
    <cfRule type="expression" priority="944">
      <formula>$A$2</formula>
    </cfRule>
    <cfRule type="expression" priority="598">
      <formula>$A309&lt;&gt;""</formula>
    </cfRule>
    <cfRule type="expression" dxfId="0" priority="252">
      <formula>$A309&lt;&gt;""</formula>
    </cfRule>
  </conditionalFormatting>
  <conditionalFormatting sqref="A311">
    <cfRule type="expression" priority="943">
      <formula>$A$2</formula>
    </cfRule>
    <cfRule type="expression" priority="597">
      <formula>$A312&lt;&gt;""</formula>
    </cfRule>
    <cfRule type="expression" dxfId="0" priority="251">
      <formula>$A312&lt;&gt;""</formula>
    </cfRule>
  </conditionalFormatting>
  <conditionalFormatting sqref="A314">
    <cfRule type="expression" priority="942">
      <formula>$A$2</formula>
    </cfRule>
    <cfRule type="expression" priority="596">
      <formula>$A315&lt;&gt;""</formula>
    </cfRule>
    <cfRule type="expression" dxfId="0" priority="250">
      <formula>$A315&lt;&gt;""</formula>
    </cfRule>
  </conditionalFormatting>
  <conditionalFormatting sqref="A317">
    <cfRule type="expression" priority="941">
      <formula>$A$2</formula>
    </cfRule>
    <cfRule type="expression" priority="595">
      <formula>$A318&lt;&gt;""</formula>
    </cfRule>
    <cfRule type="expression" dxfId="0" priority="249">
      <formula>$A318&lt;&gt;""</formula>
    </cfRule>
  </conditionalFormatting>
  <conditionalFormatting sqref="A320">
    <cfRule type="expression" priority="940">
      <formula>$A$2</formula>
    </cfRule>
    <cfRule type="expression" priority="594">
      <formula>$A321&lt;&gt;""</formula>
    </cfRule>
    <cfRule type="expression" dxfId="0" priority="248">
      <formula>$A321&lt;&gt;""</formula>
    </cfRule>
  </conditionalFormatting>
  <conditionalFormatting sqref="A323">
    <cfRule type="expression" priority="939">
      <formula>$A$2</formula>
    </cfRule>
    <cfRule type="expression" priority="593">
      <formula>$A324&lt;&gt;""</formula>
    </cfRule>
    <cfRule type="expression" dxfId="0" priority="247">
      <formula>$A324&lt;&gt;""</formula>
    </cfRule>
  </conditionalFormatting>
  <conditionalFormatting sqref="A326">
    <cfRule type="expression" priority="938">
      <formula>$A$2</formula>
    </cfRule>
    <cfRule type="expression" priority="592">
      <formula>$A327&lt;&gt;""</formula>
    </cfRule>
    <cfRule type="expression" dxfId="0" priority="246">
      <formula>$A327&lt;&gt;""</formula>
    </cfRule>
  </conditionalFormatting>
  <conditionalFormatting sqref="A329">
    <cfRule type="expression" priority="937">
      <formula>$A$2</formula>
    </cfRule>
    <cfRule type="expression" priority="591">
      <formula>$A330&lt;&gt;""</formula>
    </cfRule>
    <cfRule type="expression" dxfId="0" priority="245">
      <formula>$A330&lt;&gt;""</formula>
    </cfRule>
  </conditionalFormatting>
  <conditionalFormatting sqref="A332">
    <cfRule type="expression" priority="936">
      <formula>$A$2</formula>
    </cfRule>
    <cfRule type="expression" priority="590">
      <formula>$A333&lt;&gt;""</formula>
    </cfRule>
    <cfRule type="expression" dxfId="0" priority="244">
      <formula>$A333&lt;&gt;""</formula>
    </cfRule>
  </conditionalFormatting>
  <conditionalFormatting sqref="A335">
    <cfRule type="expression" priority="935">
      <formula>$A$2</formula>
    </cfRule>
    <cfRule type="expression" priority="589">
      <formula>$A336&lt;&gt;""</formula>
    </cfRule>
    <cfRule type="expression" dxfId="0" priority="243">
      <formula>$A336&lt;&gt;""</formula>
    </cfRule>
  </conditionalFormatting>
  <conditionalFormatting sqref="A338">
    <cfRule type="expression" priority="934">
      <formula>$A$2</formula>
    </cfRule>
    <cfRule type="expression" priority="588">
      <formula>$A339&lt;&gt;""</formula>
    </cfRule>
    <cfRule type="expression" dxfId="0" priority="242">
      <formula>$A339&lt;&gt;""</formula>
    </cfRule>
  </conditionalFormatting>
  <conditionalFormatting sqref="A341">
    <cfRule type="expression" priority="933">
      <formula>$A$2</formula>
    </cfRule>
    <cfRule type="expression" priority="587">
      <formula>$A342&lt;&gt;""</formula>
    </cfRule>
    <cfRule type="expression" dxfId="0" priority="241">
      <formula>$A342&lt;&gt;""</formula>
    </cfRule>
  </conditionalFormatting>
  <conditionalFormatting sqref="A344">
    <cfRule type="expression" priority="932">
      <formula>$A$2</formula>
    </cfRule>
    <cfRule type="expression" priority="586">
      <formula>$A345&lt;&gt;""</formula>
    </cfRule>
    <cfRule type="expression" dxfId="0" priority="240">
      <formula>$A345&lt;&gt;""</formula>
    </cfRule>
  </conditionalFormatting>
  <conditionalFormatting sqref="A347">
    <cfRule type="expression" priority="931">
      <formula>$A$2</formula>
    </cfRule>
    <cfRule type="expression" priority="585">
      <formula>$A348&lt;&gt;""</formula>
    </cfRule>
    <cfRule type="expression" dxfId="0" priority="239">
      <formula>$A348&lt;&gt;""</formula>
    </cfRule>
  </conditionalFormatting>
  <conditionalFormatting sqref="A350">
    <cfRule type="expression" priority="930">
      <formula>$A$2</formula>
    </cfRule>
    <cfRule type="expression" priority="584">
      <formula>$A351&lt;&gt;""</formula>
    </cfRule>
    <cfRule type="expression" dxfId="0" priority="238">
      <formula>$A351&lt;&gt;""</formula>
    </cfRule>
  </conditionalFormatting>
  <conditionalFormatting sqref="A353">
    <cfRule type="expression" priority="929">
      <formula>$A$2</formula>
    </cfRule>
    <cfRule type="expression" priority="583">
      <formula>$A354&lt;&gt;""</formula>
    </cfRule>
    <cfRule type="expression" dxfId="0" priority="237">
      <formula>$A354&lt;&gt;""</formula>
    </cfRule>
  </conditionalFormatting>
  <conditionalFormatting sqref="A356">
    <cfRule type="expression" priority="928">
      <formula>$A$2</formula>
    </cfRule>
    <cfRule type="expression" priority="582">
      <formula>$A357&lt;&gt;""</formula>
    </cfRule>
    <cfRule type="expression" dxfId="0" priority="236">
      <formula>$A357&lt;&gt;""</formula>
    </cfRule>
  </conditionalFormatting>
  <conditionalFormatting sqref="A359">
    <cfRule type="expression" priority="927">
      <formula>$A$2</formula>
    </cfRule>
    <cfRule type="expression" priority="581">
      <formula>$A360&lt;&gt;""</formula>
    </cfRule>
    <cfRule type="expression" dxfId="0" priority="235">
      <formula>$A360&lt;&gt;""</formula>
    </cfRule>
  </conditionalFormatting>
  <conditionalFormatting sqref="A362">
    <cfRule type="expression" priority="926">
      <formula>$A$2</formula>
    </cfRule>
    <cfRule type="expression" priority="580">
      <formula>$A363&lt;&gt;""</formula>
    </cfRule>
    <cfRule type="expression" dxfId="0" priority="234">
      <formula>$A363&lt;&gt;""</formula>
    </cfRule>
  </conditionalFormatting>
  <conditionalFormatting sqref="A365">
    <cfRule type="expression" priority="925">
      <formula>$A$2</formula>
    </cfRule>
    <cfRule type="expression" priority="579">
      <formula>$A366&lt;&gt;""</formula>
    </cfRule>
    <cfRule type="expression" dxfId="0" priority="233">
      <formula>$A366&lt;&gt;""</formula>
    </cfRule>
  </conditionalFormatting>
  <conditionalFormatting sqref="A368">
    <cfRule type="expression" priority="924">
      <formula>$A$2</formula>
    </cfRule>
    <cfRule type="expression" priority="578">
      <formula>$A369&lt;&gt;""</formula>
    </cfRule>
    <cfRule type="expression" dxfId="0" priority="232">
      <formula>$A369&lt;&gt;""</formula>
    </cfRule>
  </conditionalFormatting>
  <conditionalFormatting sqref="A371">
    <cfRule type="expression" priority="923">
      <formula>$A$2</formula>
    </cfRule>
    <cfRule type="expression" priority="577">
      <formula>$A372&lt;&gt;""</formula>
    </cfRule>
    <cfRule type="expression" dxfId="0" priority="231">
      <formula>$A372&lt;&gt;""</formula>
    </cfRule>
  </conditionalFormatting>
  <conditionalFormatting sqref="A374">
    <cfRule type="expression" priority="922">
      <formula>$A$2</formula>
    </cfRule>
    <cfRule type="expression" priority="576">
      <formula>$A375&lt;&gt;""</formula>
    </cfRule>
    <cfRule type="expression" dxfId="0" priority="230">
      <formula>$A375&lt;&gt;""</formula>
    </cfRule>
  </conditionalFormatting>
  <conditionalFormatting sqref="A377">
    <cfRule type="expression" priority="921">
      <formula>$A$2</formula>
    </cfRule>
    <cfRule type="expression" priority="575">
      <formula>$A378&lt;&gt;""</formula>
    </cfRule>
    <cfRule type="expression" dxfId="0" priority="229">
      <formula>$A378&lt;&gt;""</formula>
    </cfRule>
  </conditionalFormatting>
  <conditionalFormatting sqref="A380">
    <cfRule type="expression" priority="920">
      <formula>$A$2</formula>
    </cfRule>
    <cfRule type="expression" priority="574">
      <formula>$A381&lt;&gt;""</formula>
    </cfRule>
    <cfRule type="expression" dxfId="0" priority="228">
      <formula>$A381&lt;&gt;""</formula>
    </cfRule>
  </conditionalFormatting>
  <conditionalFormatting sqref="A383">
    <cfRule type="expression" priority="919">
      <formula>$A$2</formula>
    </cfRule>
    <cfRule type="expression" priority="573">
      <formula>$A384&lt;&gt;""</formula>
    </cfRule>
    <cfRule type="expression" dxfId="0" priority="227">
      <formula>$A384&lt;&gt;""</formula>
    </cfRule>
  </conditionalFormatting>
  <conditionalFormatting sqref="A386">
    <cfRule type="expression" priority="918">
      <formula>$A$2</formula>
    </cfRule>
    <cfRule type="expression" priority="572">
      <formula>$A387&lt;&gt;""</formula>
    </cfRule>
    <cfRule type="expression" dxfId="0" priority="226">
      <formula>$A387&lt;&gt;""</formula>
    </cfRule>
  </conditionalFormatting>
  <conditionalFormatting sqref="A389">
    <cfRule type="expression" priority="917">
      <formula>$A$2</formula>
    </cfRule>
    <cfRule type="expression" priority="571">
      <formula>$A390&lt;&gt;""</formula>
    </cfRule>
    <cfRule type="expression" dxfId="0" priority="225">
      <formula>$A390&lt;&gt;""</formula>
    </cfRule>
  </conditionalFormatting>
  <conditionalFormatting sqref="A392">
    <cfRule type="expression" priority="916">
      <formula>$A$2</formula>
    </cfRule>
    <cfRule type="expression" priority="570">
      <formula>$A393&lt;&gt;""</formula>
    </cfRule>
    <cfRule type="expression" dxfId="0" priority="224">
      <formula>$A393&lt;&gt;""</formula>
    </cfRule>
  </conditionalFormatting>
  <conditionalFormatting sqref="A395">
    <cfRule type="expression" priority="915">
      <formula>$A$2</formula>
    </cfRule>
    <cfRule type="expression" priority="569">
      <formula>$A396&lt;&gt;""</formula>
    </cfRule>
    <cfRule type="expression" dxfId="0" priority="223">
      <formula>$A396&lt;&gt;""</formula>
    </cfRule>
  </conditionalFormatting>
  <conditionalFormatting sqref="A398">
    <cfRule type="expression" priority="914">
      <formula>$A$2</formula>
    </cfRule>
    <cfRule type="expression" priority="568">
      <formula>$A399&lt;&gt;""</formula>
    </cfRule>
    <cfRule type="expression" dxfId="0" priority="222">
      <formula>$A399&lt;&gt;""</formula>
    </cfRule>
  </conditionalFormatting>
  <conditionalFormatting sqref="A401">
    <cfRule type="expression" priority="913">
      <formula>$A$2</formula>
    </cfRule>
    <cfRule type="expression" priority="567">
      <formula>$A402&lt;&gt;""</formula>
    </cfRule>
    <cfRule type="expression" dxfId="0" priority="221">
      <formula>$A402&lt;&gt;""</formula>
    </cfRule>
  </conditionalFormatting>
  <conditionalFormatting sqref="A404">
    <cfRule type="expression" priority="912">
      <formula>$A$2</formula>
    </cfRule>
    <cfRule type="expression" priority="566">
      <formula>$A405&lt;&gt;""</formula>
    </cfRule>
    <cfRule type="expression" dxfId="0" priority="220">
      <formula>$A405&lt;&gt;""</formula>
    </cfRule>
  </conditionalFormatting>
  <conditionalFormatting sqref="A407">
    <cfRule type="expression" priority="911">
      <formula>$A$2</formula>
    </cfRule>
    <cfRule type="expression" priority="565">
      <formula>$A408&lt;&gt;""</formula>
    </cfRule>
    <cfRule type="expression" dxfId="0" priority="219">
      <formula>$A408&lt;&gt;""</formula>
    </cfRule>
  </conditionalFormatting>
  <conditionalFormatting sqref="A410">
    <cfRule type="expression" priority="910">
      <formula>$A$2</formula>
    </cfRule>
    <cfRule type="expression" priority="564">
      <formula>$A411&lt;&gt;""</formula>
    </cfRule>
    <cfRule type="expression" dxfId="0" priority="218">
      <formula>$A411&lt;&gt;""</formula>
    </cfRule>
  </conditionalFormatting>
  <conditionalFormatting sqref="A413">
    <cfRule type="expression" priority="909">
      <formula>$A$2</formula>
    </cfRule>
    <cfRule type="expression" priority="563">
      <formula>$A414&lt;&gt;""</formula>
    </cfRule>
    <cfRule type="expression" dxfId="0" priority="217">
      <formula>$A414&lt;&gt;""</formula>
    </cfRule>
  </conditionalFormatting>
  <conditionalFormatting sqref="A416">
    <cfRule type="expression" priority="908">
      <formula>$A$2</formula>
    </cfRule>
    <cfRule type="expression" priority="562">
      <formula>$A417&lt;&gt;""</formula>
    </cfRule>
    <cfRule type="expression" dxfId="0" priority="216">
      <formula>$A417&lt;&gt;""</formula>
    </cfRule>
  </conditionalFormatting>
  <conditionalFormatting sqref="A419">
    <cfRule type="expression" priority="907">
      <formula>$A$2</formula>
    </cfRule>
    <cfRule type="expression" priority="561">
      <formula>$A420&lt;&gt;""</formula>
    </cfRule>
    <cfRule type="expression" dxfId="0" priority="215">
      <formula>$A420&lt;&gt;""</formula>
    </cfRule>
  </conditionalFormatting>
  <conditionalFormatting sqref="A422">
    <cfRule type="expression" priority="906">
      <formula>$A$2</formula>
    </cfRule>
    <cfRule type="expression" priority="560">
      <formula>$A423&lt;&gt;""</formula>
    </cfRule>
    <cfRule type="expression" dxfId="0" priority="214">
      <formula>$A423&lt;&gt;""</formula>
    </cfRule>
  </conditionalFormatting>
  <conditionalFormatting sqref="A425">
    <cfRule type="expression" priority="905">
      <formula>$A$2</formula>
    </cfRule>
    <cfRule type="expression" priority="559">
      <formula>$A426&lt;&gt;""</formula>
    </cfRule>
    <cfRule type="expression" dxfId="0" priority="213">
      <formula>$A426&lt;&gt;""</formula>
    </cfRule>
  </conditionalFormatting>
  <conditionalFormatting sqref="A428">
    <cfRule type="expression" priority="904">
      <formula>$A$2</formula>
    </cfRule>
    <cfRule type="expression" priority="558">
      <formula>$A429&lt;&gt;""</formula>
    </cfRule>
    <cfRule type="expression" dxfId="0" priority="212">
      <formula>$A429&lt;&gt;""</formula>
    </cfRule>
  </conditionalFormatting>
  <conditionalFormatting sqref="A431">
    <cfRule type="expression" priority="903">
      <formula>$A$2</formula>
    </cfRule>
    <cfRule type="expression" priority="557">
      <formula>$A432&lt;&gt;""</formula>
    </cfRule>
    <cfRule type="expression" dxfId="0" priority="211">
      <formula>$A432&lt;&gt;""</formula>
    </cfRule>
  </conditionalFormatting>
  <conditionalFormatting sqref="A434">
    <cfRule type="expression" priority="902">
      <formula>$A$2</formula>
    </cfRule>
    <cfRule type="expression" priority="556">
      <formula>$A435&lt;&gt;""</formula>
    </cfRule>
    <cfRule type="expression" dxfId="0" priority="210">
      <formula>$A435&lt;&gt;""</formula>
    </cfRule>
  </conditionalFormatting>
  <conditionalFormatting sqref="A437">
    <cfRule type="expression" priority="901">
      <formula>$A$2</formula>
    </cfRule>
    <cfRule type="expression" priority="555">
      <formula>$A438&lt;&gt;""</formula>
    </cfRule>
    <cfRule type="expression" dxfId="0" priority="209">
      <formula>$A438&lt;&gt;""</formula>
    </cfRule>
  </conditionalFormatting>
  <conditionalFormatting sqref="A440">
    <cfRule type="expression" priority="900">
      <formula>$A$2</formula>
    </cfRule>
    <cfRule type="expression" priority="554">
      <formula>$A441&lt;&gt;""</formula>
    </cfRule>
    <cfRule type="expression" dxfId="0" priority="208">
      <formula>$A441&lt;&gt;""</formula>
    </cfRule>
  </conditionalFormatting>
  <conditionalFormatting sqref="A443">
    <cfRule type="expression" priority="899">
      <formula>$A$2</formula>
    </cfRule>
    <cfRule type="expression" priority="553">
      <formula>$A444&lt;&gt;""</formula>
    </cfRule>
    <cfRule type="expression" dxfId="0" priority="207">
      <formula>$A444&lt;&gt;""</formula>
    </cfRule>
  </conditionalFormatting>
  <conditionalFormatting sqref="A446">
    <cfRule type="expression" priority="898">
      <formula>$A$2</formula>
    </cfRule>
    <cfRule type="expression" priority="552">
      <formula>$A447&lt;&gt;""</formula>
    </cfRule>
    <cfRule type="expression" dxfId="0" priority="206">
      <formula>$A447&lt;&gt;""</formula>
    </cfRule>
  </conditionalFormatting>
  <conditionalFormatting sqref="A449">
    <cfRule type="expression" priority="897">
      <formula>$A$2</formula>
    </cfRule>
    <cfRule type="expression" priority="551">
      <formula>$A450&lt;&gt;""</formula>
    </cfRule>
    <cfRule type="expression" dxfId="0" priority="205">
      <formula>$A450&lt;&gt;""</formula>
    </cfRule>
  </conditionalFormatting>
  <conditionalFormatting sqref="A452">
    <cfRule type="expression" priority="896">
      <formula>$A$2</formula>
    </cfRule>
    <cfRule type="expression" priority="550">
      <formula>$A453&lt;&gt;""</formula>
    </cfRule>
    <cfRule type="expression" dxfId="0" priority="204">
      <formula>$A453&lt;&gt;""</formula>
    </cfRule>
  </conditionalFormatting>
  <conditionalFormatting sqref="A455">
    <cfRule type="expression" priority="895">
      <formula>$A$2</formula>
    </cfRule>
    <cfRule type="expression" priority="549">
      <formula>$A456&lt;&gt;""</formula>
    </cfRule>
    <cfRule type="expression" dxfId="0" priority="203">
      <formula>$A456&lt;&gt;""</formula>
    </cfRule>
  </conditionalFormatting>
  <conditionalFormatting sqref="A458">
    <cfRule type="expression" priority="894">
      <formula>$A$2</formula>
    </cfRule>
    <cfRule type="expression" priority="548">
      <formula>$A459&lt;&gt;""</formula>
    </cfRule>
    <cfRule type="expression" dxfId="0" priority="202">
      <formula>$A459&lt;&gt;""</formula>
    </cfRule>
  </conditionalFormatting>
  <conditionalFormatting sqref="A461">
    <cfRule type="expression" priority="893">
      <formula>$A$2</formula>
    </cfRule>
    <cfRule type="expression" priority="547">
      <formula>$A462&lt;&gt;""</formula>
    </cfRule>
    <cfRule type="expression" dxfId="0" priority="201">
      <formula>$A462&lt;&gt;""</formula>
    </cfRule>
  </conditionalFormatting>
  <conditionalFormatting sqref="A464">
    <cfRule type="expression" priority="892">
      <formula>$A$2</formula>
    </cfRule>
    <cfRule type="expression" priority="546">
      <formula>$A465&lt;&gt;""</formula>
    </cfRule>
    <cfRule type="expression" dxfId="0" priority="200">
      <formula>$A465&lt;&gt;""</formula>
    </cfRule>
  </conditionalFormatting>
  <conditionalFormatting sqref="A467">
    <cfRule type="expression" priority="891">
      <formula>$A$2</formula>
    </cfRule>
    <cfRule type="expression" priority="545">
      <formula>$A468&lt;&gt;""</formula>
    </cfRule>
    <cfRule type="expression" dxfId="0" priority="199">
      <formula>$A468&lt;&gt;""</formula>
    </cfRule>
  </conditionalFormatting>
  <conditionalFormatting sqref="A470">
    <cfRule type="expression" priority="890">
      <formula>$A$2</formula>
    </cfRule>
    <cfRule type="expression" priority="544">
      <formula>$A471&lt;&gt;""</formula>
    </cfRule>
    <cfRule type="expression" dxfId="0" priority="198">
      <formula>$A471&lt;&gt;""</formula>
    </cfRule>
  </conditionalFormatting>
  <conditionalFormatting sqref="A473">
    <cfRule type="expression" priority="889">
      <formula>$A$2</formula>
    </cfRule>
    <cfRule type="expression" priority="543">
      <formula>$A474&lt;&gt;""</formula>
    </cfRule>
    <cfRule type="expression" dxfId="0" priority="197">
      <formula>$A474&lt;&gt;""</formula>
    </cfRule>
  </conditionalFormatting>
  <conditionalFormatting sqref="A476">
    <cfRule type="expression" priority="888">
      <formula>$A$2</formula>
    </cfRule>
    <cfRule type="expression" priority="542">
      <formula>$A477&lt;&gt;""</formula>
    </cfRule>
    <cfRule type="expression" dxfId="0" priority="196">
      <formula>$A477&lt;&gt;""</formula>
    </cfRule>
  </conditionalFormatting>
  <conditionalFormatting sqref="A479">
    <cfRule type="expression" priority="887">
      <formula>$A$2</formula>
    </cfRule>
    <cfRule type="expression" priority="541">
      <formula>$A480&lt;&gt;""</formula>
    </cfRule>
    <cfRule type="expression" dxfId="0" priority="195">
      <formula>$A480&lt;&gt;""</formula>
    </cfRule>
  </conditionalFormatting>
  <conditionalFormatting sqref="A482">
    <cfRule type="expression" priority="886">
      <formula>$A$2</formula>
    </cfRule>
    <cfRule type="expression" priority="540">
      <formula>$A483&lt;&gt;""</formula>
    </cfRule>
    <cfRule type="expression" dxfId="0" priority="194">
      <formula>$A483&lt;&gt;""</formula>
    </cfRule>
  </conditionalFormatting>
  <conditionalFormatting sqref="A485">
    <cfRule type="expression" priority="885">
      <formula>$A$2</formula>
    </cfRule>
    <cfRule type="expression" priority="539">
      <formula>$A486&lt;&gt;""</formula>
    </cfRule>
    <cfRule type="expression" dxfId="0" priority="193">
      <formula>$A486&lt;&gt;""</formula>
    </cfRule>
  </conditionalFormatting>
  <conditionalFormatting sqref="A488">
    <cfRule type="expression" priority="884">
      <formula>$A$2</formula>
    </cfRule>
    <cfRule type="expression" priority="538">
      <formula>$A489&lt;&gt;""</formula>
    </cfRule>
    <cfRule type="expression" dxfId="0" priority="192">
      <formula>$A489&lt;&gt;""</formula>
    </cfRule>
  </conditionalFormatting>
  <conditionalFormatting sqref="A491">
    <cfRule type="expression" priority="883">
      <formula>$A$2</formula>
    </cfRule>
    <cfRule type="expression" priority="537">
      <formula>$A492&lt;&gt;""</formula>
    </cfRule>
    <cfRule type="expression" dxfId="0" priority="191">
      <formula>$A492&lt;&gt;""</formula>
    </cfRule>
  </conditionalFormatting>
  <conditionalFormatting sqref="A494">
    <cfRule type="expression" priority="882">
      <formula>$A$2</formula>
    </cfRule>
    <cfRule type="expression" priority="536">
      <formula>$A495&lt;&gt;""</formula>
    </cfRule>
    <cfRule type="expression" dxfId="0" priority="190">
      <formula>$A495&lt;&gt;""</formula>
    </cfRule>
  </conditionalFormatting>
  <conditionalFormatting sqref="A497">
    <cfRule type="expression" priority="881">
      <formula>$A$2</formula>
    </cfRule>
    <cfRule type="expression" priority="535">
      <formula>$A498&lt;&gt;""</formula>
    </cfRule>
    <cfRule type="expression" dxfId="0" priority="189">
      <formula>$A498&lt;&gt;""</formula>
    </cfRule>
  </conditionalFormatting>
  <conditionalFormatting sqref="A500">
    <cfRule type="expression" priority="880">
      <formula>$A$2</formula>
    </cfRule>
    <cfRule type="expression" priority="534">
      <formula>$A501&lt;&gt;""</formula>
    </cfRule>
    <cfRule type="expression" dxfId="0" priority="188">
      <formula>$A501&lt;&gt;""</formula>
    </cfRule>
  </conditionalFormatting>
  <conditionalFormatting sqref="A503">
    <cfRule type="expression" priority="879">
      <formula>$A$2</formula>
    </cfRule>
    <cfRule type="expression" priority="533">
      <formula>$A504&lt;&gt;""</formula>
    </cfRule>
    <cfRule type="expression" dxfId="0" priority="187">
      <formula>$A504&lt;&gt;""</formula>
    </cfRule>
  </conditionalFormatting>
  <conditionalFormatting sqref="A506">
    <cfRule type="expression" priority="878">
      <formula>$A$2</formula>
    </cfRule>
    <cfRule type="expression" priority="532">
      <formula>$A507&lt;&gt;""</formula>
    </cfRule>
    <cfRule type="expression" dxfId="0" priority="186">
      <formula>$A507&lt;&gt;""</formula>
    </cfRule>
  </conditionalFormatting>
  <conditionalFormatting sqref="A509">
    <cfRule type="expression" priority="877">
      <formula>$A$2</formula>
    </cfRule>
    <cfRule type="expression" priority="531">
      <formula>$A510&lt;&gt;""</formula>
    </cfRule>
    <cfRule type="expression" dxfId="0" priority="185">
      <formula>$A510&lt;&gt;""</formula>
    </cfRule>
  </conditionalFormatting>
  <conditionalFormatting sqref="A512">
    <cfRule type="expression" priority="876">
      <formula>$A$2</formula>
    </cfRule>
    <cfRule type="expression" priority="530">
      <formula>$A513&lt;&gt;""</formula>
    </cfRule>
    <cfRule type="expression" dxfId="0" priority="184">
      <formula>$A513&lt;&gt;""</formula>
    </cfRule>
  </conditionalFormatting>
  <conditionalFormatting sqref="A515">
    <cfRule type="expression" priority="875">
      <formula>$A$2</formula>
    </cfRule>
    <cfRule type="expression" priority="529">
      <formula>$A516&lt;&gt;""</formula>
    </cfRule>
    <cfRule type="expression" dxfId="0" priority="183">
      <formula>$A516&lt;&gt;""</formula>
    </cfRule>
  </conditionalFormatting>
  <conditionalFormatting sqref="A518">
    <cfRule type="expression" priority="874">
      <formula>$A$2</formula>
    </cfRule>
    <cfRule type="expression" priority="528">
      <formula>$A519&lt;&gt;""</formula>
    </cfRule>
    <cfRule type="expression" dxfId="0" priority="182">
      <formula>$A519&lt;&gt;""</formula>
    </cfRule>
  </conditionalFormatting>
  <conditionalFormatting sqref="A521">
    <cfRule type="expression" priority="873">
      <formula>$A$2</formula>
    </cfRule>
    <cfRule type="expression" priority="527">
      <formula>$A522&lt;&gt;""</formula>
    </cfRule>
    <cfRule type="expression" dxfId="0" priority="181">
      <formula>$A522&lt;&gt;""</formula>
    </cfRule>
  </conditionalFormatting>
  <conditionalFormatting sqref="A524">
    <cfRule type="expression" priority="872">
      <formula>$A$2</formula>
    </cfRule>
    <cfRule type="expression" priority="526">
      <formula>$A525&lt;&gt;""</formula>
    </cfRule>
    <cfRule type="expression" dxfId="0" priority="180">
      <formula>$A525&lt;&gt;""</formula>
    </cfRule>
  </conditionalFormatting>
  <conditionalFormatting sqref="A527">
    <cfRule type="expression" priority="871">
      <formula>$A$2</formula>
    </cfRule>
    <cfRule type="expression" priority="525">
      <formula>$A528&lt;&gt;""</formula>
    </cfRule>
    <cfRule type="expression" dxfId="0" priority="179">
      <formula>$A528&lt;&gt;""</formula>
    </cfRule>
  </conditionalFormatting>
  <conditionalFormatting sqref="A530">
    <cfRule type="expression" priority="870">
      <formula>$A$2</formula>
    </cfRule>
    <cfRule type="expression" priority="524">
      <formula>$A531&lt;&gt;""</formula>
    </cfRule>
    <cfRule type="expression" dxfId="0" priority="178">
      <formula>$A531&lt;&gt;""</formula>
    </cfRule>
  </conditionalFormatting>
  <conditionalFormatting sqref="A533">
    <cfRule type="expression" priority="869">
      <formula>$A$2</formula>
    </cfRule>
    <cfRule type="expression" priority="523">
      <formula>$A534&lt;&gt;""</formula>
    </cfRule>
    <cfRule type="expression" dxfId="0" priority="177">
      <formula>$A534&lt;&gt;""</formula>
    </cfRule>
  </conditionalFormatting>
  <conditionalFormatting sqref="A536">
    <cfRule type="expression" priority="868">
      <formula>$A$2</formula>
    </cfRule>
    <cfRule type="expression" priority="522">
      <formula>$A537&lt;&gt;""</formula>
    </cfRule>
    <cfRule type="expression" dxfId="0" priority="176">
      <formula>$A537&lt;&gt;""</formula>
    </cfRule>
  </conditionalFormatting>
  <conditionalFormatting sqref="A539">
    <cfRule type="expression" priority="867">
      <formula>$A$2</formula>
    </cfRule>
    <cfRule type="expression" priority="521">
      <formula>$A540&lt;&gt;""</formula>
    </cfRule>
    <cfRule type="expression" dxfId="0" priority="175">
      <formula>$A540&lt;&gt;""</formula>
    </cfRule>
  </conditionalFormatting>
  <conditionalFormatting sqref="A542">
    <cfRule type="expression" priority="866">
      <formula>$A$2</formula>
    </cfRule>
    <cfRule type="expression" priority="520">
      <formula>$A543&lt;&gt;""</formula>
    </cfRule>
    <cfRule type="expression" dxfId="0" priority="174">
      <formula>$A543&lt;&gt;""</formula>
    </cfRule>
  </conditionalFormatting>
  <conditionalFormatting sqref="A545">
    <cfRule type="expression" priority="865">
      <formula>$A$2</formula>
    </cfRule>
    <cfRule type="expression" priority="519">
      <formula>$A546&lt;&gt;""</formula>
    </cfRule>
    <cfRule type="expression" dxfId="0" priority="173">
      <formula>$A546&lt;&gt;""</formula>
    </cfRule>
  </conditionalFormatting>
  <conditionalFormatting sqref="A548">
    <cfRule type="expression" priority="864">
      <formula>$A$2</formula>
    </cfRule>
    <cfRule type="expression" priority="518">
      <formula>$A549&lt;&gt;""</formula>
    </cfRule>
    <cfRule type="expression" dxfId="0" priority="172">
      <formula>$A549&lt;&gt;""</formula>
    </cfRule>
  </conditionalFormatting>
  <conditionalFormatting sqref="A551">
    <cfRule type="expression" priority="863">
      <formula>$A$2</formula>
    </cfRule>
    <cfRule type="expression" priority="517">
      <formula>$A552&lt;&gt;""</formula>
    </cfRule>
    <cfRule type="expression" dxfId="0" priority="171">
      <formula>$A552&lt;&gt;""</formula>
    </cfRule>
  </conditionalFormatting>
  <conditionalFormatting sqref="A554">
    <cfRule type="expression" priority="862">
      <formula>$A$2</formula>
    </cfRule>
    <cfRule type="expression" priority="516">
      <formula>$A555&lt;&gt;""</formula>
    </cfRule>
    <cfRule type="expression" dxfId="0" priority="170">
      <formula>$A555&lt;&gt;""</formula>
    </cfRule>
  </conditionalFormatting>
  <conditionalFormatting sqref="A557">
    <cfRule type="expression" priority="861">
      <formula>$A$2</formula>
    </cfRule>
    <cfRule type="expression" priority="515">
      <formula>$A558&lt;&gt;""</formula>
    </cfRule>
    <cfRule type="expression" dxfId="0" priority="169">
      <formula>$A558&lt;&gt;""</formula>
    </cfRule>
  </conditionalFormatting>
  <conditionalFormatting sqref="A560">
    <cfRule type="expression" priority="860">
      <formula>$A$2</formula>
    </cfRule>
    <cfRule type="expression" priority="514">
      <formula>$A561&lt;&gt;""</formula>
    </cfRule>
    <cfRule type="expression" dxfId="0" priority="168">
      <formula>$A561&lt;&gt;""</formula>
    </cfRule>
  </conditionalFormatting>
  <conditionalFormatting sqref="A563">
    <cfRule type="expression" priority="859">
      <formula>$A$2</formula>
    </cfRule>
    <cfRule type="expression" priority="513">
      <formula>$A564&lt;&gt;""</formula>
    </cfRule>
    <cfRule type="expression" dxfId="0" priority="167">
      <formula>$A564&lt;&gt;""</formula>
    </cfRule>
  </conditionalFormatting>
  <conditionalFormatting sqref="A566">
    <cfRule type="expression" priority="858">
      <formula>$A$2</formula>
    </cfRule>
    <cfRule type="expression" priority="512">
      <formula>$A567&lt;&gt;""</formula>
    </cfRule>
    <cfRule type="expression" dxfId="0" priority="166">
      <formula>$A567&lt;&gt;""</formula>
    </cfRule>
  </conditionalFormatting>
  <conditionalFormatting sqref="A569">
    <cfRule type="expression" priority="857">
      <formula>$A$2</formula>
    </cfRule>
    <cfRule type="expression" priority="511">
      <formula>$A570&lt;&gt;""</formula>
    </cfRule>
    <cfRule type="expression" dxfId="0" priority="165">
      <formula>$A570&lt;&gt;""</formula>
    </cfRule>
  </conditionalFormatting>
  <conditionalFormatting sqref="A572">
    <cfRule type="expression" priority="856">
      <formula>$A$2</formula>
    </cfRule>
    <cfRule type="expression" priority="510">
      <formula>$A573&lt;&gt;""</formula>
    </cfRule>
    <cfRule type="expression" dxfId="0" priority="164">
      <formula>$A573&lt;&gt;""</formula>
    </cfRule>
  </conditionalFormatting>
  <conditionalFormatting sqref="A575">
    <cfRule type="expression" priority="855">
      <formula>$A$2</formula>
    </cfRule>
    <cfRule type="expression" priority="509">
      <formula>$A576&lt;&gt;""</formula>
    </cfRule>
    <cfRule type="expression" dxfId="0" priority="163">
      <formula>$A576&lt;&gt;""</formula>
    </cfRule>
  </conditionalFormatting>
  <conditionalFormatting sqref="A578">
    <cfRule type="expression" priority="854">
      <formula>$A$2</formula>
    </cfRule>
    <cfRule type="expression" priority="508">
      <formula>$A579&lt;&gt;""</formula>
    </cfRule>
    <cfRule type="expression" dxfId="0" priority="162">
      <formula>$A579&lt;&gt;""</formula>
    </cfRule>
  </conditionalFormatting>
  <conditionalFormatting sqref="A581">
    <cfRule type="expression" priority="853">
      <formula>$A$2</formula>
    </cfRule>
    <cfRule type="expression" priority="507">
      <formula>$A582&lt;&gt;""</formula>
    </cfRule>
    <cfRule type="expression" dxfId="0" priority="161">
      <formula>$A582&lt;&gt;""</formula>
    </cfRule>
  </conditionalFormatting>
  <conditionalFormatting sqref="A584">
    <cfRule type="expression" priority="852">
      <formula>$A$2</formula>
    </cfRule>
    <cfRule type="expression" priority="506">
      <formula>$A585&lt;&gt;""</formula>
    </cfRule>
    <cfRule type="expression" dxfId="0" priority="160">
      <formula>$A585&lt;&gt;""</formula>
    </cfRule>
  </conditionalFormatting>
  <conditionalFormatting sqref="A587">
    <cfRule type="expression" priority="851">
      <formula>$A$2</formula>
    </cfRule>
    <cfRule type="expression" priority="505">
      <formula>$A588&lt;&gt;""</formula>
    </cfRule>
    <cfRule type="expression" dxfId="0" priority="159">
      <formula>$A588&lt;&gt;""</formula>
    </cfRule>
  </conditionalFormatting>
  <conditionalFormatting sqref="A590">
    <cfRule type="expression" priority="850">
      <formula>$A$2</formula>
    </cfRule>
    <cfRule type="expression" priority="504">
      <formula>$A591&lt;&gt;""</formula>
    </cfRule>
    <cfRule type="expression" dxfId="0" priority="158">
      <formula>$A591&lt;&gt;""</formula>
    </cfRule>
  </conditionalFormatting>
  <conditionalFormatting sqref="A593">
    <cfRule type="expression" priority="849">
      <formula>$A$2</formula>
    </cfRule>
    <cfRule type="expression" priority="503">
      <formula>$A594&lt;&gt;""</formula>
    </cfRule>
    <cfRule type="expression" dxfId="0" priority="157">
      <formula>$A594&lt;&gt;""</formula>
    </cfRule>
  </conditionalFormatting>
  <conditionalFormatting sqref="A596">
    <cfRule type="expression" priority="848">
      <formula>$A$2</formula>
    </cfRule>
    <cfRule type="expression" priority="502">
      <formula>$A597&lt;&gt;""</formula>
    </cfRule>
    <cfRule type="expression" dxfId="0" priority="156">
      <formula>$A597&lt;&gt;""</formula>
    </cfRule>
  </conditionalFormatting>
  <conditionalFormatting sqref="A599">
    <cfRule type="expression" priority="847">
      <formula>$A$2</formula>
    </cfRule>
    <cfRule type="expression" priority="501">
      <formula>$A600&lt;&gt;""</formula>
    </cfRule>
    <cfRule type="expression" dxfId="0" priority="155">
      <formula>$A600&lt;&gt;""</formula>
    </cfRule>
  </conditionalFormatting>
  <conditionalFormatting sqref="A602">
    <cfRule type="expression" priority="846">
      <formula>$A$2</formula>
    </cfRule>
    <cfRule type="expression" priority="500">
      <formula>$A603&lt;&gt;""</formula>
    </cfRule>
    <cfRule type="expression" dxfId="0" priority="154">
      <formula>$A603&lt;&gt;""</formula>
    </cfRule>
  </conditionalFormatting>
  <conditionalFormatting sqref="A605">
    <cfRule type="expression" priority="845">
      <formula>$A$2</formula>
    </cfRule>
    <cfRule type="expression" priority="499">
      <formula>$A606&lt;&gt;""</formula>
    </cfRule>
    <cfRule type="expression" dxfId="0" priority="153">
      <formula>$A606&lt;&gt;""</formula>
    </cfRule>
  </conditionalFormatting>
  <conditionalFormatting sqref="A608">
    <cfRule type="expression" priority="844">
      <formula>$A$2</formula>
    </cfRule>
    <cfRule type="expression" priority="498">
      <formula>$A609&lt;&gt;""</formula>
    </cfRule>
    <cfRule type="expression" dxfId="0" priority="152">
      <formula>$A609&lt;&gt;""</formula>
    </cfRule>
  </conditionalFormatting>
  <conditionalFormatting sqref="A611">
    <cfRule type="expression" priority="843">
      <formula>$A$2</formula>
    </cfRule>
    <cfRule type="expression" priority="497">
      <formula>$A612&lt;&gt;""</formula>
    </cfRule>
    <cfRule type="expression" dxfId="0" priority="151">
      <formula>$A612&lt;&gt;""</formula>
    </cfRule>
  </conditionalFormatting>
  <conditionalFormatting sqref="A614">
    <cfRule type="expression" priority="842">
      <formula>$A$2</formula>
    </cfRule>
    <cfRule type="expression" priority="496">
      <formula>$A615&lt;&gt;""</formula>
    </cfRule>
    <cfRule type="expression" dxfId="0" priority="150">
      <formula>$A615&lt;&gt;""</formula>
    </cfRule>
  </conditionalFormatting>
  <conditionalFormatting sqref="A617">
    <cfRule type="expression" priority="841">
      <formula>$A$2</formula>
    </cfRule>
    <cfRule type="expression" priority="495">
      <formula>$A618&lt;&gt;""</formula>
    </cfRule>
    <cfRule type="expression" dxfId="0" priority="149">
      <formula>$A618&lt;&gt;""</formula>
    </cfRule>
  </conditionalFormatting>
  <conditionalFormatting sqref="A620">
    <cfRule type="expression" priority="840">
      <formula>$A$2</formula>
    </cfRule>
    <cfRule type="expression" priority="494">
      <formula>$A621&lt;&gt;""</formula>
    </cfRule>
    <cfRule type="expression" dxfId="0" priority="148">
      <formula>$A621&lt;&gt;""</formula>
    </cfRule>
  </conditionalFormatting>
  <conditionalFormatting sqref="A623">
    <cfRule type="expression" priority="839">
      <formula>$A$2</formula>
    </cfRule>
    <cfRule type="expression" priority="493">
      <formula>$A624&lt;&gt;""</formula>
    </cfRule>
    <cfRule type="expression" dxfId="0" priority="147">
      <formula>$A624&lt;&gt;""</formula>
    </cfRule>
  </conditionalFormatting>
  <conditionalFormatting sqref="A626">
    <cfRule type="expression" priority="838">
      <formula>$A$2</formula>
    </cfRule>
    <cfRule type="expression" priority="492">
      <formula>$A627&lt;&gt;""</formula>
    </cfRule>
    <cfRule type="expression" dxfId="0" priority="146">
      <formula>$A627&lt;&gt;""</formula>
    </cfRule>
  </conditionalFormatting>
  <conditionalFormatting sqref="A629">
    <cfRule type="expression" priority="837">
      <formula>$A$2</formula>
    </cfRule>
    <cfRule type="expression" priority="491">
      <formula>$A630&lt;&gt;""</formula>
    </cfRule>
    <cfRule type="expression" dxfId="0" priority="145">
      <formula>$A630&lt;&gt;""</formula>
    </cfRule>
  </conditionalFormatting>
  <conditionalFormatting sqref="A632">
    <cfRule type="expression" priority="836">
      <formula>$A$2</formula>
    </cfRule>
    <cfRule type="expression" priority="490">
      <formula>$A633&lt;&gt;""</formula>
    </cfRule>
    <cfRule type="expression" dxfId="0" priority="144">
      <formula>$A633&lt;&gt;""</formula>
    </cfRule>
  </conditionalFormatting>
  <conditionalFormatting sqref="A635">
    <cfRule type="expression" priority="835">
      <formula>$A$2</formula>
    </cfRule>
    <cfRule type="expression" priority="489">
      <formula>$A636&lt;&gt;""</formula>
    </cfRule>
    <cfRule type="expression" dxfId="0" priority="143">
      <formula>$A636&lt;&gt;""</formula>
    </cfRule>
  </conditionalFormatting>
  <conditionalFormatting sqref="A638">
    <cfRule type="expression" priority="834">
      <formula>$A$2</formula>
    </cfRule>
    <cfRule type="expression" priority="488">
      <formula>$A639&lt;&gt;""</formula>
    </cfRule>
    <cfRule type="expression" dxfId="0" priority="142">
      <formula>$A639&lt;&gt;""</formula>
    </cfRule>
  </conditionalFormatting>
  <conditionalFormatting sqref="A641">
    <cfRule type="expression" priority="833">
      <formula>$A$2</formula>
    </cfRule>
    <cfRule type="expression" priority="487">
      <formula>$A642&lt;&gt;""</formula>
    </cfRule>
    <cfRule type="expression" dxfId="0" priority="141">
      <formula>$A642&lt;&gt;""</formula>
    </cfRule>
  </conditionalFormatting>
  <conditionalFormatting sqref="A644">
    <cfRule type="expression" priority="832">
      <formula>$A$2</formula>
    </cfRule>
    <cfRule type="expression" priority="486">
      <formula>$A645&lt;&gt;""</formula>
    </cfRule>
    <cfRule type="expression" dxfId="0" priority="140">
      <formula>$A645&lt;&gt;""</formula>
    </cfRule>
  </conditionalFormatting>
  <conditionalFormatting sqref="A647">
    <cfRule type="expression" priority="831">
      <formula>$A$2</formula>
    </cfRule>
    <cfRule type="expression" priority="485">
      <formula>$A648&lt;&gt;""</formula>
    </cfRule>
    <cfRule type="expression" dxfId="0" priority="139">
      <formula>$A648&lt;&gt;""</formula>
    </cfRule>
  </conditionalFormatting>
  <conditionalFormatting sqref="A650">
    <cfRule type="expression" priority="830">
      <formula>$A$2</formula>
    </cfRule>
    <cfRule type="expression" priority="484">
      <formula>$A651&lt;&gt;""</formula>
    </cfRule>
    <cfRule type="expression" dxfId="0" priority="138">
      <formula>$A651&lt;&gt;""</formula>
    </cfRule>
  </conditionalFormatting>
  <conditionalFormatting sqref="A653">
    <cfRule type="expression" priority="829">
      <formula>$A$2</formula>
    </cfRule>
    <cfRule type="expression" priority="483">
      <formula>$A654&lt;&gt;""</formula>
    </cfRule>
    <cfRule type="expression" dxfId="0" priority="137">
      <formula>$A654&lt;&gt;""</formula>
    </cfRule>
  </conditionalFormatting>
  <conditionalFormatting sqref="A656">
    <cfRule type="expression" priority="828">
      <formula>$A$2</formula>
    </cfRule>
    <cfRule type="expression" priority="482">
      <formula>$A657&lt;&gt;""</formula>
    </cfRule>
    <cfRule type="expression" dxfId="0" priority="136">
      <formula>$A657&lt;&gt;""</formula>
    </cfRule>
  </conditionalFormatting>
  <conditionalFormatting sqref="A659">
    <cfRule type="expression" priority="827">
      <formula>$A$2</formula>
    </cfRule>
    <cfRule type="expression" priority="481">
      <formula>$A660&lt;&gt;""</formula>
    </cfRule>
    <cfRule type="expression" dxfId="0" priority="135">
      <formula>$A660&lt;&gt;""</formula>
    </cfRule>
  </conditionalFormatting>
  <conditionalFormatting sqref="A662">
    <cfRule type="expression" priority="826">
      <formula>$A$2</formula>
    </cfRule>
    <cfRule type="expression" priority="480">
      <formula>$A663&lt;&gt;""</formula>
    </cfRule>
    <cfRule type="expression" dxfId="0" priority="134">
      <formula>$A663&lt;&gt;""</formula>
    </cfRule>
  </conditionalFormatting>
  <conditionalFormatting sqref="A665">
    <cfRule type="expression" priority="825">
      <formula>$A$2</formula>
    </cfRule>
    <cfRule type="expression" priority="479">
      <formula>$A666&lt;&gt;""</formula>
    </cfRule>
    <cfRule type="expression" dxfId="0" priority="133">
      <formula>$A666&lt;&gt;""</formula>
    </cfRule>
  </conditionalFormatting>
  <conditionalFormatting sqref="A668">
    <cfRule type="expression" priority="824">
      <formula>$A$2</formula>
    </cfRule>
    <cfRule type="expression" priority="478">
      <formula>$A669&lt;&gt;""</formula>
    </cfRule>
    <cfRule type="expression" dxfId="0" priority="132">
      <formula>$A669&lt;&gt;""</formula>
    </cfRule>
  </conditionalFormatting>
  <conditionalFormatting sqref="A671">
    <cfRule type="expression" priority="823">
      <formula>$A$2</formula>
    </cfRule>
    <cfRule type="expression" priority="477">
      <formula>$A672&lt;&gt;""</formula>
    </cfRule>
    <cfRule type="expression" dxfId="0" priority="131">
      <formula>$A672&lt;&gt;""</formula>
    </cfRule>
  </conditionalFormatting>
  <conditionalFormatting sqref="A674">
    <cfRule type="expression" priority="822">
      <formula>$A$2</formula>
    </cfRule>
    <cfRule type="expression" priority="476">
      <formula>$A675&lt;&gt;""</formula>
    </cfRule>
    <cfRule type="expression" dxfId="0" priority="130">
      <formula>$A675&lt;&gt;""</formula>
    </cfRule>
  </conditionalFormatting>
  <conditionalFormatting sqref="A677">
    <cfRule type="expression" priority="821">
      <formula>$A$2</formula>
    </cfRule>
    <cfRule type="expression" priority="475">
      <formula>$A678&lt;&gt;""</formula>
    </cfRule>
    <cfRule type="expression" dxfId="0" priority="129">
      <formula>$A678&lt;&gt;""</formula>
    </cfRule>
  </conditionalFormatting>
  <conditionalFormatting sqref="A680">
    <cfRule type="expression" priority="820">
      <formula>$A$2</formula>
    </cfRule>
    <cfRule type="expression" priority="474">
      <formula>$A681&lt;&gt;""</formula>
    </cfRule>
    <cfRule type="expression" dxfId="0" priority="128">
      <formula>$A681&lt;&gt;""</formula>
    </cfRule>
  </conditionalFormatting>
  <conditionalFormatting sqref="A683">
    <cfRule type="expression" priority="819">
      <formula>$A$2</formula>
    </cfRule>
    <cfRule type="expression" priority="473">
      <formula>$A684&lt;&gt;""</formula>
    </cfRule>
    <cfRule type="expression" dxfId="0" priority="127">
      <formula>$A684&lt;&gt;""</formula>
    </cfRule>
  </conditionalFormatting>
  <conditionalFormatting sqref="A686">
    <cfRule type="expression" priority="818">
      <formula>$A$2</formula>
    </cfRule>
    <cfRule type="expression" priority="472">
      <formula>$A687&lt;&gt;""</formula>
    </cfRule>
    <cfRule type="expression" dxfId="0" priority="126">
      <formula>$A687&lt;&gt;""</formula>
    </cfRule>
  </conditionalFormatting>
  <conditionalFormatting sqref="A689">
    <cfRule type="expression" priority="817">
      <formula>$A$2</formula>
    </cfRule>
    <cfRule type="expression" priority="471">
      <formula>$A690&lt;&gt;""</formula>
    </cfRule>
    <cfRule type="expression" dxfId="0" priority="125">
      <formula>$A690&lt;&gt;""</formula>
    </cfRule>
  </conditionalFormatting>
  <conditionalFormatting sqref="A692">
    <cfRule type="expression" priority="816">
      <formula>$A$2</formula>
    </cfRule>
    <cfRule type="expression" priority="470">
      <formula>$A693&lt;&gt;""</formula>
    </cfRule>
    <cfRule type="expression" dxfId="0" priority="124">
      <formula>$A693&lt;&gt;""</formula>
    </cfRule>
  </conditionalFormatting>
  <conditionalFormatting sqref="A695">
    <cfRule type="expression" priority="815">
      <formula>$A$2</formula>
    </cfRule>
    <cfRule type="expression" priority="469">
      <formula>$A696&lt;&gt;""</formula>
    </cfRule>
    <cfRule type="expression" dxfId="0" priority="123">
      <formula>$A696&lt;&gt;""</formula>
    </cfRule>
  </conditionalFormatting>
  <conditionalFormatting sqref="A698">
    <cfRule type="expression" priority="814">
      <formula>$A$2</formula>
    </cfRule>
    <cfRule type="expression" priority="468">
      <formula>$A699&lt;&gt;""</formula>
    </cfRule>
    <cfRule type="expression" dxfId="0" priority="122">
      <formula>$A699&lt;&gt;""</formula>
    </cfRule>
  </conditionalFormatting>
  <conditionalFormatting sqref="A701">
    <cfRule type="expression" priority="813">
      <formula>$A$2</formula>
    </cfRule>
    <cfRule type="expression" priority="467">
      <formula>$A702&lt;&gt;""</formula>
    </cfRule>
    <cfRule type="expression" dxfId="0" priority="121">
      <formula>$A702&lt;&gt;""</formula>
    </cfRule>
  </conditionalFormatting>
  <conditionalFormatting sqref="A704">
    <cfRule type="expression" priority="812">
      <formula>$A$2</formula>
    </cfRule>
    <cfRule type="expression" priority="466">
      <formula>$A705&lt;&gt;""</formula>
    </cfRule>
    <cfRule type="expression" dxfId="0" priority="120">
      <formula>$A705&lt;&gt;""</formula>
    </cfRule>
  </conditionalFormatting>
  <conditionalFormatting sqref="A707">
    <cfRule type="expression" priority="811">
      <formula>$A$2</formula>
    </cfRule>
    <cfRule type="expression" priority="465">
      <formula>$A708&lt;&gt;""</formula>
    </cfRule>
    <cfRule type="expression" dxfId="0" priority="119">
      <formula>$A708&lt;&gt;""</formula>
    </cfRule>
  </conditionalFormatting>
  <conditionalFormatting sqref="A710">
    <cfRule type="expression" priority="810">
      <formula>$A$2</formula>
    </cfRule>
    <cfRule type="expression" priority="464">
      <formula>$A711&lt;&gt;""</formula>
    </cfRule>
    <cfRule type="expression" dxfId="0" priority="118">
      <formula>$A711&lt;&gt;""</formula>
    </cfRule>
  </conditionalFormatting>
  <conditionalFormatting sqref="A713">
    <cfRule type="expression" priority="809">
      <formula>$A$2</formula>
    </cfRule>
    <cfRule type="expression" priority="463">
      <formula>$A714&lt;&gt;""</formula>
    </cfRule>
    <cfRule type="expression" dxfId="0" priority="117">
      <formula>$A714&lt;&gt;""</formula>
    </cfRule>
  </conditionalFormatting>
  <conditionalFormatting sqref="A716">
    <cfRule type="expression" priority="808">
      <formula>$A$2</formula>
    </cfRule>
    <cfRule type="expression" priority="462">
      <formula>$A717&lt;&gt;""</formula>
    </cfRule>
    <cfRule type="expression" dxfId="0" priority="116">
      <formula>$A717&lt;&gt;""</formula>
    </cfRule>
  </conditionalFormatting>
  <conditionalFormatting sqref="A719">
    <cfRule type="expression" priority="807">
      <formula>$A$2</formula>
    </cfRule>
    <cfRule type="expression" priority="461">
      <formula>$A720&lt;&gt;""</formula>
    </cfRule>
    <cfRule type="expression" dxfId="0" priority="115">
      <formula>$A720&lt;&gt;""</formula>
    </cfRule>
  </conditionalFormatting>
  <conditionalFormatting sqref="A722">
    <cfRule type="expression" priority="806">
      <formula>$A$2</formula>
    </cfRule>
    <cfRule type="expression" priority="460">
      <formula>$A723&lt;&gt;""</formula>
    </cfRule>
    <cfRule type="expression" dxfId="0" priority="114">
      <formula>$A723&lt;&gt;""</formula>
    </cfRule>
  </conditionalFormatting>
  <conditionalFormatting sqref="A725">
    <cfRule type="expression" priority="805">
      <formula>$A$2</formula>
    </cfRule>
    <cfRule type="expression" priority="459">
      <formula>$A726&lt;&gt;""</formula>
    </cfRule>
    <cfRule type="expression" dxfId="0" priority="113">
      <formula>$A726&lt;&gt;""</formula>
    </cfRule>
  </conditionalFormatting>
  <conditionalFormatting sqref="A728">
    <cfRule type="expression" priority="804">
      <formula>$A$2</formula>
    </cfRule>
    <cfRule type="expression" priority="458">
      <formula>$A729&lt;&gt;""</formula>
    </cfRule>
    <cfRule type="expression" dxfId="0" priority="112">
      <formula>$A729&lt;&gt;""</formula>
    </cfRule>
  </conditionalFormatting>
  <conditionalFormatting sqref="A731">
    <cfRule type="expression" priority="803">
      <formula>$A$2</formula>
    </cfRule>
    <cfRule type="expression" priority="457">
      <formula>$A732&lt;&gt;""</formula>
    </cfRule>
    <cfRule type="expression" dxfId="0" priority="111">
      <formula>$A732&lt;&gt;""</formula>
    </cfRule>
  </conditionalFormatting>
  <conditionalFormatting sqref="A734">
    <cfRule type="expression" priority="802">
      <formula>$A$2</formula>
    </cfRule>
    <cfRule type="expression" priority="456">
      <formula>$A735&lt;&gt;""</formula>
    </cfRule>
    <cfRule type="expression" dxfId="0" priority="110">
      <formula>$A735&lt;&gt;""</formula>
    </cfRule>
  </conditionalFormatting>
  <conditionalFormatting sqref="A737">
    <cfRule type="expression" priority="801">
      <formula>$A$2</formula>
    </cfRule>
    <cfRule type="expression" priority="455">
      <formula>$A738&lt;&gt;""</formula>
    </cfRule>
    <cfRule type="expression" dxfId="0" priority="109">
      <formula>$A738&lt;&gt;""</formula>
    </cfRule>
  </conditionalFormatting>
  <conditionalFormatting sqref="A740">
    <cfRule type="expression" priority="800">
      <formula>$A$2</formula>
    </cfRule>
    <cfRule type="expression" priority="454">
      <formula>$A741&lt;&gt;""</formula>
    </cfRule>
    <cfRule type="expression" dxfId="0" priority="108">
      <formula>$A741&lt;&gt;""</formula>
    </cfRule>
  </conditionalFormatting>
  <conditionalFormatting sqref="A743">
    <cfRule type="expression" priority="799">
      <formula>$A$2</formula>
    </cfRule>
    <cfRule type="expression" priority="453">
      <formula>$A744&lt;&gt;""</formula>
    </cfRule>
    <cfRule type="expression" dxfId="0" priority="107">
      <formula>$A744&lt;&gt;""</formula>
    </cfRule>
  </conditionalFormatting>
  <conditionalFormatting sqref="A746">
    <cfRule type="expression" priority="798">
      <formula>$A$2</formula>
    </cfRule>
    <cfRule type="expression" priority="452">
      <formula>$A747&lt;&gt;""</formula>
    </cfRule>
    <cfRule type="expression" dxfId="0" priority="106">
      <formula>$A747&lt;&gt;""</formula>
    </cfRule>
  </conditionalFormatting>
  <conditionalFormatting sqref="A749">
    <cfRule type="expression" priority="797">
      <formula>$A$2</formula>
    </cfRule>
    <cfRule type="expression" priority="451">
      <formula>$A750&lt;&gt;""</formula>
    </cfRule>
    <cfRule type="expression" dxfId="0" priority="105">
      <formula>$A750&lt;&gt;""</formula>
    </cfRule>
  </conditionalFormatting>
  <conditionalFormatting sqref="A752">
    <cfRule type="expression" priority="796">
      <formula>$A$2</formula>
    </cfRule>
    <cfRule type="expression" priority="450">
      <formula>$A753&lt;&gt;""</formula>
    </cfRule>
    <cfRule type="expression" dxfId="0" priority="104">
      <formula>$A753&lt;&gt;""</formula>
    </cfRule>
  </conditionalFormatting>
  <conditionalFormatting sqref="A755">
    <cfRule type="expression" priority="795">
      <formula>$A$2</formula>
    </cfRule>
    <cfRule type="expression" priority="449">
      <formula>$A756&lt;&gt;""</formula>
    </cfRule>
    <cfRule type="expression" dxfId="0" priority="103">
      <formula>$A756&lt;&gt;""</formula>
    </cfRule>
  </conditionalFormatting>
  <conditionalFormatting sqref="A758">
    <cfRule type="expression" priority="794">
      <formula>$A$2</formula>
    </cfRule>
    <cfRule type="expression" priority="448">
      <formula>$A759&lt;&gt;""</formula>
    </cfRule>
    <cfRule type="expression" dxfId="0" priority="102">
      <formula>$A759&lt;&gt;""</formula>
    </cfRule>
  </conditionalFormatting>
  <conditionalFormatting sqref="A761">
    <cfRule type="expression" priority="793">
      <formula>$A$2</formula>
    </cfRule>
    <cfRule type="expression" priority="447">
      <formula>$A762&lt;&gt;""</formula>
    </cfRule>
    <cfRule type="expression" dxfId="0" priority="101">
      <formula>$A762&lt;&gt;""</formula>
    </cfRule>
  </conditionalFormatting>
  <conditionalFormatting sqref="A764">
    <cfRule type="expression" priority="792">
      <formula>$A$2</formula>
    </cfRule>
    <cfRule type="expression" priority="446">
      <formula>$A765&lt;&gt;""</formula>
    </cfRule>
    <cfRule type="expression" dxfId="0" priority="100">
      <formula>$A765&lt;&gt;""</formula>
    </cfRule>
  </conditionalFormatting>
  <conditionalFormatting sqref="A767">
    <cfRule type="expression" priority="791">
      <formula>$A$2</formula>
    </cfRule>
    <cfRule type="expression" priority="445">
      <formula>$A768&lt;&gt;""</formula>
    </cfRule>
    <cfRule type="expression" dxfId="0" priority="99">
      <formula>$A768&lt;&gt;""</formula>
    </cfRule>
  </conditionalFormatting>
  <conditionalFormatting sqref="A770">
    <cfRule type="expression" priority="790">
      <formula>$A$2</formula>
    </cfRule>
    <cfRule type="expression" priority="444">
      <formula>$A771&lt;&gt;""</formula>
    </cfRule>
    <cfRule type="expression" dxfId="0" priority="98">
      <formula>$A771&lt;&gt;""</formula>
    </cfRule>
  </conditionalFormatting>
  <conditionalFormatting sqref="A773">
    <cfRule type="expression" priority="789">
      <formula>$A$2</formula>
    </cfRule>
    <cfRule type="expression" priority="443">
      <formula>$A774&lt;&gt;""</formula>
    </cfRule>
    <cfRule type="expression" dxfId="0" priority="97">
      <formula>$A774&lt;&gt;""</formula>
    </cfRule>
  </conditionalFormatting>
  <conditionalFormatting sqref="A776">
    <cfRule type="expression" priority="788">
      <formula>$A$2</formula>
    </cfRule>
    <cfRule type="expression" priority="442">
      <formula>$A777&lt;&gt;""</formula>
    </cfRule>
    <cfRule type="expression" dxfId="0" priority="96">
      <formula>$A777&lt;&gt;""</formula>
    </cfRule>
  </conditionalFormatting>
  <conditionalFormatting sqref="A779">
    <cfRule type="expression" priority="787">
      <formula>$A$2</formula>
    </cfRule>
    <cfRule type="expression" priority="441">
      <formula>$A780&lt;&gt;""</formula>
    </cfRule>
    <cfRule type="expression" dxfId="0" priority="95">
      <formula>$A780&lt;&gt;""</formula>
    </cfRule>
  </conditionalFormatting>
  <conditionalFormatting sqref="A782">
    <cfRule type="expression" priority="786">
      <formula>$A$2</formula>
    </cfRule>
    <cfRule type="expression" priority="440">
      <formula>$A783&lt;&gt;""</formula>
    </cfRule>
    <cfRule type="expression" dxfId="0" priority="94">
      <formula>$A783&lt;&gt;""</formula>
    </cfRule>
  </conditionalFormatting>
  <conditionalFormatting sqref="A785">
    <cfRule type="expression" priority="785">
      <formula>$A$2</formula>
    </cfRule>
    <cfRule type="expression" priority="439">
      <formula>$A786&lt;&gt;""</formula>
    </cfRule>
    <cfRule type="expression" dxfId="0" priority="93">
      <formula>$A786&lt;&gt;""</formula>
    </cfRule>
  </conditionalFormatting>
  <conditionalFormatting sqref="A788">
    <cfRule type="expression" priority="784">
      <formula>$A$2</formula>
    </cfRule>
    <cfRule type="expression" priority="438">
      <formula>$A789&lt;&gt;""</formula>
    </cfRule>
    <cfRule type="expression" dxfId="0" priority="92">
      <formula>$A789&lt;&gt;""</formula>
    </cfRule>
  </conditionalFormatting>
  <conditionalFormatting sqref="A791">
    <cfRule type="expression" priority="783">
      <formula>$A$2</formula>
    </cfRule>
    <cfRule type="expression" priority="437">
      <formula>$A792&lt;&gt;""</formula>
    </cfRule>
    <cfRule type="expression" dxfId="0" priority="91">
      <formula>$A792&lt;&gt;""</formula>
    </cfRule>
  </conditionalFormatting>
  <conditionalFormatting sqref="A794">
    <cfRule type="expression" priority="782">
      <formula>$A$2</formula>
    </cfRule>
    <cfRule type="expression" priority="436">
      <formula>$A795&lt;&gt;""</formula>
    </cfRule>
    <cfRule type="expression" dxfId="0" priority="90">
      <formula>$A795&lt;&gt;""</formula>
    </cfRule>
  </conditionalFormatting>
  <conditionalFormatting sqref="A797">
    <cfRule type="expression" priority="781">
      <formula>$A$2</formula>
    </cfRule>
    <cfRule type="expression" priority="435">
      <formula>$A798&lt;&gt;""</formula>
    </cfRule>
    <cfRule type="expression" dxfId="0" priority="89">
      <formula>$A798&lt;&gt;""</formula>
    </cfRule>
  </conditionalFormatting>
  <conditionalFormatting sqref="A800">
    <cfRule type="expression" priority="780">
      <formula>$A$2</formula>
    </cfRule>
    <cfRule type="expression" priority="434">
      <formula>$A801&lt;&gt;""</formula>
    </cfRule>
    <cfRule type="expression" dxfId="0" priority="88">
      <formula>$A801&lt;&gt;""</formula>
    </cfRule>
  </conditionalFormatting>
  <conditionalFormatting sqref="A803">
    <cfRule type="expression" priority="779">
      <formula>$A$2</formula>
    </cfRule>
    <cfRule type="expression" priority="433">
      <formula>$A804&lt;&gt;""</formula>
    </cfRule>
    <cfRule type="expression" dxfId="0" priority="87">
      <formula>$A804&lt;&gt;""</formula>
    </cfRule>
  </conditionalFormatting>
  <conditionalFormatting sqref="A806">
    <cfRule type="expression" priority="778">
      <formula>$A$2</formula>
    </cfRule>
    <cfRule type="expression" priority="432">
      <formula>$A807&lt;&gt;""</formula>
    </cfRule>
    <cfRule type="expression" dxfId="0" priority="86">
      <formula>$A807&lt;&gt;""</formula>
    </cfRule>
  </conditionalFormatting>
  <conditionalFormatting sqref="A809">
    <cfRule type="expression" priority="777">
      <formula>$A$2</formula>
    </cfRule>
    <cfRule type="expression" priority="431">
      <formula>$A810&lt;&gt;""</formula>
    </cfRule>
    <cfRule type="expression" dxfId="0" priority="85">
      <formula>$A810&lt;&gt;""</formula>
    </cfRule>
  </conditionalFormatting>
  <conditionalFormatting sqref="A812">
    <cfRule type="expression" priority="776">
      <formula>$A$2</formula>
    </cfRule>
    <cfRule type="expression" priority="430">
      <formula>$A813&lt;&gt;""</formula>
    </cfRule>
    <cfRule type="expression" dxfId="0" priority="84">
      <formula>$A813&lt;&gt;""</formula>
    </cfRule>
  </conditionalFormatting>
  <conditionalFormatting sqref="A815">
    <cfRule type="expression" priority="775">
      <formula>$A$2</formula>
    </cfRule>
    <cfRule type="expression" priority="429">
      <formula>$A816&lt;&gt;""</formula>
    </cfRule>
    <cfRule type="expression" dxfId="0" priority="83">
      <formula>$A816&lt;&gt;""</formula>
    </cfRule>
  </conditionalFormatting>
  <conditionalFormatting sqref="A818">
    <cfRule type="expression" priority="774">
      <formula>$A$2</formula>
    </cfRule>
    <cfRule type="expression" priority="428">
      <formula>$A819&lt;&gt;""</formula>
    </cfRule>
    <cfRule type="expression" dxfId="0" priority="82">
      <formula>$A819&lt;&gt;""</formula>
    </cfRule>
  </conditionalFormatting>
  <conditionalFormatting sqref="A821">
    <cfRule type="expression" priority="773">
      <formula>$A$2</formula>
    </cfRule>
    <cfRule type="expression" priority="427">
      <formula>$A822&lt;&gt;""</formula>
    </cfRule>
    <cfRule type="expression" dxfId="0" priority="81">
      <formula>$A822&lt;&gt;""</formula>
    </cfRule>
  </conditionalFormatting>
  <conditionalFormatting sqref="A824">
    <cfRule type="expression" priority="772">
      <formula>$A$2</formula>
    </cfRule>
    <cfRule type="expression" priority="426">
      <formula>$A825&lt;&gt;""</formula>
    </cfRule>
    <cfRule type="expression" dxfId="0" priority="80">
      <formula>$A825&lt;&gt;""</formula>
    </cfRule>
  </conditionalFormatting>
  <conditionalFormatting sqref="A827">
    <cfRule type="expression" priority="771">
      <formula>$A$2</formula>
    </cfRule>
    <cfRule type="expression" priority="425">
      <formula>$A828&lt;&gt;""</formula>
    </cfRule>
    <cfRule type="expression" dxfId="0" priority="79">
      <formula>$A828&lt;&gt;""</formula>
    </cfRule>
  </conditionalFormatting>
  <conditionalFormatting sqref="A830">
    <cfRule type="expression" priority="770">
      <formula>$A$2</formula>
    </cfRule>
    <cfRule type="expression" priority="424">
      <formula>$A831&lt;&gt;""</formula>
    </cfRule>
    <cfRule type="expression" dxfId="0" priority="78">
      <formula>$A831&lt;&gt;""</formula>
    </cfRule>
  </conditionalFormatting>
  <conditionalFormatting sqref="A833">
    <cfRule type="expression" priority="769">
      <formula>$A$2</formula>
    </cfRule>
    <cfRule type="expression" priority="423">
      <formula>$A834&lt;&gt;""</formula>
    </cfRule>
    <cfRule type="expression" dxfId="0" priority="77">
      <formula>$A834&lt;&gt;""</formula>
    </cfRule>
  </conditionalFormatting>
  <conditionalFormatting sqref="A836">
    <cfRule type="expression" priority="768">
      <formula>$A$2</formula>
    </cfRule>
    <cfRule type="expression" priority="422">
      <formula>$A837&lt;&gt;""</formula>
    </cfRule>
    <cfRule type="expression" dxfId="0" priority="76">
      <formula>$A837&lt;&gt;""</formula>
    </cfRule>
  </conditionalFormatting>
  <conditionalFormatting sqref="A839">
    <cfRule type="expression" priority="767">
      <formula>$A$2</formula>
    </cfRule>
    <cfRule type="expression" priority="421">
      <formula>$A840&lt;&gt;""</formula>
    </cfRule>
    <cfRule type="expression" dxfId="0" priority="75">
      <formula>$A840&lt;&gt;""</formula>
    </cfRule>
  </conditionalFormatting>
  <conditionalFormatting sqref="A842">
    <cfRule type="expression" priority="766">
      <formula>$A$2</formula>
    </cfRule>
    <cfRule type="expression" priority="420">
      <formula>$A843&lt;&gt;""</formula>
    </cfRule>
    <cfRule type="expression" dxfId="0" priority="74">
      <formula>$A843&lt;&gt;""</formula>
    </cfRule>
  </conditionalFormatting>
  <conditionalFormatting sqref="A845">
    <cfRule type="expression" priority="765">
      <formula>$A$2</formula>
    </cfRule>
    <cfRule type="expression" priority="419">
      <formula>$A846&lt;&gt;""</formula>
    </cfRule>
    <cfRule type="expression" dxfId="0" priority="73">
      <formula>$A846&lt;&gt;""</formula>
    </cfRule>
  </conditionalFormatting>
  <conditionalFormatting sqref="A848">
    <cfRule type="expression" priority="764">
      <formula>$A$2</formula>
    </cfRule>
    <cfRule type="expression" priority="418">
      <formula>$A849&lt;&gt;""</formula>
    </cfRule>
    <cfRule type="expression" dxfId="0" priority="72">
      <formula>$A849&lt;&gt;""</formula>
    </cfRule>
  </conditionalFormatting>
  <conditionalFormatting sqref="A851">
    <cfRule type="expression" priority="763">
      <formula>$A$2</formula>
    </cfRule>
    <cfRule type="expression" priority="417">
      <formula>$A852&lt;&gt;""</formula>
    </cfRule>
    <cfRule type="expression" dxfId="0" priority="71">
      <formula>$A852&lt;&gt;""</formula>
    </cfRule>
  </conditionalFormatting>
  <conditionalFormatting sqref="A854">
    <cfRule type="expression" priority="762">
      <formula>$A$2</formula>
    </cfRule>
    <cfRule type="expression" priority="416">
      <formula>$A855&lt;&gt;""</formula>
    </cfRule>
    <cfRule type="expression" dxfId="0" priority="70">
      <formula>$A855&lt;&gt;""</formula>
    </cfRule>
  </conditionalFormatting>
  <conditionalFormatting sqref="A857">
    <cfRule type="expression" priority="761">
      <formula>$A$2</formula>
    </cfRule>
    <cfRule type="expression" priority="415">
      <formula>$A858&lt;&gt;""</formula>
    </cfRule>
    <cfRule type="expression" dxfId="0" priority="69">
      <formula>$A858&lt;&gt;""</formula>
    </cfRule>
  </conditionalFormatting>
  <conditionalFormatting sqref="A860">
    <cfRule type="expression" priority="760">
      <formula>$A$2</formula>
    </cfRule>
    <cfRule type="expression" priority="414">
      <formula>$A861&lt;&gt;""</formula>
    </cfRule>
    <cfRule type="expression" dxfId="0" priority="68">
      <formula>$A861&lt;&gt;""</formula>
    </cfRule>
  </conditionalFormatting>
  <conditionalFormatting sqref="A863">
    <cfRule type="expression" priority="759">
      <formula>$A$2</formula>
    </cfRule>
    <cfRule type="expression" priority="413">
      <formula>$A864&lt;&gt;""</formula>
    </cfRule>
    <cfRule type="expression" dxfId="0" priority="67">
      <formula>$A864&lt;&gt;""</formula>
    </cfRule>
  </conditionalFormatting>
  <conditionalFormatting sqref="A866">
    <cfRule type="expression" priority="758">
      <formula>$A$2</formula>
    </cfRule>
    <cfRule type="expression" priority="412">
      <formula>$A867&lt;&gt;""</formula>
    </cfRule>
    <cfRule type="expression" dxfId="0" priority="66">
      <formula>$A867&lt;&gt;""</formula>
    </cfRule>
  </conditionalFormatting>
  <conditionalFormatting sqref="A869">
    <cfRule type="expression" priority="757">
      <formula>$A$2</formula>
    </cfRule>
    <cfRule type="expression" priority="411">
      <formula>$A870&lt;&gt;""</formula>
    </cfRule>
    <cfRule type="expression" dxfId="0" priority="65">
      <formula>$A870&lt;&gt;""</formula>
    </cfRule>
  </conditionalFormatting>
  <conditionalFormatting sqref="A872">
    <cfRule type="expression" priority="756">
      <formula>$A$2</formula>
    </cfRule>
    <cfRule type="expression" priority="410">
      <formula>$A873&lt;&gt;""</formula>
    </cfRule>
    <cfRule type="expression" dxfId="0" priority="64">
      <formula>$A873&lt;&gt;""</formula>
    </cfRule>
  </conditionalFormatting>
  <conditionalFormatting sqref="A875">
    <cfRule type="expression" priority="755">
      <formula>$A$2</formula>
    </cfRule>
    <cfRule type="expression" priority="409">
      <formula>$A876&lt;&gt;""</formula>
    </cfRule>
    <cfRule type="expression" dxfId="0" priority="63">
      <formula>$A876&lt;&gt;""</formula>
    </cfRule>
  </conditionalFormatting>
  <conditionalFormatting sqref="A878">
    <cfRule type="expression" priority="754">
      <formula>$A$2</formula>
    </cfRule>
    <cfRule type="expression" priority="408">
      <formula>$A879&lt;&gt;""</formula>
    </cfRule>
    <cfRule type="expression" dxfId="0" priority="62">
      <formula>$A879&lt;&gt;""</formula>
    </cfRule>
  </conditionalFormatting>
  <conditionalFormatting sqref="A881">
    <cfRule type="expression" priority="753">
      <formula>$A$2</formula>
    </cfRule>
    <cfRule type="expression" priority="407">
      <formula>$A882&lt;&gt;""</formula>
    </cfRule>
    <cfRule type="expression" dxfId="0" priority="61">
      <formula>$A882&lt;&gt;""</formula>
    </cfRule>
  </conditionalFormatting>
  <conditionalFormatting sqref="A884">
    <cfRule type="expression" priority="752">
      <formula>$A$2</formula>
    </cfRule>
    <cfRule type="expression" priority="406">
      <formula>$A885&lt;&gt;""</formula>
    </cfRule>
    <cfRule type="expression" dxfId="0" priority="60">
      <formula>$A885&lt;&gt;""</formula>
    </cfRule>
  </conditionalFormatting>
  <conditionalFormatting sqref="A887">
    <cfRule type="expression" priority="751">
      <formula>$A$2</formula>
    </cfRule>
    <cfRule type="expression" priority="405">
      <formula>$A888&lt;&gt;""</formula>
    </cfRule>
    <cfRule type="expression" dxfId="0" priority="59">
      <formula>$A888&lt;&gt;""</formula>
    </cfRule>
  </conditionalFormatting>
  <conditionalFormatting sqref="A890">
    <cfRule type="expression" priority="750">
      <formula>$A$2</formula>
    </cfRule>
    <cfRule type="expression" priority="404">
      <formula>$A891&lt;&gt;""</formula>
    </cfRule>
    <cfRule type="expression" dxfId="0" priority="58">
      <formula>$A891&lt;&gt;""</formula>
    </cfRule>
  </conditionalFormatting>
  <conditionalFormatting sqref="A893">
    <cfRule type="expression" priority="749">
      <formula>$A$2</formula>
    </cfRule>
    <cfRule type="expression" priority="403">
      <formula>$A894&lt;&gt;""</formula>
    </cfRule>
    <cfRule type="expression" dxfId="0" priority="57">
      <formula>$A894&lt;&gt;""</formula>
    </cfRule>
  </conditionalFormatting>
  <conditionalFormatting sqref="A896">
    <cfRule type="expression" priority="748">
      <formula>$A$2</formula>
    </cfRule>
    <cfRule type="expression" priority="402">
      <formula>$A897&lt;&gt;""</formula>
    </cfRule>
    <cfRule type="expression" dxfId="0" priority="56">
      <formula>$A897&lt;&gt;""</formula>
    </cfRule>
  </conditionalFormatting>
  <conditionalFormatting sqref="C897">
    <cfRule type="expression" dxfId="0" priority="1888">
      <formula>$A898&lt;&gt;""</formula>
    </cfRule>
    <cfRule type="expression" priority="1889">
      <formula>$A898&lt;&gt;""</formula>
    </cfRule>
    <cfRule type="expression" priority="1890">
      <formula>$A$2</formula>
    </cfRule>
  </conditionalFormatting>
  <conditionalFormatting sqref="C898">
    <cfRule type="expression" dxfId="0" priority="1861">
      <formula>$A899&lt;&gt;""</formula>
    </cfRule>
    <cfRule type="expression" priority="1862">
      <formula>$A899&lt;&gt;""</formula>
    </cfRule>
    <cfRule type="expression" priority="1863">
      <formula>$A$2</formula>
    </cfRule>
  </conditionalFormatting>
  <conditionalFormatting sqref="A899">
    <cfRule type="expression" priority="747">
      <formula>$A$2</formula>
    </cfRule>
    <cfRule type="expression" priority="401">
      <formula>$A900&lt;&gt;""</formula>
    </cfRule>
    <cfRule type="expression" dxfId="0" priority="55">
      <formula>$A900&lt;&gt;""</formula>
    </cfRule>
  </conditionalFormatting>
  <conditionalFormatting sqref="C899">
    <cfRule type="expression" dxfId="0" priority="1873">
      <formula>$A900&lt;&gt;""</formula>
    </cfRule>
    <cfRule type="expression" priority="1874">
      <formula>$A900&lt;&gt;""</formula>
    </cfRule>
    <cfRule type="expression" priority="1875">
      <formula>$A$2</formula>
    </cfRule>
  </conditionalFormatting>
  <conditionalFormatting sqref="AA899">
    <cfRule type="expression" dxfId="0" priority="1846">
      <formula>$A1415&lt;&gt;""</formula>
    </cfRule>
    <cfRule type="expression" priority="1847">
      <formula>$A1415&lt;&gt;""</formula>
    </cfRule>
    <cfRule type="expression" priority="1848">
      <formula>$A$2</formula>
    </cfRule>
  </conditionalFormatting>
  <conditionalFormatting sqref="C900">
    <cfRule type="expression" dxfId="0" priority="1885">
      <formula>$A901&lt;&gt;""</formula>
    </cfRule>
    <cfRule type="expression" priority="1886">
      <formula>$A901&lt;&gt;""</formula>
    </cfRule>
    <cfRule type="expression" priority="1887">
      <formula>$A$2</formula>
    </cfRule>
  </conditionalFormatting>
  <conditionalFormatting sqref="C901">
    <cfRule type="expression" dxfId="0" priority="1858">
      <formula>$A902&lt;&gt;""</formula>
    </cfRule>
    <cfRule type="expression" priority="1859">
      <formula>$A902&lt;&gt;""</formula>
    </cfRule>
    <cfRule type="expression" priority="1860">
      <formula>$A$2</formula>
    </cfRule>
  </conditionalFormatting>
  <conditionalFormatting sqref="A902">
    <cfRule type="expression" priority="746">
      <formula>$A$2</formula>
    </cfRule>
    <cfRule type="expression" priority="400">
      <formula>$A903&lt;&gt;""</formula>
    </cfRule>
    <cfRule type="expression" dxfId="0" priority="54">
      <formula>$A903&lt;&gt;""</formula>
    </cfRule>
  </conditionalFormatting>
  <conditionalFormatting sqref="C902">
    <cfRule type="expression" dxfId="0" priority="1870">
      <formula>$A903&lt;&gt;""</formula>
    </cfRule>
    <cfRule type="expression" priority="1871">
      <formula>$A903&lt;&gt;""</formula>
    </cfRule>
    <cfRule type="expression" priority="1872">
      <formula>$A$2</formula>
    </cfRule>
  </conditionalFormatting>
  <conditionalFormatting sqref="C903">
    <cfRule type="expression" dxfId="0" priority="1882">
      <formula>$A904&lt;&gt;""</formula>
    </cfRule>
    <cfRule type="expression" priority="1883">
      <formula>$A904&lt;&gt;""</formula>
    </cfRule>
    <cfRule type="expression" priority="1884">
      <formula>$A$2</formula>
    </cfRule>
  </conditionalFormatting>
  <conditionalFormatting sqref="C904">
    <cfRule type="expression" dxfId="0" priority="1855">
      <formula>$A905&lt;&gt;""</formula>
    </cfRule>
    <cfRule type="expression" priority="1856">
      <formula>$A905&lt;&gt;""</formula>
    </cfRule>
    <cfRule type="expression" priority="1857">
      <formula>$A$2</formula>
    </cfRule>
  </conditionalFormatting>
  <conditionalFormatting sqref="A905">
    <cfRule type="expression" priority="745">
      <formula>$A$2</formula>
    </cfRule>
    <cfRule type="expression" priority="399">
      <formula>$A906&lt;&gt;""</formula>
    </cfRule>
    <cfRule type="expression" dxfId="0" priority="53">
      <formula>$A906&lt;&gt;""</formula>
    </cfRule>
  </conditionalFormatting>
  <conditionalFormatting sqref="C905">
    <cfRule type="expression" dxfId="0" priority="1867">
      <formula>$A906&lt;&gt;""</formula>
    </cfRule>
    <cfRule type="expression" priority="1868">
      <formula>$A906&lt;&gt;""</formula>
    </cfRule>
    <cfRule type="expression" priority="1869">
      <formula>$A$2</formula>
    </cfRule>
  </conditionalFormatting>
  <conditionalFormatting sqref="C906">
    <cfRule type="expression" dxfId="0" priority="1879">
      <formula>$A907&lt;&gt;""</formula>
    </cfRule>
    <cfRule type="expression" priority="1880">
      <formula>$A907&lt;&gt;""</formula>
    </cfRule>
    <cfRule type="expression" priority="1881">
      <formula>$A$2</formula>
    </cfRule>
  </conditionalFormatting>
  <conditionalFormatting sqref="C907">
    <cfRule type="expression" dxfId="0" priority="1852">
      <formula>$A908&lt;&gt;""</formula>
    </cfRule>
    <cfRule type="expression" priority="1853">
      <formula>$A908&lt;&gt;""</formula>
    </cfRule>
    <cfRule type="expression" priority="1854">
      <formula>$A$2</formula>
    </cfRule>
  </conditionalFormatting>
  <conditionalFormatting sqref="A908">
    <cfRule type="expression" priority="744">
      <formula>$A$2</formula>
    </cfRule>
    <cfRule type="expression" priority="398">
      <formula>$A909&lt;&gt;""</formula>
    </cfRule>
    <cfRule type="expression" dxfId="0" priority="52">
      <formula>$A909&lt;&gt;""</formula>
    </cfRule>
  </conditionalFormatting>
  <conditionalFormatting sqref="C908">
    <cfRule type="expression" dxfId="0" priority="1864">
      <formula>$A909&lt;&gt;""</formula>
    </cfRule>
    <cfRule type="expression" priority="1865">
      <formula>$A909&lt;&gt;""</formula>
    </cfRule>
    <cfRule type="expression" priority="1866">
      <formula>$A$2</formula>
    </cfRule>
  </conditionalFormatting>
  <conditionalFormatting sqref="C909">
    <cfRule type="expression" dxfId="0" priority="1876">
      <formula>$A910&lt;&gt;""</formula>
    </cfRule>
    <cfRule type="expression" priority="1877">
      <formula>$A910&lt;&gt;""</formula>
    </cfRule>
    <cfRule type="expression" priority="1878">
      <formula>$A$2</formula>
    </cfRule>
  </conditionalFormatting>
  <conditionalFormatting sqref="C910">
    <cfRule type="expression" dxfId="0" priority="1849">
      <formula>$A911&lt;&gt;""</formula>
    </cfRule>
    <cfRule type="expression" priority="1850">
      <formula>$A911&lt;&gt;""</formula>
    </cfRule>
    <cfRule type="expression" priority="1851">
      <formula>$A$2</formula>
    </cfRule>
  </conditionalFormatting>
  <conditionalFormatting sqref="A911">
    <cfRule type="expression" priority="743">
      <formula>$A$2</formula>
    </cfRule>
    <cfRule type="expression" priority="397">
      <formula>$A912&lt;&gt;""</formula>
    </cfRule>
    <cfRule type="expression" dxfId="0" priority="51">
      <formula>$A912&lt;&gt;""</formula>
    </cfRule>
  </conditionalFormatting>
  <conditionalFormatting sqref="C911">
    <cfRule type="expression" dxfId="0" priority="1768">
      <formula>$A912&lt;&gt;""</formula>
    </cfRule>
    <cfRule type="expression" priority="1769">
      <formula>$A912&lt;&gt;""</formula>
    </cfRule>
    <cfRule type="expression" priority="1770">
      <formula>$A$2</formula>
    </cfRule>
  </conditionalFormatting>
  <conditionalFormatting sqref="C912">
    <cfRule type="expression" dxfId="0" priority="1771">
      <formula>$A913&lt;&gt;""</formula>
    </cfRule>
    <cfRule type="expression" priority="1772">
      <formula>$A913&lt;&gt;""</formula>
    </cfRule>
    <cfRule type="expression" priority="1773">
      <formula>$A$2</formula>
    </cfRule>
  </conditionalFormatting>
  <conditionalFormatting sqref="C913">
    <cfRule type="expression" dxfId="0" priority="1765">
      <formula>$A914&lt;&gt;""</formula>
    </cfRule>
    <cfRule type="expression" priority="1766">
      <formula>$A914&lt;&gt;""</formula>
    </cfRule>
    <cfRule type="expression" priority="1767">
      <formula>$A$2</formula>
    </cfRule>
  </conditionalFormatting>
  <conditionalFormatting sqref="A914">
    <cfRule type="expression" priority="742">
      <formula>$A$2</formula>
    </cfRule>
    <cfRule type="expression" priority="396">
      <formula>$A915&lt;&gt;""</formula>
    </cfRule>
    <cfRule type="expression" dxfId="0" priority="50">
      <formula>$A915&lt;&gt;""</formula>
    </cfRule>
  </conditionalFormatting>
  <conditionalFormatting sqref="C914">
    <cfRule type="expression" dxfId="0" priority="1759">
      <formula>$A915&lt;&gt;""</formula>
    </cfRule>
    <cfRule type="expression" priority="1760">
      <formula>$A915&lt;&gt;""</formula>
    </cfRule>
    <cfRule type="expression" priority="1761">
      <formula>$A$2</formula>
    </cfRule>
  </conditionalFormatting>
  <conditionalFormatting sqref="C915">
    <cfRule type="expression" dxfId="0" priority="1762">
      <formula>$A916&lt;&gt;""</formula>
    </cfRule>
    <cfRule type="expression" priority="1763">
      <formula>$A916&lt;&gt;""</formula>
    </cfRule>
    <cfRule type="expression" priority="1764">
      <formula>$A$2</formula>
    </cfRule>
  </conditionalFormatting>
  <conditionalFormatting sqref="C916">
    <cfRule type="expression" dxfId="0" priority="1756">
      <formula>$A917&lt;&gt;""</formula>
    </cfRule>
    <cfRule type="expression" priority="1757">
      <formula>$A917&lt;&gt;""</formula>
    </cfRule>
    <cfRule type="expression" priority="1758">
      <formula>$A$2</formula>
    </cfRule>
  </conditionalFormatting>
  <conditionalFormatting sqref="A917">
    <cfRule type="expression" priority="741">
      <formula>$A$2</formula>
    </cfRule>
    <cfRule type="expression" priority="395">
      <formula>$A918&lt;&gt;""</formula>
    </cfRule>
    <cfRule type="expression" dxfId="0" priority="49">
      <formula>$A918&lt;&gt;""</formula>
    </cfRule>
  </conditionalFormatting>
  <conditionalFormatting sqref="C917">
    <cfRule type="expression" dxfId="0" priority="1750">
      <formula>$A918&lt;&gt;""</formula>
    </cfRule>
    <cfRule type="expression" priority="1751">
      <formula>$A918&lt;&gt;""</formula>
    </cfRule>
    <cfRule type="expression" priority="1752">
      <formula>$A$2</formula>
    </cfRule>
  </conditionalFormatting>
  <conditionalFormatting sqref="C918">
    <cfRule type="expression" dxfId="0" priority="1753">
      <formula>$A919&lt;&gt;""</formula>
    </cfRule>
    <cfRule type="expression" priority="1754">
      <formula>$A919&lt;&gt;""</formula>
    </cfRule>
    <cfRule type="expression" priority="1755">
      <formula>$A$2</formula>
    </cfRule>
  </conditionalFormatting>
  <conditionalFormatting sqref="C919">
    <cfRule type="expression" dxfId="0" priority="1747">
      <formula>$A920&lt;&gt;""</formula>
    </cfRule>
    <cfRule type="expression" priority="1748">
      <formula>$A920&lt;&gt;""</formula>
    </cfRule>
    <cfRule type="expression" priority="1749">
      <formula>$A$2</formula>
    </cfRule>
  </conditionalFormatting>
  <conditionalFormatting sqref="A920">
    <cfRule type="expression" priority="740">
      <formula>$A$2</formula>
    </cfRule>
    <cfRule type="expression" priority="394">
      <formula>$A921&lt;&gt;""</formula>
    </cfRule>
    <cfRule type="expression" dxfId="0" priority="48">
      <formula>$A921&lt;&gt;""</formula>
    </cfRule>
  </conditionalFormatting>
  <conditionalFormatting sqref="C920">
    <cfRule type="expression" dxfId="0" priority="1741">
      <formula>$A921&lt;&gt;""</formula>
    </cfRule>
    <cfRule type="expression" priority="1742">
      <formula>$A921&lt;&gt;""</formula>
    </cfRule>
    <cfRule type="expression" priority="1743">
      <formula>$A$2</formula>
    </cfRule>
  </conditionalFormatting>
  <conditionalFormatting sqref="C921">
    <cfRule type="expression" dxfId="0" priority="1744">
      <formula>$A922&lt;&gt;""</formula>
    </cfRule>
    <cfRule type="expression" priority="1745">
      <formula>$A922&lt;&gt;""</formula>
    </cfRule>
    <cfRule type="expression" priority="1746">
      <formula>$A$2</formula>
    </cfRule>
  </conditionalFormatting>
  <conditionalFormatting sqref="C922">
    <cfRule type="expression" dxfId="0" priority="1738">
      <formula>$A923&lt;&gt;""</formula>
    </cfRule>
    <cfRule type="expression" priority="1739">
      <formula>$A923&lt;&gt;""</formula>
    </cfRule>
    <cfRule type="expression" priority="1740">
      <formula>$A$2</formula>
    </cfRule>
  </conditionalFormatting>
  <conditionalFormatting sqref="A923">
    <cfRule type="expression" priority="739">
      <formula>$A$2</formula>
    </cfRule>
    <cfRule type="expression" priority="393">
      <formula>$A924&lt;&gt;""</formula>
    </cfRule>
    <cfRule type="expression" dxfId="0" priority="47">
      <formula>$A924&lt;&gt;""</formula>
    </cfRule>
  </conditionalFormatting>
  <conditionalFormatting sqref="C923">
    <cfRule type="expression" dxfId="0" priority="1732">
      <formula>$A924&lt;&gt;""</formula>
    </cfRule>
    <cfRule type="expression" priority="1733">
      <formula>$A924&lt;&gt;""</formula>
    </cfRule>
    <cfRule type="expression" priority="1734">
      <formula>$A$2</formula>
    </cfRule>
  </conditionalFormatting>
  <conditionalFormatting sqref="C924">
    <cfRule type="expression" dxfId="0" priority="1735">
      <formula>$A925&lt;&gt;""</formula>
    </cfRule>
    <cfRule type="expression" priority="1736">
      <formula>$A925&lt;&gt;""</formula>
    </cfRule>
    <cfRule type="expression" priority="1737">
      <formula>$A$2</formula>
    </cfRule>
  </conditionalFormatting>
  <conditionalFormatting sqref="C925">
    <cfRule type="expression" dxfId="0" priority="1729">
      <formula>$A926&lt;&gt;""</formula>
    </cfRule>
    <cfRule type="expression" priority="1730">
      <formula>$A926&lt;&gt;""</formula>
    </cfRule>
    <cfRule type="expression" priority="1731">
      <formula>$A$2</formula>
    </cfRule>
  </conditionalFormatting>
  <conditionalFormatting sqref="A926">
    <cfRule type="expression" priority="738">
      <formula>$A$2</formula>
    </cfRule>
    <cfRule type="expression" priority="392">
      <formula>$A927&lt;&gt;""</formula>
    </cfRule>
    <cfRule type="expression" dxfId="0" priority="46">
      <formula>$A927&lt;&gt;""</formula>
    </cfRule>
  </conditionalFormatting>
  <conditionalFormatting sqref="C926">
    <cfRule type="expression" dxfId="0" priority="1723">
      <formula>$A927&lt;&gt;""</formula>
    </cfRule>
    <cfRule type="expression" priority="1724">
      <formula>$A927&lt;&gt;""</formula>
    </cfRule>
    <cfRule type="expression" priority="1725">
      <formula>$A$2</formula>
    </cfRule>
  </conditionalFormatting>
  <conditionalFormatting sqref="C927">
    <cfRule type="expression" dxfId="0" priority="1726">
      <formula>$A928&lt;&gt;""</formula>
    </cfRule>
    <cfRule type="expression" priority="1727">
      <formula>$A928&lt;&gt;""</formula>
    </cfRule>
    <cfRule type="expression" priority="1728">
      <formula>$A$2</formula>
    </cfRule>
  </conditionalFormatting>
  <conditionalFormatting sqref="C928">
    <cfRule type="expression" dxfId="0" priority="1720">
      <formula>$A929&lt;&gt;""</formula>
    </cfRule>
    <cfRule type="expression" priority="1721">
      <formula>$A929&lt;&gt;""</formula>
    </cfRule>
    <cfRule type="expression" priority="1722">
      <formula>$A$2</formula>
    </cfRule>
  </conditionalFormatting>
  <conditionalFormatting sqref="A929">
    <cfRule type="expression" priority="737">
      <formula>$A$2</formula>
    </cfRule>
    <cfRule type="expression" priority="391">
      <formula>$A930&lt;&gt;""</formula>
    </cfRule>
    <cfRule type="expression" dxfId="0" priority="45">
      <formula>$A930&lt;&gt;""</formula>
    </cfRule>
  </conditionalFormatting>
  <conditionalFormatting sqref="C929">
    <cfRule type="expression" dxfId="0" priority="1714">
      <formula>$A930&lt;&gt;""</formula>
    </cfRule>
    <cfRule type="expression" priority="1715">
      <formula>$A930&lt;&gt;""</formula>
    </cfRule>
    <cfRule type="expression" priority="1716">
      <formula>$A$2</formula>
    </cfRule>
  </conditionalFormatting>
  <conditionalFormatting sqref="C930">
    <cfRule type="expression" dxfId="0" priority="1717">
      <formula>$A931&lt;&gt;""</formula>
    </cfRule>
    <cfRule type="expression" priority="1718">
      <formula>$A931&lt;&gt;""</formula>
    </cfRule>
    <cfRule type="expression" priority="1719">
      <formula>$A$2</formula>
    </cfRule>
  </conditionalFormatting>
  <conditionalFormatting sqref="C931">
    <cfRule type="expression" dxfId="0" priority="1711">
      <formula>$A932&lt;&gt;""</formula>
    </cfRule>
    <cfRule type="expression" priority="1712">
      <formula>$A932&lt;&gt;""</formula>
    </cfRule>
    <cfRule type="expression" priority="1713">
      <formula>$A$2</formula>
    </cfRule>
  </conditionalFormatting>
  <conditionalFormatting sqref="A932">
    <cfRule type="expression" priority="736">
      <formula>$A$2</formula>
    </cfRule>
    <cfRule type="expression" priority="390">
      <formula>$A933&lt;&gt;""</formula>
    </cfRule>
    <cfRule type="expression" dxfId="0" priority="44">
      <formula>$A933&lt;&gt;""</formula>
    </cfRule>
  </conditionalFormatting>
  <conditionalFormatting sqref="C932">
    <cfRule type="expression" dxfId="0" priority="1705">
      <formula>$A933&lt;&gt;""</formula>
    </cfRule>
    <cfRule type="expression" priority="1706">
      <formula>$A933&lt;&gt;""</formula>
    </cfRule>
    <cfRule type="expression" priority="1707">
      <formula>$A$2</formula>
    </cfRule>
  </conditionalFormatting>
  <conditionalFormatting sqref="C933">
    <cfRule type="expression" dxfId="0" priority="1708">
      <formula>$A934&lt;&gt;""</formula>
    </cfRule>
    <cfRule type="expression" priority="1709">
      <formula>$A934&lt;&gt;""</formula>
    </cfRule>
    <cfRule type="expression" priority="1710">
      <formula>$A$2</formula>
    </cfRule>
  </conditionalFormatting>
  <conditionalFormatting sqref="C934">
    <cfRule type="expression" dxfId="0" priority="1702">
      <formula>$A935&lt;&gt;""</formula>
    </cfRule>
    <cfRule type="expression" priority="1703">
      <formula>$A935&lt;&gt;""</formula>
    </cfRule>
    <cfRule type="expression" priority="1704">
      <formula>$A$2</formula>
    </cfRule>
  </conditionalFormatting>
  <conditionalFormatting sqref="A935">
    <cfRule type="expression" priority="735">
      <formula>$A$2</formula>
    </cfRule>
    <cfRule type="expression" priority="389">
      <formula>$A936&lt;&gt;""</formula>
    </cfRule>
    <cfRule type="expression" dxfId="0" priority="43">
      <formula>$A936&lt;&gt;""</formula>
    </cfRule>
  </conditionalFormatting>
  <conditionalFormatting sqref="C935">
    <cfRule type="expression" dxfId="0" priority="1696">
      <formula>$A936&lt;&gt;""</formula>
    </cfRule>
    <cfRule type="expression" priority="1697">
      <formula>$A936&lt;&gt;""</formula>
    </cfRule>
    <cfRule type="expression" priority="1698">
      <formula>$A$2</formula>
    </cfRule>
  </conditionalFormatting>
  <conditionalFormatting sqref="C936">
    <cfRule type="expression" dxfId="0" priority="1699">
      <formula>$A937&lt;&gt;""</formula>
    </cfRule>
    <cfRule type="expression" priority="1700">
      <formula>$A937&lt;&gt;""</formula>
    </cfRule>
    <cfRule type="expression" priority="1701">
      <formula>$A$2</formula>
    </cfRule>
  </conditionalFormatting>
  <conditionalFormatting sqref="C937">
    <cfRule type="expression" dxfId="0" priority="1693">
      <formula>$A938&lt;&gt;""</formula>
    </cfRule>
    <cfRule type="expression" priority="1694">
      <formula>$A938&lt;&gt;""</formula>
    </cfRule>
    <cfRule type="expression" priority="1695">
      <formula>$A$2</formula>
    </cfRule>
  </conditionalFormatting>
  <conditionalFormatting sqref="A938">
    <cfRule type="expression" priority="734">
      <formula>$A$2</formula>
    </cfRule>
    <cfRule type="expression" priority="388">
      <formula>$A939&lt;&gt;""</formula>
    </cfRule>
    <cfRule type="expression" dxfId="0" priority="42">
      <formula>$A939&lt;&gt;""</formula>
    </cfRule>
  </conditionalFormatting>
  <conditionalFormatting sqref="C938">
    <cfRule type="expression" dxfId="0" priority="1687">
      <formula>$A939&lt;&gt;""</formula>
    </cfRule>
    <cfRule type="expression" priority="1688">
      <formula>$A939&lt;&gt;""</formula>
    </cfRule>
    <cfRule type="expression" priority="1689">
      <formula>$A$2</formula>
    </cfRule>
  </conditionalFormatting>
  <conditionalFormatting sqref="C939">
    <cfRule type="expression" dxfId="0" priority="1690">
      <formula>$A940&lt;&gt;""</formula>
    </cfRule>
    <cfRule type="expression" priority="1691">
      <formula>$A940&lt;&gt;""</formula>
    </cfRule>
    <cfRule type="expression" priority="1692">
      <formula>$A$2</formula>
    </cfRule>
  </conditionalFormatting>
  <conditionalFormatting sqref="C940">
    <cfRule type="expression" dxfId="0" priority="1684">
      <formula>$A941&lt;&gt;""</formula>
    </cfRule>
    <cfRule type="expression" priority="1685">
      <formula>$A941&lt;&gt;""</formula>
    </cfRule>
    <cfRule type="expression" priority="1686">
      <formula>$A$2</formula>
    </cfRule>
  </conditionalFormatting>
  <conditionalFormatting sqref="A941">
    <cfRule type="expression" priority="733">
      <formula>$A$2</formula>
    </cfRule>
    <cfRule type="expression" priority="387">
      <formula>$A942&lt;&gt;""</formula>
    </cfRule>
    <cfRule type="expression" dxfId="0" priority="41">
      <formula>$A942&lt;&gt;""</formula>
    </cfRule>
  </conditionalFormatting>
  <conditionalFormatting sqref="C941">
    <cfRule type="expression" dxfId="0" priority="1657">
      <formula>$A942&lt;&gt;""</formula>
    </cfRule>
    <cfRule type="expression" priority="1658">
      <formula>$A942&lt;&gt;""</formula>
    </cfRule>
    <cfRule type="expression" priority="1659">
      <formula>$A$2</formula>
    </cfRule>
  </conditionalFormatting>
  <conditionalFormatting sqref="C942">
    <cfRule type="expression" dxfId="0" priority="1633">
      <formula>$A943&lt;&gt;""</formula>
    </cfRule>
    <cfRule type="expression" priority="1634">
      <formula>$A943&lt;&gt;""</formula>
    </cfRule>
    <cfRule type="expression" priority="1635">
      <formula>$A$2</formula>
    </cfRule>
  </conditionalFormatting>
  <conditionalFormatting sqref="C943">
    <cfRule type="expression" dxfId="0" priority="1609">
      <formula>$A944&lt;&gt;""</formula>
    </cfRule>
    <cfRule type="expression" priority="1610">
      <formula>$A944&lt;&gt;""</formula>
    </cfRule>
    <cfRule type="expression" priority="1611">
      <formula>$A$2</formula>
    </cfRule>
  </conditionalFormatting>
  <conditionalFormatting sqref="A944">
    <cfRule type="expression" priority="732">
      <formula>$A$2</formula>
    </cfRule>
    <cfRule type="expression" priority="386">
      <formula>$A945&lt;&gt;""</formula>
    </cfRule>
    <cfRule type="expression" dxfId="0" priority="40">
      <formula>$A945&lt;&gt;""</formula>
    </cfRule>
  </conditionalFormatting>
  <conditionalFormatting sqref="C944">
    <cfRule type="expression" dxfId="0" priority="1654">
      <formula>$A945&lt;&gt;""</formula>
    </cfRule>
    <cfRule type="expression" priority="1655">
      <formula>$A945&lt;&gt;""</formula>
    </cfRule>
    <cfRule type="expression" priority="1656">
      <formula>$A$2</formula>
    </cfRule>
  </conditionalFormatting>
  <conditionalFormatting sqref="C945">
    <cfRule type="expression" dxfId="0" priority="1630">
      <formula>$A946&lt;&gt;""</formula>
    </cfRule>
    <cfRule type="expression" priority="1631">
      <formula>$A946&lt;&gt;""</formula>
    </cfRule>
    <cfRule type="expression" priority="1632">
      <formula>$A$2</formula>
    </cfRule>
  </conditionalFormatting>
  <conditionalFormatting sqref="C946">
    <cfRule type="expression" dxfId="0" priority="1606">
      <formula>$A947&lt;&gt;""</formula>
    </cfRule>
    <cfRule type="expression" priority="1607">
      <formula>$A947&lt;&gt;""</formula>
    </cfRule>
    <cfRule type="expression" priority="1608">
      <formula>$A$2</formula>
    </cfRule>
  </conditionalFormatting>
  <conditionalFormatting sqref="A947">
    <cfRule type="expression" priority="731">
      <formula>$A$2</formula>
    </cfRule>
    <cfRule type="expression" priority="385">
      <formula>$A948&lt;&gt;""</formula>
    </cfRule>
    <cfRule type="expression" dxfId="0" priority="39">
      <formula>$A948&lt;&gt;""</formula>
    </cfRule>
  </conditionalFormatting>
  <conditionalFormatting sqref="C947">
    <cfRule type="expression" dxfId="0" priority="1651">
      <formula>$A948&lt;&gt;""</formula>
    </cfRule>
    <cfRule type="expression" priority="1652">
      <formula>$A948&lt;&gt;""</formula>
    </cfRule>
    <cfRule type="expression" priority="1653">
      <formula>$A$2</formula>
    </cfRule>
  </conditionalFormatting>
  <conditionalFormatting sqref="C948">
    <cfRule type="expression" dxfId="0" priority="1627">
      <formula>$A949&lt;&gt;""</formula>
    </cfRule>
    <cfRule type="expression" priority="1628">
      <formula>$A949&lt;&gt;""</formula>
    </cfRule>
    <cfRule type="expression" priority="1629">
      <formula>$A$2</formula>
    </cfRule>
  </conditionalFormatting>
  <conditionalFormatting sqref="C949">
    <cfRule type="expression" dxfId="0" priority="1603">
      <formula>$A950&lt;&gt;""</formula>
    </cfRule>
    <cfRule type="expression" priority="1604">
      <formula>$A950&lt;&gt;""</formula>
    </cfRule>
    <cfRule type="expression" priority="1605">
      <formula>$A$2</formula>
    </cfRule>
  </conditionalFormatting>
  <conditionalFormatting sqref="A950">
    <cfRule type="expression" priority="730">
      <formula>$A$2</formula>
    </cfRule>
    <cfRule type="expression" priority="384">
      <formula>$A951&lt;&gt;""</formula>
    </cfRule>
    <cfRule type="expression" dxfId="0" priority="38">
      <formula>$A951&lt;&gt;""</formula>
    </cfRule>
  </conditionalFormatting>
  <conditionalFormatting sqref="C950">
    <cfRule type="expression" dxfId="0" priority="1648">
      <formula>$A951&lt;&gt;""</formula>
    </cfRule>
    <cfRule type="expression" priority="1649">
      <formula>$A951&lt;&gt;""</formula>
    </cfRule>
    <cfRule type="expression" priority="1650">
      <formula>$A$2</formula>
    </cfRule>
  </conditionalFormatting>
  <conditionalFormatting sqref="C951">
    <cfRule type="expression" dxfId="0" priority="1624">
      <formula>$A952&lt;&gt;""</formula>
    </cfRule>
    <cfRule type="expression" priority="1625">
      <formula>$A952&lt;&gt;""</formula>
    </cfRule>
    <cfRule type="expression" priority="1626">
      <formula>$A$2</formula>
    </cfRule>
  </conditionalFormatting>
  <conditionalFormatting sqref="C952">
    <cfRule type="expression" dxfId="0" priority="1600">
      <formula>$A953&lt;&gt;""</formula>
    </cfRule>
    <cfRule type="expression" priority="1601">
      <formula>$A953&lt;&gt;""</formula>
    </cfRule>
    <cfRule type="expression" priority="1602">
      <formula>$A$2</formula>
    </cfRule>
  </conditionalFormatting>
  <conditionalFormatting sqref="A953">
    <cfRule type="expression" priority="729">
      <formula>$A$2</formula>
    </cfRule>
    <cfRule type="expression" priority="383">
      <formula>$A954&lt;&gt;""</formula>
    </cfRule>
    <cfRule type="expression" dxfId="0" priority="37">
      <formula>$A954&lt;&gt;""</formula>
    </cfRule>
  </conditionalFormatting>
  <conditionalFormatting sqref="C953">
    <cfRule type="expression" dxfId="0" priority="1645">
      <formula>$A954&lt;&gt;""</formula>
    </cfRule>
    <cfRule type="expression" priority="1646">
      <formula>$A954&lt;&gt;""</formula>
    </cfRule>
    <cfRule type="expression" priority="1647">
      <formula>$A$2</formula>
    </cfRule>
  </conditionalFormatting>
  <conditionalFormatting sqref="C954">
    <cfRule type="expression" dxfId="0" priority="1621">
      <formula>$A955&lt;&gt;""</formula>
    </cfRule>
    <cfRule type="expression" priority="1622">
      <formula>$A955&lt;&gt;""</formula>
    </cfRule>
    <cfRule type="expression" priority="1623">
      <formula>$A$2</formula>
    </cfRule>
  </conditionalFormatting>
  <conditionalFormatting sqref="C955">
    <cfRule type="expression" dxfId="0" priority="1597">
      <formula>$A956&lt;&gt;""</formula>
    </cfRule>
    <cfRule type="expression" priority="1598">
      <formula>$A956&lt;&gt;""</formula>
    </cfRule>
    <cfRule type="expression" priority="1599">
      <formula>$A$2</formula>
    </cfRule>
  </conditionalFormatting>
  <conditionalFormatting sqref="A956">
    <cfRule type="expression" priority="728">
      <formula>$A$2</formula>
    </cfRule>
    <cfRule type="expression" priority="382">
      <formula>$A957&lt;&gt;""</formula>
    </cfRule>
    <cfRule type="expression" dxfId="0" priority="36">
      <formula>$A957&lt;&gt;""</formula>
    </cfRule>
  </conditionalFormatting>
  <conditionalFormatting sqref="C956">
    <cfRule type="expression" dxfId="0" priority="1642">
      <formula>$A957&lt;&gt;""</formula>
    </cfRule>
    <cfRule type="expression" priority="1643">
      <formula>$A957&lt;&gt;""</formula>
    </cfRule>
    <cfRule type="expression" priority="1644">
      <formula>$A$2</formula>
    </cfRule>
  </conditionalFormatting>
  <conditionalFormatting sqref="C957">
    <cfRule type="expression" dxfId="0" priority="1618">
      <formula>$A958&lt;&gt;""</formula>
    </cfRule>
    <cfRule type="expression" priority="1619">
      <formula>$A958&lt;&gt;""</formula>
    </cfRule>
    <cfRule type="expression" priority="1620">
      <formula>$A$2</formula>
    </cfRule>
  </conditionalFormatting>
  <conditionalFormatting sqref="C958">
    <cfRule type="expression" dxfId="0" priority="1594">
      <formula>$A959&lt;&gt;""</formula>
    </cfRule>
    <cfRule type="expression" priority="1595">
      <formula>$A959&lt;&gt;""</formula>
    </cfRule>
    <cfRule type="expression" priority="1596">
      <formula>$A$2</formula>
    </cfRule>
  </conditionalFormatting>
  <conditionalFormatting sqref="A959">
    <cfRule type="expression" priority="727">
      <formula>$A$2</formula>
    </cfRule>
    <cfRule type="expression" priority="381">
      <formula>$A960&lt;&gt;""</formula>
    </cfRule>
    <cfRule type="expression" dxfId="0" priority="35">
      <formula>$A960&lt;&gt;""</formula>
    </cfRule>
  </conditionalFormatting>
  <conditionalFormatting sqref="C959">
    <cfRule type="expression" dxfId="0" priority="1639">
      <formula>$A960&lt;&gt;""</formula>
    </cfRule>
    <cfRule type="expression" priority="1640">
      <formula>$A960&lt;&gt;""</formula>
    </cfRule>
    <cfRule type="expression" priority="1641">
      <formula>$A$2</formula>
    </cfRule>
  </conditionalFormatting>
  <conditionalFormatting sqref="C960">
    <cfRule type="expression" dxfId="0" priority="1615">
      <formula>$A961&lt;&gt;""</formula>
    </cfRule>
    <cfRule type="expression" priority="1616">
      <formula>$A961&lt;&gt;""</formula>
    </cfRule>
    <cfRule type="expression" priority="1617">
      <formula>$A$2</formula>
    </cfRule>
  </conditionalFormatting>
  <conditionalFormatting sqref="C961">
    <cfRule type="expression" dxfId="0" priority="1591">
      <formula>$A962&lt;&gt;""</formula>
    </cfRule>
    <cfRule type="expression" priority="1592">
      <formula>$A962&lt;&gt;""</formula>
    </cfRule>
    <cfRule type="expression" priority="1593">
      <formula>$A$2</formula>
    </cfRule>
  </conditionalFormatting>
  <conditionalFormatting sqref="A962">
    <cfRule type="expression" priority="726">
      <formula>$A$2</formula>
    </cfRule>
    <cfRule type="expression" priority="380">
      <formula>$A963&lt;&gt;""</formula>
    </cfRule>
    <cfRule type="expression" dxfId="0" priority="34">
      <formula>$A963&lt;&gt;""</formula>
    </cfRule>
  </conditionalFormatting>
  <conditionalFormatting sqref="C962">
    <cfRule type="expression" dxfId="0" priority="1636">
      <formula>$A963&lt;&gt;""</formula>
    </cfRule>
    <cfRule type="expression" priority="1637">
      <formula>$A963&lt;&gt;""</formula>
    </cfRule>
    <cfRule type="expression" priority="1638">
      <formula>$A$2</formula>
    </cfRule>
  </conditionalFormatting>
  <conditionalFormatting sqref="C963">
    <cfRule type="expression" dxfId="0" priority="1612">
      <formula>$A964&lt;&gt;""</formula>
    </cfRule>
    <cfRule type="expression" priority="1613">
      <formula>$A964&lt;&gt;""</formula>
    </cfRule>
    <cfRule type="expression" priority="1614">
      <formula>$A$2</formula>
    </cfRule>
  </conditionalFormatting>
  <conditionalFormatting sqref="C964">
    <cfRule type="expression" dxfId="0" priority="1588">
      <formula>$A965&lt;&gt;""</formula>
    </cfRule>
    <cfRule type="expression" priority="1589">
      <formula>$A965&lt;&gt;""</formula>
    </cfRule>
    <cfRule type="expression" priority="1590">
      <formula>$A$2</formula>
    </cfRule>
  </conditionalFormatting>
  <conditionalFormatting sqref="F964">
    <cfRule type="expression" dxfId="0" priority="1666">
      <formula>$A965&lt;&gt;""</formula>
    </cfRule>
    <cfRule type="expression" priority="1667">
      <formula>$A965&lt;&gt;""</formula>
    </cfRule>
    <cfRule type="expression" priority="1668">
      <formula>$A$2</formula>
    </cfRule>
  </conditionalFormatting>
  <conditionalFormatting sqref="G964">
    <cfRule type="expression" dxfId="0" priority="1663">
      <formula>$A965&lt;&gt;""</formula>
    </cfRule>
    <cfRule type="expression" priority="1664">
      <formula>$A965&lt;&gt;""</formula>
    </cfRule>
    <cfRule type="expression" priority="1665">
      <formula>$A$2</formula>
    </cfRule>
  </conditionalFormatting>
  <conditionalFormatting sqref="H964">
    <cfRule type="expression" dxfId="0" priority="1660">
      <formula>$A965&lt;&gt;""</formula>
    </cfRule>
    <cfRule type="expression" priority="1661">
      <formula>$A965&lt;&gt;""</formula>
    </cfRule>
    <cfRule type="expression" priority="1662">
      <formula>$A$2</formula>
    </cfRule>
  </conditionalFormatting>
  <conditionalFormatting sqref="A965">
    <cfRule type="expression" priority="725">
      <formula>$A$2</formula>
    </cfRule>
    <cfRule type="expression" priority="379">
      <formula>$A966&lt;&gt;""</formula>
    </cfRule>
    <cfRule type="expression" dxfId="0" priority="33">
      <formula>$A966&lt;&gt;""</formula>
    </cfRule>
  </conditionalFormatting>
  <conditionalFormatting sqref="C965">
    <cfRule type="expression" dxfId="0" priority="1573">
      <formula>$A966&lt;&gt;""</formula>
    </cfRule>
    <cfRule type="expression" priority="1574">
      <formula>$A966&lt;&gt;""</formula>
    </cfRule>
    <cfRule type="expression" priority="1575">
      <formula>$A$2</formula>
    </cfRule>
  </conditionalFormatting>
  <conditionalFormatting sqref="C966">
    <cfRule type="expression" dxfId="0" priority="1570">
      <formula>$A967&lt;&gt;""</formula>
    </cfRule>
    <cfRule type="expression" priority="1571">
      <formula>$A967&lt;&gt;""</formula>
    </cfRule>
    <cfRule type="expression" priority="1572">
      <formula>$A$2</formula>
    </cfRule>
  </conditionalFormatting>
  <conditionalFormatting sqref="C967">
    <cfRule type="expression" dxfId="0" priority="1567">
      <formula>$A968&lt;&gt;""</formula>
    </cfRule>
    <cfRule type="expression" priority="1568">
      <formula>$A968&lt;&gt;""</formula>
    </cfRule>
    <cfRule type="expression" priority="1569">
      <formula>$A$2</formula>
    </cfRule>
  </conditionalFormatting>
  <conditionalFormatting sqref="A968">
    <cfRule type="expression" priority="724">
      <formula>$A$2</formula>
    </cfRule>
    <cfRule type="expression" priority="378">
      <formula>$A969&lt;&gt;""</formula>
    </cfRule>
    <cfRule type="expression" dxfId="0" priority="32">
      <formula>$A969&lt;&gt;""</formula>
    </cfRule>
  </conditionalFormatting>
  <conditionalFormatting sqref="C968">
    <cfRule type="expression" dxfId="0" priority="1552">
      <formula>$A969&lt;&gt;""</formula>
    </cfRule>
    <cfRule type="expression" priority="1553">
      <formula>$A969&lt;&gt;""</formula>
    </cfRule>
    <cfRule type="expression" priority="1554">
      <formula>$A$2</formula>
    </cfRule>
  </conditionalFormatting>
  <conditionalFormatting sqref="C969">
    <cfRule type="expression" dxfId="0" priority="1549">
      <formula>$A970&lt;&gt;""</formula>
    </cfRule>
    <cfRule type="expression" priority="1550">
      <formula>$A970&lt;&gt;""</formula>
    </cfRule>
    <cfRule type="expression" priority="1551">
      <formula>$A$2</formula>
    </cfRule>
  </conditionalFormatting>
  <conditionalFormatting sqref="C970">
    <cfRule type="expression" dxfId="0" priority="1546">
      <formula>$A971&lt;&gt;""</formula>
    </cfRule>
    <cfRule type="expression" priority="1547">
      <formula>$A971&lt;&gt;""</formula>
    </cfRule>
    <cfRule type="expression" priority="1548">
      <formula>$A$2</formula>
    </cfRule>
  </conditionalFormatting>
  <conditionalFormatting sqref="A971">
    <cfRule type="expression" priority="723">
      <formula>$A$2</formula>
    </cfRule>
    <cfRule type="expression" priority="377">
      <formula>$A972&lt;&gt;""</formula>
    </cfRule>
    <cfRule type="expression" dxfId="0" priority="31">
      <formula>$A972&lt;&gt;""</formula>
    </cfRule>
  </conditionalFormatting>
  <conditionalFormatting sqref="C971">
    <cfRule type="expression" dxfId="0" priority="1531">
      <formula>$A972&lt;&gt;""</formula>
    </cfRule>
    <cfRule type="expression" priority="1532">
      <formula>$A972&lt;&gt;""</formula>
    </cfRule>
    <cfRule type="expression" priority="1533">
      <formula>$A$2</formula>
    </cfRule>
  </conditionalFormatting>
  <conditionalFormatting sqref="C972">
    <cfRule type="expression" dxfId="0" priority="1528">
      <formula>$A973&lt;&gt;""</formula>
    </cfRule>
    <cfRule type="expression" priority="1529">
      <formula>$A973&lt;&gt;""</formula>
    </cfRule>
    <cfRule type="expression" priority="1530">
      <formula>$A$2</formula>
    </cfRule>
  </conditionalFormatting>
  <conditionalFormatting sqref="C973">
    <cfRule type="expression" dxfId="0" priority="1525">
      <formula>$A974&lt;&gt;""</formula>
    </cfRule>
    <cfRule type="expression" priority="1526">
      <formula>$A974&lt;&gt;""</formula>
    </cfRule>
    <cfRule type="expression" priority="1527">
      <formula>$A$2</formula>
    </cfRule>
  </conditionalFormatting>
  <conditionalFormatting sqref="A974">
    <cfRule type="expression" priority="722">
      <formula>$A$2</formula>
    </cfRule>
    <cfRule type="expression" priority="376">
      <formula>$A975&lt;&gt;""</formula>
    </cfRule>
    <cfRule type="expression" dxfId="0" priority="30">
      <formula>$A975&lt;&gt;""</formula>
    </cfRule>
  </conditionalFormatting>
  <conditionalFormatting sqref="C974">
    <cfRule type="expression" dxfId="0" priority="1510">
      <formula>$A975&lt;&gt;""</formula>
    </cfRule>
    <cfRule type="expression" priority="1511">
      <formula>$A975&lt;&gt;""</formula>
    </cfRule>
    <cfRule type="expression" priority="1512">
      <formula>$A$2</formula>
    </cfRule>
  </conditionalFormatting>
  <conditionalFormatting sqref="C975">
    <cfRule type="expression" dxfId="0" priority="1507">
      <formula>$A976&lt;&gt;""</formula>
    </cfRule>
    <cfRule type="expression" priority="1508">
      <formula>$A976&lt;&gt;""</formula>
    </cfRule>
    <cfRule type="expression" priority="1509">
      <formula>$A$2</formula>
    </cfRule>
  </conditionalFormatting>
  <conditionalFormatting sqref="C976">
    <cfRule type="expression" dxfId="0" priority="1504">
      <formula>$A977&lt;&gt;""</formula>
    </cfRule>
    <cfRule type="expression" priority="1505">
      <formula>$A977&lt;&gt;""</formula>
    </cfRule>
    <cfRule type="expression" priority="1506">
      <formula>$A$2</formula>
    </cfRule>
  </conditionalFormatting>
  <conditionalFormatting sqref="A977">
    <cfRule type="expression" priority="721">
      <formula>$A$2</formula>
    </cfRule>
    <cfRule type="expression" priority="375">
      <formula>$A978&lt;&gt;""</formula>
    </cfRule>
    <cfRule type="expression" dxfId="0" priority="29">
      <formula>$A978&lt;&gt;""</formula>
    </cfRule>
  </conditionalFormatting>
  <conditionalFormatting sqref="C977">
    <cfRule type="expression" dxfId="0" priority="1489">
      <formula>$A978&lt;&gt;""</formula>
    </cfRule>
    <cfRule type="expression" priority="1490">
      <formula>$A978&lt;&gt;""</formula>
    </cfRule>
    <cfRule type="expression" priority="1491">
      <formula>$A$2</formula>
    </cfRule>
  </conditionalFormatting>
  <conditionalFormatting sqref="C978">
    <cfRule type="expression" dxfId="0" priority="1486">
      <formula>$A979&lt;&gt;""</formula>
    </cfRule>
    <cfRule type="expression" priority="1487">
      <formula>$A979&lt;&gt;""</formula>
    </cfRule>
    <cfRule type="expression" priority="1488">
      <formula>$A$2</formula>
    </cfRule>
  </conditionalFormatting>
  <conditionalFormatting sqref="C979">
    <cfRule type="expression" dxfId="0" priority="1483">
      <formula>$A980&lt;&gt;""</formula>
    </cfRule>
    <cfRule type="expression" priority="1484">
      <formula>$A980&lt;&gt;""</formula>
    </cfRule>
    <cfRule type="expression" priority="1485">
      <formula>$A$2</formula>
    </cfRule>
  </conditionalFormatting>
  <conditionalFormatting sqref="A980">
    <cfRule type="expression" priority="720">
      <formula>$A$2</formula>
    </cfRule>
    <cfRule type="expression" priority="374">
      <formula>$A981&lt;&gt;""</formula>
    </cfRule>
    <cfRule type="expression" dxfId="0" priority="28">
      <formula>$A981&lt;&gt;""</formula>
    </cfRule>
  </conditionalFormatting>
  <conditionalFormatting sqref="C980">
    <cfRule type="expression" dxfId="0" priority="1468">
      <formula>$A981&lt;&gt;""</formula>
    </cfRule>
    <cfRule type="expression" priority="1469">
      <formula>$A981&lt;&gt;""</formula>
    </cfRule>
    <cfRule type="expression" priority="1470">
      <formula>$A$2</formula>
    </cfRule>
  </conditionalFormatting>
  <conditionalFormatting sqref="C981">
    <cfRule type="expression" dxfId="0" priority="1465">
      <formula>$A982&lt;&gt;""</formula>
    </cfRule>
    <cfRule type="expression" priority="1466">
      <formula>$A982&lt;&gt;""</formula>
    </cfRule>
    <cfRule type="expression" priority="1467">
      <formula>$A$2</formula>
    </cfRule>
  </conditionalFormatting>
  <conditionalFormatting sqref="C982">
    <cfRule type="expression" dxfId="0" priority="1462">
      <formula>$A983&lt;&gt;""</formula>
    </cfRule>
    <cfRule type="expression" priority="1463">
      <formula>$A983&lt;&gt;""</formula>
    </cfRule>
    <cfRule type="expression" priority="1464">
      <formula>$A$2</formula>
    </cfRule>
  </conditionalFormatting>
  <conditionalFormatting sqref="A983">
    <cfRule type="expression" priority="719">
      <formula>$A$2</formula>
    </cfRule>
    <cfRule type="expression" priority="373">
      <formula>$A984&lt;&gt;""</formula>
    </cfRule>
    <cfRule type="expression" dxfId="0" priority="27">
      <formula>$A984&lt;&gt;""</formula>
    </cfRule>
  </conditionalFormatting>
  <conditionalFormatting sqref="C983">
    <cfRule type="expression" dxfId="0" priority="1447">
      <formula>$A984&lt;&gt;""</formula>
    </cfRule>
    <cfRule type="expression" priority="1448">
      <formula>$A984&lt;&gt;""</formula>
    </cfRule>
    <cfRule type="expression" priority="1449">
      <formula>$A$2</formula>
    </cfRule>
  </conditionalFormatting>
  <conditionalFormatting sqref="C984">
    <cfRule type="expression" dxfId="0" priority="1444">
      <formula>$A985&lt;&gt;""</formula>
    </cfRule>
    <cfRule type="expression" priority="1445">
      <formula>$A985&lt;&gt;""</formula>
    </cfRule>
    <cfRule type="expression" priority="1446">
      <formula>$A$2</formula>
    </cfRule>
  </conditionalFormatting>
  <conditionalFormatting sqref="C985">
    <cfRule type="expression" dxfId="0" priority="1441">
      <formula>$A986&lt;&gt;""</formula>
    </cfRule>
    <cfRule type="expression" priority="1442">
      <formula>$A986&lt;&gt;""</formula>
    </cfRule>
    <cfRule type="expression" priority="1443">
      <formula>$A$2</formula>
    </cfRule>
  </conditionalFormatting>
  <conditionalFormatting sqref="A986">
    <cfRule type="expression" priority="718">
      <formula>$A$2</formula>
    </cfRule>
    <cfRule type="expression" priority="372">
      <formula>$A987&lt;&gt;""</formula>
    </cfRule>
    <cfRule type="expression" dxfId="0" priority="26">
      <formula>$A987&lt;&gt;""</formula>
    </cfRule>
  </conditionalFormatting>
  <conditionalFormatting sqref="C986">
    <cfRule type="expression" dxfId="0" priority="1426">
      <formula>$A987&lt;&gt;""</formula>
    </cfRule>
    <cfRule type="expression" priority="1427">
      <formula>$A987&lt;&gt;""</formula>
    </cfRule>
    <cfRule type="expression" priority="1428">
      <formula>$A$2</formula>
    </cfRule>
  </conditionalFormatting>
  <conditionalFormatting sqref="C987">
    <cfRule type="expression" dxfId="0" priority="1423">
      <formula>$A988&lt;&gt;""</formula>
    </cfRule>
    <cfRule type="expression" priority="1424">
      <formula>$A988&lt;&gt;""</formula>
    </cfRule>
    <cfRule type="expression" priority="1425">
      <formula>$A$2</formula>
    </cfRule>
  </conditionalFormatting>
  <conditionalFormatting sqref="C988">
    <cfRule type="expression" dxfId="0" priority="1420">
      <formula>$A989&lt;&gt;""</formula>
    </cfRule>
    <cfRule type="expression" priority="1421">
      <formula>$A989&lt;&gt;""</formula>
    </cfRule>
    <cfRule type="expression" priority="1422">
      <formula>$A$2</formula>
    </cfRule>
  </conditionalFormatting>
  <conditionalFormatting sqref="A989">
    <cfRule type="expression" priority="717">
      <formula>$A$2</formula>
    </cfRule>
    <cfRule type="expression" priority="371">
      <formula>$A990&lt;&gt;""</formula>
    </cfRule>
    <cfRule type="expression" dxfId="0" priority="25">
      <formula>$A990&lt;&gt;""</formula>
    </cfRule>
  </conditionalFormatting>
  <conditionalFormatting sqref="C989">
    <cfRule type="expression" dxfId="0" priority="1405">
      <formula>$A990&lt;&gt;""</formula>
    </cfRule>
    <cfRule type="expression" priority="1406">
      <formula>$A990&lt;&gt;""</formula>
    </cfRule>
    <cfRule type="expression" priority="1407">
      <formula>$A$2</formula>
    </cfRule>
  </conditionalFormatting>
  <conditionalFormatting sqref="C990">
    <cfRule type="expression" dxfId="0" priority="1402">
      <formula>$A991&lt;&gt;""</formula>
    </cfRule>
    <cfRule type="expression" priority="1403">
      <formula>$A991&lt;&gt;""</formula>
    </cfRule>
    <cfRule type="expression" priority="1404">
      <formula>$A$2</formula>
    </cfRule>
  </conditionalFormatting>
  <conditionalFormatting sqref="C991">
    <cfRule type="expression" dxfId="0" priority="1399">
      <formula>$A992&lt;&gt;""</formula>
    </cfRule>
    <cfRule type="expression" priority="1400">
      <formula>$A992&lt;&gt;""</formula>
    </cfRule>
    <cfRule type="expression" priority="1401">
      <formula>$A$2</formula>
    </cfRule>
  </conditionalFormatting>
  <conditionalFormatting sqref="A992">
    <cfRule type="expression" priority="716">
      <formula>$A$2</formula>
    </cfRule>
    <cfRule type="expression" priority="370">
      <formula>$A993&lt;&gt;""</formula>
    </cfRule>
    <cfRule type="expression" dxfId="0" priority="24">
      <formula>$A993&lt;&gt;""</formula>
    </cfRule>
  </conditionalFormatting>
  <conditionalFormatting sqref="C992">
    <cfRule type="expression" dxfId="0" priority="1384">
      <formula>$A993&lt;&gt;""</formula>
    </cfRule>
    <cfRule type="expression" priority="1385">
      <formula>$A993&lt;&gt;""</formula>
    </cfRule>
    <cfRule type="expression" priority="1386">
      <formula>$A$2</formula>
    </cfRule>
  </conditionalFormatting>
  <conditionalFormatting sqref="C993">
    <cfRule type="expression" dxfId="0" priority="1381">
      <formula>$A994&lt;&gt;""</formula>
    </cfRule>
    <cfRule type="expression" priority="1382">
      <formula>$A994&lt;&gt;""</formula>
    </cfRule>
    <cfRule type="expression" priority="1383">
      <formula>$A$2</formula>
    </cfRule>
  </conditionalFormatting>
  <conditionalFormatting sqref="C994">
    <cfRule type="expression" dxfId="0" priority="1378">
      <formula>$A995&lt;&gt;""</formula>
    </cfRule>
    <cfRule type="expression" priority="1379">
      <formula>$A995&lt;&gt;""</formula>
    </cfRule>
    <cfRule type="expression" priority="1380">
      <formula>$A$2</formula>
    </cfRule>
  </conditionalFormatting>
  <conditionalFormatting sqref="A995">
    <cfRule type="expression" priority="715">
      <formula>$A$2</formula>
    </cfRule>
    <cfRule type="expression" priority="369">
      <formula>$A996&lt;&gt;""</formula>
    </cfRule>
    <cfRule type="expression" dxfId="0" priority="23">
      <formula>$A996&lt;&gt;""</formula>
    </cfRule>
  </conditionalFormatting>
  <conditionalFormatting sqref="C995">
    <cfRule type="expression" dxfId="0" priority="1363">
      <formula>$A996&lt;&gt;""</formula>
    </cfRule>
    <cfRule type="expression" priority="1364">
      <formula>$A996&lt;&gt;""</formula>
    </cfRule>
    <cfRule type="expression" priority="1365">
      <formula>$A$2</formula>
    </cfRule>
  </conditionalFormatting>
  <conditionalFormatting sqref="C996">
    <cfRule type="expression" dxfId="0" priority="1360">
      <formula>$A997&lt;&gt;""</formula>
    </cfRule>
    <cfRule type="expression" priority="1361">
      <formula>$A997&lt;&gt;""</formula>
    </cfRule>
    <cfRule type="expression" priority="1362">
      <formula>$A$2</formula>
    </cfRule>
  </conditionalFormatting>
  <conditionalFormatting sqref="C997">
    <cfRule type="expression" dxfId="0" priority="1357">
      <formula>$A998&lt;&gt;""</formula>
    </cfRule>
    <cfRule type="expression" priority="1358">
      <formula>$A998&lt;&gt;""</formula>
    </cfRule>
    <cfRule type="expression" priority="1359">
      <formula>$A$2</formula>
    </cfRule>
  </conditionalFormatting>
  <conditionalFormatting sqref="A998">
    <cfRule type="expression" priority="714">
      <formula>$A$2</formula>
    </cfRule>
    <cfRule type="expression" priority="368">
      <formula>$A999&lt;&gt;""</formula>
    </cfRule>
    <cfRule type="expression" dxfId="0" priority="22">
      <formula>$A999&lt;&gt;""</formula>
    </cfRule>
  </conditionalFormatting>
  <conditionalFormatting sqref="C998">
    <cfRule type="expression" dxfId="0" priority="1342">
      <formula>$A999&lt;&gt;""</formula>
    </cfRule>
    <cfRule type="expression" priority="1343">
      <formula>$A999&lt;&gt;""</formula>
    </cfRule>
    <cfRule type="expression" priority="1344">
      <formula>$A$2</formula>
    </cfRule>
  </conditionalFormatting>
  <conditionalFormatting sqref="C999">
    <cfRule type="expression" dxfId="0" priority="1339">
      <formula>$A1000&lt;&gt;""</formula>
    </cfRule>
    <cfRule type="expression" priority="1340">
      <formula>$A1000&lt;&gt;""</formula>
    </cfRule>
    <cfRule type="expression" priority="1341">
      <formula>$A$2</formula>
    </cfRule>
  </conditionalFormatting>
  <conditionalFormatting sqref="C1000">
    <cfRule type="expression" dxfId="0" priority="1336">
      <formula>$A1001&lt;&gt;""</formula>
    </cfRule>
    <cfRule type="expression" priority="1337">
      <formula>$A1001&lt;&gt;""</formula>
    </cfRule>
    <cfRule type="expression" priority="1338">
      <formula>$A$2</formula>
    </cfRule>
  </conditionalFormatting>
  <conditionalFormatting sqref="A1001">
    <cfRule type="expression" priority="713">
      <formula>$A$2</formula>
    </cfRule>
    <cfRule type="expression" priority="367">
      <formula>$A1002&lt;&gt;""</formula>
    </cfRule>
    <cfRule type="expression" dxfId="0" priority="21">
      <formula>$A1002&lt;&gt;""</formula>
    </cfRule>
  </conditionalFormatting>
  <conditionalFormatting sqref="C1001">
    <cfRule type="expression" dxfId="0" priority="1321">
      <formula>$A1002&lt;&gt;""</formula>
    </cfRule>
    <cfRule type="expression" priority="1322">
      <formula>$A1002&lt;&gt;""</formula>
    </cfRule>
    <cfRule type="expression" priority="1323">
      <formula>$A$2</formula>
    </cfRule>
  </conditionalFormatting>
  <conditionalFormatting sqref="C1002">
    <cfRule type="expression" dxfId="0" priority="1318">
      <formula>$A1003&lt;&gt;""</formula>
    </cfRule>
    <cfRule type="expression" priority="1319">
      <formula>$A1003&lt;&gt;""</formula>
    </cfRule>
    <cfRule type="expression" priority="1320">
      <formula>$A$2</formula>
    </cfRule>
  </conditionalFormatting>
  <conditionalFormatting sqref="C1003">
    <cfRule type="expression" dxfId="0" priority="1315">
      <formula>$A1004&lt;&gt;""</formula>
    </cfRule>
    <cfRule type="expression" priority="1316">
      <formula>$A1004&lt;&gt;""</formula>
    </cfRule>
    <cfRule type="expression" priority="1317">
      <formula>$A$2</formula>
    </cfRule>
  </conditionalFormatting>
  <conditionalFormatting sqref="A1004">
    <cfRule type="expression" priority="712">
      <formula>$A$2</formula>
    </cfRule>
    <cfRule type="expression" priority="366">
      <formula>$A1005&lt;&gt;""</formula>
    </cfRule>
    <cfRule type="expression" dxfId="0" priority="20">
      <formula>$A1005&lt;&gt;""</formula>
    </cfRule>
  </conditionalFormatting>
  <conditionalFormatting sqref="C1004">
    <cfRule type="expression" dxfId="0" priority="1300">
      <formula>$A1005&lt;&gt;""</formula>
    </cfRule>
    <cfRule type="expression" priority="1301">
      <formula>$A1005&lt;&gt;""</formula>
    </cfRule>
    <cfRule type="expression" priority="1302">
      <formula>$A$2</formula>
    </cfRule>
  </conditionalFormatting>
  <conditionalFormatting sqref="C1005">
    <cfRule type="expression" dxfId="0" priority="1297">
      <formula>$A1006&lt;&gt;""</formula>
    </cfRule>
    <cfRule type="expression" priority="1298">
      <formula>$A1006&lt;&gt;""</formula>
    </cfRule>
    <cfRule type="expression" priority="1299">
      <formula>$A$2</formula>
    </cfRule>
  </conditionalFormatting>
  <conditionalFormatting sqref="C1006">
    <cfRule type="expression" dxfId="0" priority="1294">
      <formula>$A1007&lt;&gt;""</formula>
    </cfRule>
    <cfRule type="expression" priority="1295">
      <formula>$A1007&lt;&gt;""</formula>
    </cfRule>
    <cfRule type="expression" priority="1296">
      <formula>$A$2</formula>
    </cfRule>
  </conditionalFormatting>
  <conditionalFormatting sqref="A1007">
    <cfRule type="expression" priority="711">
      <formula>$A$2</formula>
    </cfRule>
    <cfRule type="expression" priority="365">
      <formula>$A1008&lt;&gt;""</formula>
    </cfRule>
    <cfRule type="expression" dxfId="0" priority="19">
      <formula>$A1008&lt;&gt;""</formula>
    </cfRule>
  </conditionalFormatting>
  <conditionalFormatting sqref="C1007">
    <cfRule type="expression" dxfId="0" priority="1265">
      <formula>$A1008&lt;&gt;""</formula>
    </cfRule>
    <cfRule type="expression" priority="1267">
      <formula>$A1008&lt;&gt;""</formula>
    </cfRule>
    <cfRule type="expression" priority="1269">
      <formula>$A$2</formula>
    </cfRule>
  </conditionalFormatting>
  <conditionalFormatting sqref="C1008">
    <cfRule type="expression" dxfId="0" priority="1259">
      <formula>$A1009&lt;&gt;""</formula>
    </cfRule>
    <cfRule type="expression" priority="1261">
      <formula>$A1009&lt;&gt;""</formula>
    </cfRule>
    <cfRule type="expression" priority="1263">
      <formula>$A$2</formula>
    </cfRule>
  </conditionalFormatting>
  <conditionalFormatting sqref="C1009">
    <cfRule type="expression" dxfId="0" priority="1253">
      <formula>$A1010&lt;&gt;""</formula>
    </cfRule>
    <cfRule type="expression" priority="1255">
      <formula>$A1010&lt;&gt;""</formula>
    </cfRule>
    <cfRule type="expression" priority="1257">
      <formula>$A$2</formula>
    </cfRule>
  </conditionalFormatting>
  <conditionalFormatting sqref="A1010">
    <cfRule type="expression" priority="710">
      <formula>$A$2</formula>
    </cfRule>
    <cfRule type="expression" priority="364">
      <formula>$A1011&lt;&gt;""</formula>
    </cfRule>
    <cfRule type="expression" dxfId="0" priority="18">
      <formula>$A1011&lt;&gt;""</formula>
    </cfRule>
  </conditionalFormatting>
  <conditionalFormatting sqref="C1010">
    <cfRule type="expression" dxfId="0" priority="1264">
      <formula>$A1011&lt;&gt;""</formula>
    </cfRule>
    <cfRule type="expression" priority="1266">
      <formula>$A1011&lt;&gt;""</formula>
    </cfRule>
    <cfRule type="expression" priority="1268">
      <formula>$A$2</formula>
    </cfRule>
  </conditionalFormatting>
  <conditionalFormatting sqref="C1011">
    <cfRule type="expression" dxfId="0" priority="1258">
      <formula>$A1012&lt;&gt;""</formula>
    </cfRule>
    <cfRule type="expression" priority="1260">
      <formula>$A1012&lt;&gt;""</formula>
    </cfRule>
    <cfRule type="expression" priority="1262">
      <formula>$A$2</formula>
    </cfRule>
  </conditionalFormatting>
  <conditionalFormatting sqref="C1012">
    <cfRule type="expression" dxfId="0" priority="1252">
      <formula>$A1013&lt;&gt;""</formula>
    </cfRule>
    <cfRule type="expression" priority="1254">
      <formula>$A1013&lt;&gt;""</formula>
    </cfRule>
    <cfRule type="expression" priority="1256">
      <formula>$A$2</formula>
    </cfRule>
  </conditionalFormatting>
  <conditionalFormatting sqref="A1013">
    <cfRule type="expression" priority="709">
      <formula>$A$2</formula>
    </cfRule>
    <cfRule type="expression" priority="363">
      <formula>$A1014&lt;&gt;""</formula>
    </cfRule>
    <cfRule type="expression" dxfId="0" priority="17">
      <formula>$A1014&lt;&gt;""</formula>
    </cfRule>
  </conditionalFormatting>
  <conditionalFormatting sqref="C1013">
    <cfRule type="expression" dxfId="0" priority="1195">
      <formula>$A1014&lt;&gt;""</formula>
    </cfRule>
    <cfRule type="expression" priority="1199">
      <formula>$A1014&lt;&gt;""</formula>
    </cfRule>
    <cfRule type="expression" priority="1203">
      <formula>$A$2</formula>
    </cfRule>
  </conditionalFormatting>
  <conditionalFormatting sqref="C1014">
    <cfRule type="expression" dxfId="0" priority="1183">
      <formula>$A1015&lt;&gt;""</formula>
    </cfRule>
    <cfRule type="expression" priority="1187">
      <formula>$A1015&lt;&gt;""</formula>
    </cfRule>
    <cfRule type="expression" priority="1191">
      <formula>$A$2</formula>
    </cfRule>
  </conditionalFormatting>
  <conditionalFormatting sqref="C1015">
    <cfRule type="expression" dxfId="0" priority="1171">
      <formula>$A1016&lt;&gt;""</formula>
    </cfRule>
    <cfRule type="expression" priority="1175">
      <formula>$A1016&lt;&gt;""</formula>
    </cfRule>
    <cfRule type="expression" priority="1179">
      <formula>$A$2</formula>
    </cfRule>
  </conditionalFormatting>
  <conditionalFormatting sqref="A1016">
    <cfRule type="expression" priority="708">
      <formula>$A$2</formula>
    </cfRule>
    <cfRule type="expression" priority="362">
      <formula>$A1017&lt;&gt;""</formula>
    </cfRule>
    <cfRule type="expression" dxfId="0" priority="16">
      <formula>$A1017&lt;&gt;""</formula>
    </cfRule>
  </conditionalFormatting>
  <conditionalFormatting sqref="C1016">
    <cfRule type="expression" dxfId="0" priority="1194">
      <formula>$A1017&lt;&gt;""</formula>
    </cfRule>
    <cfRule type="expression" priority="1198">
      <formula>$A1017&lt;&gt;""</formula>
    </cfRule>
    <cfRule type="expression" priority="1202">
      <formula>$A$2</formula>
    </cfRule>
  </conditionalFormatting>
  <conditionalFormatting sqref="C1017">
    <cfRule type="expression" dxfId="0" priority="1182">
      <formula>$A1018&lt;&gt;""</formula>
    </cfRule>
    <cfRule type="expression" priority="1186">
      <formula>$A1018&lt;&gt;""</formula>
    </cfRule>
    <cfRule type="expression" priority="1190">
      <formula>$A$2</formula>
    </cfRule>
  </conditionalFormatting>
  <conditionalFormatting sqref="C1018">
    <cfRule type="expression" dxfId="0" priority="1170">
      <formula>$A1019&lt;&gt;""</formula>
    </cfRule>
    <cfRule type="expression" priority="1174">
      <formula>$A1019&lt;&gt;""</formula>
    </cfRule>
    <cfRule type="expression" priority="1178">
      <formula>$A$2</formula>
    </cfRule>
  </conditionalFormatting>
  <conditionalFormatting sqref="A1019">
    <cfRule type="expression" priority="707">
      <formula>$A$2</formula>
    </cfRule>
    <cfRule type="expression" priority="361">
      <formula>$A1020&lt;&gt;""</formula>
    </cfRule>
    <cfRule type="expression" dxfId="0" priority="15">
      <formula>$A1020&lt;&gt;""</formula>
    </cfRule>
  </conditionalFormatting>
  <conditionalFormatting sqref="C1019">
    <cfRule type="expression" dxfId="0" priority="1193">
      <formula>$A1020&lt;&gt;""</formula>
    </cfRule>
    <cfRule type="expression" priority="1197">
      <formula>$A1020&lt;&gt;""</formula>
    </cfRule>
    <cfRule type="expression" priority="1201">
      <formula>$A$2</formula>
    </cfRule>
  </conditionalFormatting>
  <conditionalFormatting sqref="C1020">
    <cfRule type="expression" dxfId="0" priority="1181">
      <formula>$A1021&lt;&gt;""</formula>
    </cfRule>
    <cfRule type="expression" priority="1185">
      <formula>$A1021&lt;&gt;""</formula>
    </cfRule>
    <cfRule type="expression" priority="1189">
      <formula>$A$2</formula>
    </cfRule>
  </conditionalFormatting>
  <conditionalFormatting sqref="C1021">
    <cfRule type="expression" dxfId="0" priority="1169">
      <formula>$A1022&lt;&gt;""</formula>
    </cfRule>
    <cfRule type="expression" priority="1173">
      <formula>$A1022&lt;&gt;""</formula>
    </cfRule>
    <cfRule type="expression" priority="1177">
      <formula>$A$2</formula>
    </cfRule>
  </conditionalFormatting>
  <conditionalFormatting sqref="A1022">
    <cfRule type="expression" priority="706">
      <formula>$A$2</formula>
    </cfRule>
    <cfRule type="expression" priority="360">
      <formula>$A1023&lt;&gt;""</formula>
    </cfRule>
    <cfRule type="expression" dxfId="0" priority="14">
      <formula>$A1023&lt;&gt;""</formula>
    </cfRule>
  </conditionalFormatting>
  <conditionalFormatting sqref="C1022">
    <cfRule type="expression" dxfId="0" priority="1192">
      <formula>$A1023&lt;&gt;""</formula>
    </cfRule>
    <cfRule type="expression" priority="1196">
      <formula>$A1023&lt;&gt;""</formula>
    </cfRule>
    <cfRule type="expression" priority="1200">
      <formula>$A$2</formula>
    </cfRule>
  </conditionalFormatting>
  <conditionalFormatting sqref="C1023">
    <cfRule type="expression" dxfId="0" priority="1180">
      <formula>$A1024&lt;&gt;""</formula>
    </cfRule>
    <cfRule type="expression" priority="1184">
      <formula>$A1024&lt;&gt;""</formula>
    </cfRule>
    <cfRule type="expression" priority="1188">
      <formula>$A$2</formula>
    </cfRule>
  </conditionalFormatting>
  <conditionalFormatting sqref="C1024">
    <cfRule type="expression" dxfId="0" priority="1168">
      <formula>$A1025&lt;&gt;""</formula>
    </cfRule>
    <cfRule type="expression" priority="1172">
      <formula>$A1025&lt;&gt;""</formula>
    </cfRule>
    <cfRule type="expression" priority="1176">
      <formula>$A$2</formula>
    </cfRule>
  </conditionalFormatting>
  <conditionalFormatting sqref="A1025">
    <cfRule type="expression" priority="705">
      <formula>$A$2</formula>
    </cfRule>
    <cfRule type="expression" priority="359">
      <formula>$A1026&lt;&gt;""</formula>
    </cfRule>
    <cfRule type="expression" dxfId="0" priority="13">
      <formula>$A1026&lt;&gt;""</formula>
    </cfRule>
  </conditionalFormatting>
  <conditionalFormatting sqref="C1025">
    <cfRule type="expression" dxfId="0" priority="1153">
      <formula>$A1026&lt;&gt;""</formula>
    </cfRule>
    <cfRule type="expression" priority="1154">
      <formula>$A1026&lt;&gt;""</formula>
    </cfRule>
    <cfRule type="expression" priority="1155">
      <formula>$A$2</formula>
    </cfRule>
  </conditionalFormatting>
  <conditionalFormatting sqref="C1026">
    <cfRule type="expression" dxfId="0" priority="1150">
      <formula>$A1027&lt;&gt;""</formula>
    </cfRule>
    <cfRule type="expression" priority="1151">
      <formula>$A1027&lt;&gt;""</formula>
    </cfRule>
    <cfRule type="expression" priority="1152">
      <formula>$A$2</formula>
    </cfRule>
  </conditionalFormatting>
  <conditionalFormatting sqref="C1027">
    <cfRule type="expression" dxfId="0" priority="1147">
      <formula>$A1028&lt;&gt;""</formula>
    </cfRule>
    <cfRule type="expression" priority="1148">
      <formula>$A1028&lt;&gt;""</formula>
    </cfRule>
    <cfRule type="expression" priority="1149">
      <formula>$A$2</formula>
    </cfRule>
  </conditionalFormatting>
  <conditionalFormatting sqref="A1028">
    <cfRule type="expression" priority="704">
      <formula>$A$2</formula>
    </cfRule>
    <cfRule type="expression" priority="358">
      <formula>$A1029&lt;&gt;""</formula>
    </cfRule>
    <cfRule type="expression" dxfId="0" priority="12">
      <formula>$A1029&lt;&gt;""</formula>
    </cfRule>
  </conditionalFormatting>
  <conditionalFormatting sqref="C1028">
    <cfRule type="expression" dxfId="0" priority="1118">
      <formula>$A1029&lt;&gt;""</formula>
    </cfRule>
    <cfRule type="expression" priority="1120">
      <formula>$A1029&lt;&gt;""</formula>
    </cfRule>
    <cfRule type="expression" priority="1122">
      <formula>$A$2</formula>
    </cfRule>
  </conditionalFormatting>
  <conditionalFormatting sqref="C1029">
    <cfRule type="expression" dxfId="0" priority="1112">
      <formula>$A1030&lt;&gt;""</formula>
    </cfRule>
    <cfRule type="expression" priority="1114">
      <formula>$A1030&lt;&gt;""</formula>
    </cfRule>
    <cfRule type="expression" priority="1116">
      <formula>$A$2</formula>
    </cfRule>
  </conditionalFormatting>
  <conditionalFormatting sqref="C1030">
    <cfRule type="expression" dxfId="0" priority="1106">
      <formula>$A1031&lt;&gt;""</formula>
    </cfRule>
    <cfRule type="expression" priority="1108">
      <formula>$A1031&lt;&gt;""</formula>
    </cfRule>
    <cfRule type="expression" priority="1110">
      <formula>$A$2</formula>
    </cfRule>
  </conditionalFormatting>
  <conditionalFormatting sqref="A1031">
    <cfRule type="expression" priority="703">
      <formula>$A$2</formula>
    </cfRule>
    <cfRule type="expression" priority="357">
      <formula>$A1032&lt;&gt;""</formula>
    </cfRule>
    <cfRule type="expression" dxfId="0" priority="11">
      <formula>$A1032&lt;&gt;""</formula>
    </cfRule>
  </conditionalFormatting>
  <conditionalFormatting sqref="C1031">
    <cfRule type="expression" dxfId="0" priority="1117">
      <formula>$A1032&lt;&gt;""</formula>
    </cfRule>
    <cfRule type="expression" priority="1119">
      <formula>$A1032&lt;&gt;""</formula>
    </cfRule>
    <cfRule type="expression" priority="1121">
      <formula>$A$2</formula>
    </cfRule>
  </conditionalFormatting>
  <conditionalFormatting sqref="C1032">
    <cfRule type="expression" dxfId="0" priority="1111">
      <formula>$A1033&lt;&gt;""</formula>
    </cfRule>
    <cfRule type="expression" priority="1113">
      <formula>$A1033&lt;&gt;""</formula>
    </cfRule>
    <cfRule type="expression" priority="1115">
      <formula>$A$2</formula>
    </cfRule>
  </conditionalFormatting>
  <conditionalFormatting sqref="C1033">
    <cfRule type="expression" dxfId="0" priority="1105">
      <formula>$A1046&lt;&gt;""</formula>
    </cfRule>
    <cfRule type="expression" priority="1107">
      <formula>$A1046&lt;&gt;""</formula>
    </cfRule>
    <cfRule type="expression" priority="1109">
      <formula>$A$2</formula>
    </cfRule>
  </conditionalFormatting>
  <conditionalFormatting sqref="A1034">
    <cfRule type="expression" priority="702">
      <formula>$A$2</formula>
    </cfRule>
    <cfRule type="expression" priority="356">
      <formula>$A1035&lt;&gt;""</formula>
    </cfRule>
    <cfRule type="expression" dxfId="0" priority="10">
      <formula>$A1035&lt;&gt;""</formula>
    </cfRule>
  </conditionalFormatting>
  <conditionalFormatting sqref="C1034">
    <cfRule type="expression" priority="1080">
      <formula>$A$2</formula>
    </cfRule>
    <cfRule type="expression" priority="1079">
      <formula>$A1035&lt;&gt;""</formula>
    </cfRule>
    <cfRule type="expression" dxfId="0" priority="1078">
      <formula>$A1035&lt;&gt;""</formula>
    </cfRule>
  </conditionalFormatting>
  <conditionalFormatting sqref="C1035">
    <cfRule type="expression" priority="1077">
      <formula>$A$2</formula>
    </cfRule>
    <cfRule type="expression" priority="1076">
      <formula>$A1036&lt;&gt;""</formula>
    </cfRule>
    <cfRule type="expression" dxfId="0" priority="1075">
      <formula>$A1036&lt;&gt;""</formula>
    </cfRule>
  </conditionalFormatting>
  <conditionalFormatting sqref="C1036">
    <cfRule type="expression" priority="1074">
      <formula>$A$2</formula>
    </cfRule>
    <cfRule type="expression" priority="1073">
      <formula>$A1049&lt;&gt;""</formula>
    </cfRule>
    <cfRule type="expression" dxfId="0" priority="1072">
      <formula>$A1049&lt;&gt;""</formula>
    </cfRule>
  </conditionalFormatting>
  <conditionalFormatting sqref="A1037">
    <cfRule type="expression" priority="701">
      <formula>$A$2</formula>
    </cfRule>
    <cfRule type="expression" priority="355">
      <formula>$A1038&lt;&gt;""</formula>
    </cfRule>
    <cfRule type="expression" dxfId="0" priority="9">
      <formula>$A1038&lt;&gt;""</formula>
    </cfRule>
  </conditionalFormatting>
  <conditionalFormatting sqref="C1037">
    <cfRule type="expression" priority="1071">
      <formula>$A$2</formula>
    </cfRule>
    <cfRule type="expression" priority="1070">
      <formula>$A1038&lt;&gt;""</formula>
    </cfRule>
    <cfRule type="expression" dxfId="0" priority="1069">
      <formula>$A1038&lt;&gt;""</formula>
    </cfRule>
  </conditionalFormatting>
  <conditionalFormatting sqref="C1038">
    <cfRule type="expression" priority="1068">
      <formula>$A$2</formula>
    </cfRule>
    <cfRule type="expression" priority="1067">
      <formula>$A1039&lt;&gt;""</formula>
    </cfRule>
    <cfRule type="expression" dxfId="0" priority="1066">
      <formula>$A1039&lt;&gt;""</formula>
    </cfRule>
  </conditionalFormatting>
  <conditionalFormatting sqref="C1039">
    <cfRule type="expression" priority="1065">
      <formula>$A$2</formula>
    </cfRule>
    <cfRule type="expression" priority="1064">
      <formula>$A1052&lt;&gt;""</formula>
    </cfRule>
    <cfRule type="expression" dxfId="0" priority="1063">
      <formula>$A1052&lt;&gt;""</formula>
    </cfRule>
  </conditionalFormatting>
  <conditionalFormatting sqref="A1040">
    <cfRule type="expression" priority="700">
      <formula>$A$2</formula>
    </cfRule>
    <cfRule type="expression" priority="354">
      <formula>$A1041&lt;&gt;""</formula>
    </cfRule>
    <cfRule type="expression" dxfId="0" priority="8">
      <formula>$A1041&lt;&gt;""</formula>
    </cfRule>
  </conditionalFormatting>
  <conditionalFormatting sqref="C1040">
    <cfRule type="expression" priority="1062">
      <formula>$A$2</formula>
    </cfRule>
    <cfRule type="expression" priority="1061">
      <formula>$A1041&lt;&gt;""</formula>
    </cfRule>
    <cfRule type="expression" dxfId="0" priority="1060">
      <formula>$A1041&lt;&gt;""</formula>
    </cfRule>
  </conditionalFormatting>
  <conditionalFormatting sqref="C1041">
    <cfRule type="expression" priority="1059">
      <formula>$A$2</formula>
    </cfRule>
    <cfRule type="expression" priority="1058">
      <formula>$A1042&lt;&gt;""</formula>
    </cfRule>
    <cfRule type="expression" dxfId="0" priority="1057">
      <formula>$A1042&lt;&gt;""</formula>
    </cfRule>
  </conditionalFormatting>
  <conditionalFormatting sqref="C1042">
    <cfRule type="expression" priority="1056">
      <formula>$A$2</formula>
    </cfRule>
    <cfRule type="expression" priority="1055">
      <formula>$A1055&lt;&gt;""</formula>
    </cfRule>
    <cfRule type="expression" dxfId="0" priority="1054">
      <formula>$A1055&lt;&gt;""</formula>
    </cfRule>
  </conditionalFormatting>
  <conditionalFormatting sqref="A1043">
    <cfRule type="expression" priority="699">
      <formula>$A$2</formula>
    </cfRule>
    <cfRule type="expression" priority="353">
      <formula>$A1044&lt;&gt;""</formula>
    </cfRule>
    <cfRule type="expression" dxfId="0" priority="7">
      <formula>$A1044&lt;&gt;""</formula>
    </cfRule>
  </conditionalFormatting>
  <conditionalFormatting sqref="C1043">
    <cfRule type="expression" priority="1053">
      <formula>$A$2</formula>
    </cfRule>
    <cfRule type="expression" priority="1052">
      <formula>$A1044&lt;&gt;""</formula>
    </cfRule>
    <cfRule type="expression" dxfId="0" priority="1051">
      <formula>$A1044&lt;&gt;""</formula>
    </cfRule>
  </conditionalFormatting>
  <conditionalFormatting sqref="C1044">
    <cfRule type="expression" priority="1050">
      <formula>$A$2</formula>
    </cfRule>
    <cfRule type="expression" priority="1049">
      <formula>$A1045&lt;&gt;""</formula>
    </cfRule>
    <cfRule type="expression" dxfId="0" priority="1048">
      <formula>$A1045&lt;&gt;""</formula>
    </cfRule>
  </conditionalFormatting>
  <conditionalFormatting sqref="C1045">
    <cfRule type="expression" priority="1047">
      <formula>$A$2</formula>
    </cfRule>
    <cfRule type="expression" priority="1046">
      <formula>$A1058&lt;&gt;""</formula>
    </cfRule>
    <cfRule type="expression" dxfId="0" priority="1045">
      <formula>$A1058&lt;&gt;""</formula>
    </cfRule>
  </conditionalFormatting>
  <conditionalFormatting sqref="C1046">
    <cfRule type="expression" dxfId="0" priority="1090">
      <formula>$A1047&lt;&gt;""</formula>
    </cfRule>
    <cfRule type="expression" priority="1091">
      <formula>$A1047&lt;&gt;""</formula>
    </cfRule>
    <cfRule type="expression" priority="1092">
      <formula>$A$2</formula>
    </cfRule>
  </conditionalFormatting>
  <conditionalFormatting sqref="C1047">
    <cfRule type="expression" dxfId="0" priority="1087">
      <formula>$A1048&lt;&gt;""</formula>
    </cfRule>
    <cfRule type="expression" priority="1088">
      <formula>$A1048&lt;&gt;""</formula>
    </cfRule>
    <cfRule type="expression" priority="1089">
      <formula>$A$2</formula>
    </cfRule>
  </conditionalFormatting>
  <conditionalFormatting sqref="C1048">
    <cfRule type="expression" dxfId="0" priority="1084">
      <formula>$A1049&lt;&gt;""</formula>
    </cfRule>
    <cfRule type="expression" priority="1085">
      <formula>$A1049&lt;&gt;""</formula>
    </cfRule>
    <cfRule type="expression" priority="1086">
      <formula>$A$2</formula>
    </cfRule>
  </conditionalFormatting>
  <conditionalFormatting sqref="E897:E910">
    <cfRule type="expression" dxfId="0" priority="1891">
      <formula>$A898&lt;&gt;""</formula>
    </cfRule>
    <cfRule type="expression" priority="1892">
      <formula>$A898&lt;&gt;""</formula>
    </cfRule>
    <cfRule type="expression" priority="1893">
      <formula>$A$2</formula>
    </cfRule>
  </conditionalFormatting>
  <conditionalFormatting sqref="E911:E941">
    <cfRule type="expression" dxfId="0" priority="1777">
      <formula>$A912&lt;&gt;""</formula>
    </cfRule>
    <cfRule type="expression" priority="1778">
      <formula>$A912&lt;&gt;""</formula>
    </cfRule>
    <cfRule type="expression" priority="1779">
      <formula>$A$2</formula>
    </cfRule>
  </conditionalFormatting>
  <conditionalFormatting sqref="E942:E964">
    <cfRule type="expression" dxfId="0" priority="1669">
      <formula>$A943&lt;&gt;""</formula>
    </cfRule>
    <cfRule type="expression" priority="1670">
      <formula>$A943&lt;&gt;""</formula>
    </cfRule>
    <cfRule type="expression" priority="1671">
      <formula>$A$2</formula>
    </cfRule>
  </conditionalFormatting>
  <conditionalFormatting sqref="E965:E967">
    <cfRule type="expression" dxfId="0" priority="1576">
      <formula>$A966&lt;&gt;""</formula>
    </cfRule>
    <cfRule type="expression" priority="1577">
      <formula>$A966&lt;&gt;""</formula>
    </cfRule>
    <cfRule type="expression" priority="1578">
      <formula>$A$2</formula>
    </cfRule>
  </conditionalFormatting>
  <conditionalFormatting sqref="E968:E970">
    <cfRule type="expression" dxfId="0" priority="1555">
      <formula>$A969&lt;&gt;""</formula>
    </cfRule>
    <cfRule type="expression" priority="1556">
      <formula>$A969&lt;&gt;""</formula>
    </cfRule>
    <cfRule type="expression" priority="1557">
      <formula>$A$2</formula>
    </cfRule>
  </conditionalFormatting>
  <conditionalFormatting sqref="E971:E973">
    <cfRule type="expression" dxfId="0" priority="1534">
      <formula>$A972&lt;&gt;""</formula>
    </cfRule>
    <cfRule type="expression" priority="1535">
      <formula>$A972&lt;&gt;""</formula>
    </cfRule>
    <cfRule type="expression" priority="1536">
      <formula>$A$2</formula>
    </cfRule>
  </conditionalFormatting>
  <conditionalFormatting sqref="E974:E976">
    <cfRule type="expression" dxfId="0" priority="1513">
      <formula>$A975&lt;&gt;""</formula>
    </cfRule>
    <cfRule type="expression" priority="1514">
      <formula>$A975&lt;&gt;""</formula>
    </cfRule>
    <cfRule type="expression" priority="1515">
      <formula>$A$2</formula>
    </cfRule>
  </conditionalFormatting>
  <conditionalFormatting sqref="E977:E979">
    <cfRule type="expression" dxfId="0" priority="1492">
      <formula>$A978&lt;&gt;""</formula>
    </cfRule>
    <cfRule type="expression" priority="1493">
      <formula>$A978&lt;&gt;""</formula>
    </cfRule>
    <cfRule type="expression" priority="1494">
      <formula>$A$2</formula>
    </cfRule>
  </conditionalFormatting>
  <conditionalFormatting sqref="E980:E982">
    <cfRule type="expression" dxfId="0" priority="1471">
      <formula>$A981&lt;&gt;""</formula>
    </cfRule>
    <cfRule type="expression" priority="1472">
      <formula>$A981&lt;&gt;""</formula>
    </cfRule>
    <cfRule type="expression" priority="1473">
      <formula>$A$2</formula>
    </cfRule>
  </conditionalFormatting>
  <conditionalFormatting sqref="E983:E985">
    <cfRule type="expression" dxfId="0" priority="1450">
      <formula>$A984&lt;&gt;""</formula>
    </cfRule>
    <cfRule type="expression" priority="1451">
      <formula>$A984&lt;&gt;""</formula>
    </cfRule>
    <cfRule type="expression" priority="1452">
      <formula>$A$2</formula>
    </cfRule>
  </conditionalFormatting>
  <conditionalFormatting sqref="E986:E988">
    <cfRule type="expression" dxfId="0" priority="1429">
      <formula>$A987&lt;&gt;""</formula>
    </cfRule>
    <cfRule type="expression" priority="1430">
      <formula>$A987&lt;&gt;""</formula>
    </cfRule>
    <cfRule type="expression" priority="1431">
      <formula>$A$2</formula>
    </cfRule>
  </conditionalFormatting>
  <conditionalFormatting sqref="E989:E991">
    <cfRule type="expression" dxfId="0" priority="1408">
      <formula>$A990&lt;&gt;""</formula>
    </cfRule>
    <cfRule type="expression" priority="1409">
      <formula>$A990&lt;&gt;""</formula>
    </cfRule>
    <cfRule type="expression" priority="1410">
      <formula>$A$2</formula>
    </cfRule>
  </conditionalFormatting>
  <conditionalFormatting sqref="E992:E994">
    <cfRule type="expression" dxfId="0" priority="1387">
      <formula>$A993&lt;&gt;""</formula>
    </cfRule>
    <cfRule type="expression" priority="1388">
      <formula>$A993&lt;&gt;""</formula>
    </cfRule>
    <cfRule type="expression" priority="1389">
      <formula>$A$2</formula>
    </cfRule>
  </conditionalFormatting>
  <conditionalFormatting sqref="E995:E997">
    <cfRule type="expression" dxfId="0" priority="1366">
      <formula>$A996&lt;&gt;""</formula>
    </cfRule>
    <cfRule type="expression" priority="1367">
      <formula>$A996&lt;&gt;""</formula>
    </cfRule>
    <cfRule type="expression" priority="1368">
      <formula>$A$2</formula>
    </cfRule>
  </conditionalFormatting>
  <conditionalFormatting sqref="E998:E1000">
    <cfRule type="expression" dxfId="0" priority="1345">
      <formula>$A999&lt;&gt;""</formula>
    </cfRule>
    <cfRule type="expression" priority="1346">
      <formula>$A999&lt;&gt;""</formula>
    </cfRule>
    <cfRule type="expression" priority="1347">
      <formula>$A$2</formula>
    </cfRule>
  </conditionalFormatting>
  <conditionalFormatting sqref="E1001:E1003">
    <cfRule type="expression" dxfId="0" priority="1324">
      <formula>$A1002&lt;&gt;""</formula>
    </cfRule>
    <cfRule type="expression" priority="1325">
      <formula>$A1002&lt;&gt;""</formula>
    </cfRule>
    <cfRule type="expression" priority="1326">
      <formula>$A$2</formula>
    </cfRule>
  </conditionalFormatting>
  <conditionalFormatting sqref="E1004:E1006">
    <cfRule type="expression" dxfId="0" priority="1303">
      <formula>$A1005&lt;&gt;""</formula>
    </cfRule>
    <cfRule type="expression" priority="1304">
      <formula>$A1005&lt;&gt;""</formula>
    </cfRule>
    <cfRule type="expression" priority="1305">
      <formula>$A$2</formula>
    </cfRule>
  </conditionalFormatting>
  <conditionalFormatting sqref="E1007:E1009">
    <cfRule type="expression" dxfId="0" priority="1271">
      <formula>$A1008&lt;&gt;""</formula>
    </cfRule>
    <cfRule type="expression" priority="1273">
      <formula>$A1008&lt;&gt;""</formula>
    </cfRule>
    <cfRule type="expression" priority="1275">
      <formula>$A$2</formula>
    </cfRule>
  </conditionalFormatting>
  <conditionalFormatting sqref="E1010:E1012">
    <cfRule type="expression" dxfId="0" priority="1270">
      <formula>$A1011&lt;&gt;""</formula>
    </cfRule>
    <cfRule type="expression" priority="1272">
      <formula>$A1011&lt;&gt;""</formula>
    </cfRule>
    <cfRule type="expression" priority="1274">
      <formula>$A$2</formula>
    </cfRule>
  </conditionalFormatting>
  <conditionalFormatting sqref="E1013:E1015">
    <cfRule type="expression" dxfId="0" priority="1207">
      <formula>$A1014&lt;&gt;""</formula>
    </cfRule>
    <cfRule type="expression" priority="1211">
      <formula>$A1014&lt;&gt;""</formula>
    </cfRule>
    <cfRule type="expression" priority="1215">
      <formula>$A$2</formula>
    </cfRule>
  </conditionalFormatting>
  <conditionalFormatting sqref="E1016:E1018">
    <cfRule type="expression" dxfId="0" priority="1206">
      <formula>$A1017&lt;&gt;""</formula>
    </cfRule>
    <cfRule type="expression" priority="1210">
      <formula>$A1017&lt;&gt;""</formula>
    </cfRule>
    <cfRule type="expression" priority="1214">
      <formula>$A$2</formula>
    </cfRule>
  </conditionalFormatting>
  <conditionalFormatting sqref="E1019:E1021">
    <cfRule type="expression" dxfId="0" priority="1205">
      <formula>$A1020&lt;&gt;""</formula>
    </cfRule>
    <cfRule type="expression" priority="1209">
      <formula>$A1020&lt;&gt;""</formula>
    </cfRule>
    <cfRule type="expression" priority="1213">
      <formula>$A$2</formula>
    </cfRule>
  </conditionalFormatting>
  <conditionalFormatting sqref="E1022:E1024">
    <cfRule type="expression" dxfId="0" priority="1204">
      <formula>$A1023&lt;&gt;""</formula>
    </cfRule>
    <cfRule type="expression" priority="1208">
      <formula>$A1023&lt;&gt;""</formula>
    </cfRule>
    <cfRule type="expression" priority="1212">
      <formula>$A$2</formula>
    </cfRule>
  </conditionalFormatting>
  <conditionalFormatting sqref="E1025:E1027">
    <cfRule type="expression" dxfId="0" priority="1156">
      <formula>$A1026&lt;&gt;""</formula>
    </cfRule>
    <cfRule type="expression" priority="1157">
      <formula>$A1026&lt;&gt;""</formula>
    </cfRule>
    <cfRule type="expression" priority="1158">
      <formula>$A$2</formula>
    </cfRule>
  </conditionalFormatting>
  <conditionalFormatting sqref="E1028:E1030">
    <cfRule type="expression" dxfId="0" priority="1124">
      <formula>$A1029&lt;&gt;""</formula>
    </cfRule>
    <cfRule type="expression" priority="1126">
      <formula>$A1029&lt;&gt;""</formula>
    </cfRule>
    <cfRule type="expression" priority="1128">
      <formula>$A$2</formula>
    </cfRule>
  </conditionalFormatting>
  <conditionalFormatting sqref="E1031:E1032">
    <cfRule type="expression" dxfId="0" priority="1123">
      <formula>$A1032&lt;&gt;""</formula>
    </cfRule>
    <cfRule type="expression" priority="1125">
      <formula>$A1032&lt;&gt;""</formula>
    </cfRule>
    <cfRule type="expression" priority="1127">
      <formula>$A$2</formula>
    </cfRule>
  </conditionalFormatting>
  <conditionalFormatting sqref="E1033:E1045">
    <cfRule type="expression" dxfId="0" priority="2002">
      <formula>$A1046&lt;&gt;""</formula>
    </cfRule>
    <cfRule type="expression" priority="2003">
      <formula>$A1046&lt;&gt;""</formula>
    </cfRule>
    <cfRule type="expression" priority="2004">
      <formula>$A$2</formula>
    </cfRule>
  </conditionalFormatting>
  <conditionalFormatting sqref="E1046:E1048">
    <cfRule type="expression" dxfId="0" priority="1093">
      <formula>$A1047&lt;&gt;""</formula>
    </cfRule>
    <cfRule type="expression" priority="1094">
      <formula>$A1047&lt;&gt;""</formula>
    </cfRule>
    <cfRule type="expression" priority="1095">
      <formula>$A$2</formula>
    </cfRule>
  </conditionalFormatting>
  <conditionalFormatting sqref="F897:F910">
    <cfRule type="expression" dxfId="0" priority="1900">
      <formula>$A898&lt;&gt;""</formula>
    </cfRule>
    <cfRule type="expression" priority="1901">
      <formula>$A898&lt;&gt;""</formula>
    </cfRule>
    <cfRule type="expression" priority="1902">
      <formula>$A$2</formula>
    </cfRule>
  </conditionalFormatting>
  <conditionalFormatting sqref="F911:F941">
    <cfRule type="expression" dxfId="0" priority="1786">
      <formula>$A912&lt;&gt;""</formula>
    </cfRule>
    <cfRule type="expression" priority="1787">
      <formula>$A912&lt;&gt;""</formula>
    </cfRule>
    <cfRule type="expression" priority="1788">
      <formula>$A$2</formula>
    </cfRule>
  </conditionalFormatting>
  <conditionalFormatting sqref="F942:F963">
    <cfRule type="expression" dxfId="0" priority="1678">
      <formula>$A943&lt;&gt;""</formula>
    </cfRule>
    <cfRule type="expression" priority="1679">
      <formula>$A943&lt;&gt;""</formula>
    </cfRule>
    <cfRule type="expression" priority="1680">
      <formula>$A$2</formula>
    </cfRule>
  </conditionalFormatting>
  <conditionalFormatting sqref="F965:F967">
    <cfRule type="expression" dxfId="0" priority="1585">
      <formula>$A966&lt;&gt;""</formula>
    </cfRule>
    <cfRule type="expression" priority="1586">
      <formula>$A966&lt;&gt;""</formula>
    </cfRule>
    <cfRule type="expression" priority="1587">
      <formula>$A$2</formula>
    </cfRule>
  </conditionalFormatting>
  <conditionalFormatting sqref="F968:F970">
    <cfRule type="expression" dxfId="0" priority="1564">
      <formula>$A969&lt;&gt;""</formula>
    </cfRule>
    <cfRule type="expression" priority="1565">
      <formula>$A969&lt;&gt;""</formula>
    </cfRule>
    <cfRule type="expression" priority="1566">
      <formula>$A$2</formula>
    </cfRule>
  </conditionalFormatting>
  <conditionalFormatting sqref="F971:F973">
    <cfRule type="expression" dxfId="0" priority="1543">
      <formula>$A972&lt;&gt;""</formula>
    </cfRule>
    <cfRule type="expression" priority="1544">
      <formula>$A972&lt;&gt;""</formula>
    </cfRule>
    <cfRule type="expression" priority="1545">
      <formula>$A$2</formula>
    </cfRule>
  </conditionalFormatting>
  <conditionalFormatting sqref="F974:F976">
    <cfRule type="expression" dxfId="0" priority="1522">
      <formula>$A975&lt;&gt;""</formula>
    </cfRule>
    <cfRule type="expression" priority="1523">
      <formula>$A975&lt;&gt;""</formula>
    </cfRule>
    <cfRule type="expression" priority="1524">
      <formula>$A$2</formula>
    </cfRule>
  </conditionalFormatting>
  <conditionalFormatting sqref="F977:F979">
    <cfRule type="expression" dxfId="0" priority="1501">
      <formula>$A978&lt;&gt;""</formula>
    </cfRule>
    <cfRule type="expression" priority="1502">
      <formula>$A978&lt;&gt;""</formula>
    </cfRule>
    <cfRule type="expression" priority="1503">
      <formula>$A$2</formula>
    </cfRule>
  </conditionalFormatting>
  <conditionalFormatting sqref="F980:F982">
    <cfRule type="expression" dxfId="0" priority="1480">
      <formula>$A981&lt;&gt;""</formula>
    </cfRule>
    <cfRule type="expression" priority="1481">
      <formula>$A981&lt;&gt;""</formula>
    </cfRule>
    <cfRule type="expression" priority="1482">
      <formula>$A$2</formula>
    </cfRule>
  </conditionalFormatting>
  <conditionalFormatting sqref="F983:F985">
    <cfRule type="expression" dxfId="0" priority="1459">
      <formula>$A984&lt;&gt;""</formula>
    </cfRule>
    <cfRule type="expression" priority="1460">
      <formula>$A984&lt;&gt;""</formula>
    </cfRule>
    <cfRule type="expression" priority="1461">
      <formula>$A$2</formula>
    </cfRule>
  </conditionalFormatting>
  <conditionalFormatting sqref="F986:F988">
    <cfRule type="expression" dxfId="0" priority="1438">
      <formula>$A987&lt;&gt;""</formula>
    </cfRule>
    <cfRule type="expression" priority="1439">
      <formula>$A987&lt;&gt;""</formula>
    </cfRule>
    <cfRule type="expression" priority="1440">
      <formula>$A$2</formula>
    </cfRule>
  </conditionalFormatting>
  <conditionalFormatting sqref="F989:F991">
    <cfRule type="expression" dxfId="0" priority="1417">
      <formula>$A990&lt;&gt;""</formula>
    </cfRule>
    <cfRule type="expression" priority="1418">
      <formula>$A990&lt;&gt;""</formula>
    </cfRule>
    <cfRule type="expression" priority="1419">
      <formula>$A$2</formula>
    </cfRule>
  </conditionalFormatting>
  <conditionalFormatting sqref="F992:F994">
    <cfRule type="expression" dxfId="0" priority="1396">
      <formula>$A993&lt;&gt;""</formula>
    </cfRule>
    <cfRule type="expression" priority="1397">
      <formula>$A993&lt;&gt;""</formula>
    </cfRule>
    <cfRule type="expression" priority="1398">
      <formula>$A$2</formula>
    </cfRule>
  </conditionalFormatting>
  <conditionalFormatting sqref="F995:F997">
    <cfRule type="expression" dxfId="0" priority="1375">
      <formula>$A996&lt;&gt;""</formula>
    </cfRule>
    <cfRule type="expression" priority="1376">
      <formula>$A996&lt;&gt;""</formula>
    </cfRule>
    <cfRule type="expression" priority="1377">
      <formula>$A$2</formula>
    </cfRule>
  </conditionalFormatting>
  <conditionalFormatting sqref="F998:F1000">
    <cfRule type="expression" dxfId="0" priority="1354">
      <formula>$A999&lt;&gt;""</formula>
    </cfRule>
    <cfRule type="expression" priority="1355">
      <formula>$A999&lt;&gt;""</formula>
    </cfRule>
    <cfRule type="expression" priority="1356">
      <formula>$A$2</formula>
    </cfRule>
  </conditionalFormatting>
  <conditionalFormatting sqref="F1001:F1003">
    <cfRule type="expression" dxfId="0" priority="1333">
      <formula>$A1002&lt;&gt;""</formula>
    </cfRule>
    <cfRule type="expression" priority="1334">
      <formula>$A1002&lt;&gt;""</formula>
    </cfRule>
    <cfRule type="expression" priority="1335">
      <formula>$A$2</formula>
    </cfRule>
  </conditionalFormatting>
  <conditionalFormatting sqref="F1004:F1006">
    <cfRule type="expression" dxfId="0" priority="1312">
      <formula>$A1005&lt;&gt;""</formula>
    </cfRule>
    <cfRule type="expression" priority="1313">
      <formula>$A1005&lt;&gt;""</formula>
    </cfRule>
    <cfRule type="expression" priority="1314">
      <formula>$A$2</formula>
    </cfRule>
  </conditionalFormatting>
  <conditionalFormatting sqref="F1007:F1009">
    <cfRule type="expression" dxfId="0" priority="1289">
      <formula>$A1008&lt;&gt;""</formula>
    </cfRule>
    <cfRule type="expression" priority="1291">
      <formula>$A1008&lt;&gt;""</formula>
    </cfRule>
    <cfRule type="expression" priority="1293">
      <formula>$A$2</formula>
    </cfRule>
  </conditionalFormatting>
  <conditionalFormatting sqref="F1010:F1012">
    <cfRule type="expression" dxfId="0" priority="1288">
      <formula>$A1011&lt;&gt;""</formula>
    </cfRule>
    <cfRule type="expression" priority="1290">
      <formula>$A1011&lt;&gt;""</formula>
    </cfRule>
    <cfRule type="expression" priority="1292">
      <formula>$A$2</formula>
    </cfRule>
  </conditionalFormatting>
  <conditionalFormatting sqref="F1013:F1015">
    <cfRule type="expression" dxfId="0" priority="1243">
      <formula>$A1014&lt;&gt;""</formula>
    </cfRule>
    <cfRule type="expression" priority="1247">
      <formula>$A1014&lt;&gt;""</formula>
    </cfRule>
    <cfRule type="expression" priority="1251">
      <formula>$A$2</formula>
    </cfRule>
  </conditionalFormatting>
  <conditionalFormatting sqref="F1016:F1018">
    <cfRule type="expression" dxfId="0" priority="1242">
      <formula>$A1017&lt;&gt;""</formula>
    </cfRule>
    <cfRule type="expression" priority="1246">
      <formula>$A1017&lt;&gt;""</formula>
    </cfRule>
    <cfRule type="expression" priority="1250">
      <formula>$A$2</formula>
    </cfRule>
  </conditionalFormatting>
  <conditionalFormatting sqref="F1019:F1021">
    <cfRule type="expression" dxfId="0" priority="1241">
      <formula>$A1020&lt;&gt;""</formula>
    </cfRule>
    <cfRule type="expression" priority="1245">
      <formula>$A1020&lt;&gt;""</formula>
    </cfRule>
    <cfRule type="expression" priority="1249">
      <formula>$A$2</formula>
    </cfRule>
  </conditionalFormatting>
  <conditionalFormatting sqref="F1022:F1024">
    <cfRule type="expression" dxfId="0" priority="1240">
      <formula>$A1023&lt;&gt;""</formula>
    </cfRule>
    <cfRule type="expression" priority="1244">
      <formula>$A1023&lt;&gt;""</formula>
    </cfRule>
    <cfRule type="expression" priority="1248">
      <formula>$A$2</formula>
    </cfRule>
  </conditionalFormatting>
  <conditionalFormatting sqref="F1025:F1027">
    <cfRule type="expression" dxfId="0" priority="1165">
      <formula>$A1026&lt;&gt;""</formula>
    </cfRule>
    <cfRule type="expression" priority="1166">
      <formula>$A1026&lt;&gt;""</formula>
    </cfRule>
    <cfRule type="expression" priority="1167">
      <formula>$A$2</formula>
    </cfRule>
  </conditionalFormatting>
  <conditionalFormatting sqref="F1028:F1030">
    <cfRule type="expression" dxfId="0" priority="1142">
      <formula>$A1029&lt;&gt;""</formula>
    </cfRule>
    <cfRule type="expression" priority="1144">
      <formula>$A1029&lt;&gt;""</formula>
    </cfRule>
    <cfRule type="expression" priority="1146">
      <formula>$A$2</formula>
    </cfRule>
  </conditionalFormatting>
  <conditionalFormatting sqref="F1031:F1032">
    <cfRule type="expression" dxfId="0" priority="1141">
      <formula>$A1032&lt;&gt;""</formula>
    </cfRule>
    <cfRule type="expression" priority="1143">
      <formula>$A1032&lt;&gt;""</formula>
    </cfRule>
    <cfRule type="expression" priority="1145">
      <formula>$A$2</formula>
    </cfRule>
  </conditionalFormatting>
  <conditionalFormatting sqref="F1033:F1045">
    <cfRule type="expression" priority="1083">
      <formula>$A$2</formula>
    </cfRule>
    <cfRule type="expression" priority="1082">
      <formula>$A1034&lt;&gt;""</formula>
    </cfRule>
    <cfRule type="expression" dxfId="0" priority="1081">
      <formula>$A1034&lt;&gt;""</formula>
    </cfRule>
  </conditionalFormatting>
  <conditionalFormatting sqref="F1046:F1048">
    <cfRule type="expression" dxfId="0" priority="1102">
      <formula>$A1047&lt;&gt;""</formula>
    </cfRule>
    <cfRule type="expression" priority="1103">
      <formula>$A1047&lt;&gt;""</formula>
    </cfRule>
    <cfRule type="expression" priority="1104">
      <formula>$A$2</formula>
    </cfRule>
  </conditionalFormatting>
  <conditionalFormatting sqref="G897:G910">
    <cfRule type="expression" dxfId="0" priority="1894">
      <formula>$A898&lt;&gt;""</formula>
    </cfRule>
    <cfRule type="expression" priority="1895">
      <formula>$A898&lt;&gt;""</formula>
    </cfRule>
    <cfRule type="expression" priority="1896">
      <formula>$A$2</formula>
    </cfRule>
  </conditionalFormatting>
  <conditionalFormatting sqref="G911:G941">
    <cfRule type="expression" dxfId="0" priority="1783">
      <formula>$A912&lt;&gt;""</formula>
    </cfRule>
    <cfRule type="expression" priority="1784">
      <formula>$A912&lt;&gt;""</formula>
    </cfRule>
    <cfRule type="expression" priority="1785">
      <formula>$A$2</formula>
    </cfRule>
  </conditionalFormatting>
  <conditionalFormatting sqref="G942:G963">
    <cfRule type="expression" dxfId="0" priority="1675">
      <formula>$A943&lt;&gt;""</formula>
    </cfRule>
    <cfRule type="expression" priority="1676">
      <formula>$A943&lt;&gt;""</formula>
    </cfRule>
    <cfRule type="expression" priority="1677">
      <formula>$A$2</formula>
    </cfRule>
  </conditionalFormatting>
  <conditionalFormatting sqref="G965:G967">
    <cfRule type="expression" dxfId="0" priority="1582">
      <formula>$A966&lt;&gt;""</formula>
    </cfRule>
    <cfRule type="expression" priority="1583">
      <formula>$A966&lt;&gt;""</formula>
    </cfRule>
    <cfRule type="expression" priority="1584">
      <formula>$A$2</formula>
    </cfRule>
  </conditionalFormatting>
  <conditionalFormatting sqref="G968:G970">
    <cfRule type="expression" dxfId="0" priority="1561">
      <formula>$A969&lt;&gt;""</formula>
    </cfRule>
    <cfRule type="expression" priority="1562">
      <formula>$A969&lt;&gt;""</formula>
    </cfRule>
    <cfRule type="expression" priority="1563">
      <formula>$A$2</formula>
    </cfRule>
  </conditionalFormatting>
  <conditionalFormatting sqref="G971:G973">
    <cfRule type="expression" dxfId="0" priority="1540">
      <formula>$A972&lt;&gt;""</formula>
    </cfRule>
    <cfRule type="expression" priority="1541">
      <formula>$A972&lt;&gt;""</formula>
    </cfRule>
    <cfRule type="expression" priority="1542">
      <formula>$A$2</formula>
    </cfRule>
  </conditionalFormatting>
  <conditionalFormatting sqref="G974:G976">
    <cfRule type="expression" dxfId="0" priority="1519">
      <formula>$A975&lt;&gt;""</formula>
    </cfRule>
    <cfRule type="expression" priority="1520">
      <formula>$A975&lt;&gt;""</formula>
    </cfRule>
    <cfRule type="expression" priority="1521">
      <formula>$A$2</formula>
    </cfRule>
  </conditionalFormatting>
  <conditionalFormatting sqref="G977:G979">
    <cfRule type="expression" dxfId="0" priority="1498">
      <formula>$A978&lt;&gt;""</formula>
    </cfRule>
    <cfRule type="expression" priority="1499">
      <formula>$A978&lt;&gt;""</formula>
    </cfRule>
    <cfRule type="expression" priority="1500">
      <formula>$A$2</formula>
    </cfRule>
  </conditionalFormatting>
  <conditionalFormatting sqref="G980:G982">
    <cfRule type="expression" dxfId="0" priority="1477">
      <formula>$A981&lt;&gt;""</formula>
    </cfRule>
    <cfRule type="expression" priority="1478">
      <formula>$A981&lt;&gt;""</formula>
    </cfRule>
    <cfRule type="expression" priority="1479">
      <formula>$A$2</formula>
    </cfRule>
  </conditionalFormatting>
  <conditionalFormatting sqref="G983:G985">
    <cfRule type="expression" dxfId="0" priority="1456">
      <formula>$A984&lt;&gt;""</formula>
    </cfRule>
    <cfRule type="expression" priority="1457">
      <formula>$A984&lt;&gt;""</formula>
    </cfRule>
    <cfRule type="expression" priority="1458">
      <formula>$A$2</formula>
    </cfRule>
  </conditionalFormatting>
  <conditionalFormatting sqref="G986:G988">
    <cfRule type="expression" dxfId="0" priority="1435">
      <formula>$A987&lt;&gt;""</formula>
    </cfRule>
    <cfRule type="expression" priority="1436">
      <formula>$A987&lt;&gt;""</formula>
    </cfRule>
    <cfRule type="expression" priority="1437">
      <formula>$A$2</formula>
    </cfRule>
  </conditionalFormatting>
  <conditionalFormatting sqref="G989:G991">
    <cfRule type="expression" dxfId="0" priority="1414">
      <formula>$A990&lt;&gt;""</formula>
    </cfRule>
    <cfRule type="expression" priority="1415">
      <formula>$A990&lt;&gt;""</formula>
    </cfRule>
    <cfRule type="expression" priority="1416">
      <formula>$A$2</formula>
    </cfRule>
  </conditionalFormatting>
  <conditionalFormatting sqref="G992:G994">
    <cfRule type="expression" dxfId="0" priority="1393">
      <formula>$A993&lt;&gt;""</formula>
    </cfRule>
    <cfRule type="expression" priority="1394">
      <formula>$A993&lt;&gt;""</formula>
    </cfRule>
    <cfRule type="expression" priority="1395">
      <formula>$A$2</formula>
    </cfRule>
  </conditionalFormatting>
  <conditionalFormatting sqref="G995:G997">
    <cfRule type="expression" dxfId="0" priority="1372">
      <formula>$A996&lt;&gt;""</formula>
    </cfRule>
    <cfRule type="expression" priority="1373">
      <formula>$A996&lt;&gt;""</formula>
    </cfRule>
    <cfRule type="expression" priority="1374">
      <formula>$A$2</formula>
    </cfRule>
  </conditionalFormatting>
  <conditionalFormatting sqref="G998:G1000">
    <cfRule type="expression" dxfId="0" priority="1351">
      <formula>$A999&lt;&gt;""</formula>
    </cfRule>
    <cfRule type="expression" priority="1352">
      <formula>$A999&lt;&gt;""</formula>
    </cfRule>
    <cfRule type="expression" priority="1353">
      <formula>$A$2</formula>
    </cfRule>
  </conditionalFormatting>
  <conditionalFormatting sqref="G1001:G1003">
    <cfRule type="expression" dxfId="0" priority="1330">
      <formula>$A1002&lt;&gt;""</formula>
    </cfRule>
    <cfRule type="expression" priority="1331">
      <formula>$A1002&lt;&gt;""</formula>
    </cfRule>
    <cfRule type="expression" priority="1332">
      <formula>$A$2</formula>
    </cfRule>
  </conditionalFormatting>
  <conditionalFormatting sqref="G1004:G1006">
    <cfRule type="expression" dxfId="0" priority="1309">
      <formula>$A1005&lt;&gt;""</formula>
    </cfRule>
    <cfRule type="expression" priority="1310">
      <formula>$A1005&lt;&gt;""</formula>
    </cfRule>
    <cfRule type="expression" priority="1311">
      <formula>$A$2</formula>
    </cfRule>
  </conditionalFormatting>
  <conditionalFormatting sqref="G1007:G1009">
    <cfRule type="expression" dxfId="0" priority="1283">
      <formula>$A1008&lt;&gt;""</formula>
    </cfRule>
    <cfRule type="expression" priority="1285">
      <formula>$A1008&lt;&gt;""</formula>
    </cfRule>
    <cfRule type="expression" priority="1287">
      <formula>$A$2</formula>
    </cfRule>
  </conditionalFormatting>
  <conditionalFormatting sqref="G1010:G1012">
    <cfRule type="expression" dxfId="0" priority="1282">
      <formula>$A1011&lt;&gt;""</formula>
    </cfRule>
    <cfRule type="expression" priority="1284">
      <formula>$A1011&lt;&gt;""</formula>
    </cfRule>
    <cfRule type="expression" priority="1286">
      <formula>$A$2</formula>
    </cfRule>
  </conditionalFormatting>
  <conditionalFormatting sqref="G1013:G1015">
    <cfRule type="expression" dxfId="0" priority="1231">
      <formula>$A1014&lt;&gt;""</formula>
    </cfRule>
    <cfRule type="expression" priority="1235">
      <formula>$A1014&lt;&gt;""</formula>
    </cfRule>
    <cfRule type="expression" priority="1239">
      <formula>$A$2</formula>
    </cfRule>
  </conditionalFormatting>
  <conditionalFormatting sqref="G1016:G1018">
    <cfRule type="expression" dxfId="0" priority="1230">
      <formula>$A1017&lt;&gt;""</formula>
    </cfRule>
    <cfRule type="expression" priority="1234">
      <formula>$A1017&lt;&gt;""</formula>
    </cfRule>
    <cfRule type="expression" priority="1238">
      <formula>$A$2</formula>
    </cfRule>
  </conditionalFormatting>
  <conditionalFormatting sqref="G1019:G1021">
    <cfRule type="expression" dxfId="0" priority="1229">
      <formula>$A1020&lt;&gt;""</formula>
    </cfRule>
    <cfRule type="expression" priority="1233">
      <formula>$A1020&lt;&gt;""</formula>
    </cfRule>
    <cfRule type="expression" priority="1237">
      <formula>$A$2</formula>
    </cfRule>
  </conditionalFormatting>
  <conditionalFormatting sqref="G1022:G1024">
    <cfRule type="expression" dxfId="0" priority="1228">
      <formula>$A1023&lt;&gt;""</formula>
    </cfRule>
    <cfRule type="expression" priority="1232">
      <formula>$A1023&lt;&gt;""</formula>
    </cfRule>
    <cfRule type="expression" priority="1236">
      <formula>$A$2</formula>
    </cfRule>
  </conditionalFormatting>
  <conditionalFormatting sqref="G1025:G1027">
    <cfRule type="expression" dxfId="0" priority="1162">
      <formula>$A1026&lt;&gt;""</formula>
    </cfRule>
    <cfRule type="expression" priority="1163">
      <formula>$A1026&lt;&gt;""</formula>
    </cfRule>
    <cfRule type="expression" priority="1164">
      <formula>$A$2</formula>
    </cfRule>
  </conditionalFormatting>
  <conditionalFormatting sqref="G1028:G1030">
    <cfRule type="expression" dxfId="0" priority="1136">
      <formula>$A1029&lt;&gt;""</formula>
    </cfRule>
    <cfRule type="expression" priority="1138">
      <formula>$A1029&lt;&gt;""</formula>
    </cfRule>
    <cfRule type="expression" priority="1140">
      <formula>$A$2</formula>
    </cfRule>
  </conditionalFormatting>
  <conditionalFormatting sqref="G1031:G1032">
    <cfRule type="expression" dxfId="0" priority="1135">
      <formula>$A1032&lt;&gt;""</formula>
    </cfRule>
    <cfRule type="expression" priority="1137">
      <formula>$A1032&lt;&gt;""</formula>
    </cfRule>
    <cfRule type="expression" priority="1139">
      <formula>$A$2</formula>
    </cfRule>
  </conditionalFormatting>
  <conditionalFormatting sqref="G1033:G1045">
    <cfRule type="expression" dxfId="0" priority="2008">
      <formula>$A1046&lt;&gt;""</formula>
    </cfRule>
    <cfRule type="expression" priority="2009">
      <formula>$A1046&lt;&gt;""</formula>
    </cfRule>
    <cfRule type="expression" priority="2010">
      <formula>$A$2</formula>
    </cfRule>
  </conditionalFormatting>
  <conditionalFormatting sqref="G1046:G1048">
    <cfRule type="expression" dxfId="0" priority="1099">
      <formula>$A1047&lt;&gt;""</formula>
    </cfRule>
    <cfRule type="expression" priority="1100">
      <formula>$A1047&lt;&gt;""</formula>
    </cfRule>
    <cfRule type="expression" priority="1101">
      <formula>$A$2</formula>
    </cfRule>
  </conditionalFormatting>
  <conditionalFormatting sqref="H897:H910">
    <cfRule type="expression" dxfId="0" priority="1897">
      <formula>$A898&lt;&gt;""</formula>
    </cfRule>
    <cfRule type="expression" priority="1898">
      <formula>$A898&lt;&gt;""</formula>
    </cfRule>
    <cfRule type="expression" priority="1899">
      <formula>$A$2</formula>
    </cfRule>
  </conditionalFormatting>
  <conditionalFormatting sqref="H911:H941">
    <cfRule type="expression" dxfId="0" priority="1780">
      <formula>$A912&lt;&gt;""</formula>
    </cfRule>
    <cfRule type="expression" priority="1781">
      <formula>$A912&lt;&gt;""</formula>
    </cfRule>
    <cfRule type="expression" priority="1782">
      <formula>$A$2</formula>
    </cfRule>
  </conditionalFormatting>
  <conditionalFormatting sqref="H942:H963">
    <cfRule type="expression" dxfId="0" priority="1672">
      <formula>$A943&lt;&gt;""</formula>
    </cfRule>
    <cfRule type="expression" priority="1673">
      <formula>$A943&lt;&gt;""</formula>
    </cfRule>
    <cfRule type="expression" priority="1674">
      <formula>$A$2</formula>
    </cfRule>
  </conditionalFormatting>
  <conditionalFormatting sqref="H965:H967">
    <cfRule type="expression" dxfId="0" priority="1579">
      <formula>$A966&lt;&gt;""</formula>
    </cfRule>
    <cfRule type="expression" priority="1580">
      <formula>$A966&lt;&gt;""</formula>
    </cfRule>
    <cfRule type="expression" priority="1581">
      <formula>$A$2</formula>
    </cfRule>
  </conditionalFormatting>
  <conditionalFormatting sqref="H968:H970">
    <cfRule type="expression" dxfId="0" priority="1558">
      <formula>$A969&lt;&gt;""</formula>
    </cfRule>
    <cfRule type="expression" priority="1559">
      <formula>$A969&lt;&gt;""</formula>
    </cfRule>
    <cfRule type="expression" priority="1560">
      <formula>$A$2</formula>
    </cfRule>
  </conditionalFormatting>
  <conditionalFormatting sqref="H971:H973">
    <cfRule type="expression" dxfId="0" priority="1537">
      <formula>$A972&lt;&gt;""</formula>
    </cfRule>
    <cfRule type="expression" priority="1538">
      <formula>$A972&lt;&gt;""</formula>
    </cfRule>
    <cfRule type="expression" priority="1539">
      <formula>$A$2</formula>
    </cfRule>
  </conditionalFormatting>
  <conditionalFormatting sqref="H974:H976">
    <cfRule type="expression" dxfId="0" priority="1516">
      <formula>$A975&lt;&gt;""</formula>
    </cfRule>
    <cfRule type="expression" priority="1517">
      <formula>$A975&lt;&gt;""</formula>
    </cfRule>
    <cfRule type="expression" priority="1518">
      <formula>$A$2</formula>
    </cfRule>
  </conditionalFormatting>
  <conditionalFormatting sqref="H977:H979">
    <cfRule type="expression" dxfId="0" priority="1495">
      <formula>$A978&lt;&gt;""</formula>
    </cfRule>
    <cfRule type="expression" priority="1496">
      <formula>$A978&lt;&gt;""</formula>
    </cfRule>
    <cfRule type="expression" priority="1497">
      <formula>$A$2</formula>
    </cfRule>
  </conditionalFormatting>
  <conditionalFormatting sqref="H980:H982">
    <cfRule type="expression" dxfId="0" priority="1474">
      <formula>$A981&lt;&gt;""</formula>
    </cfRule>
    <cfRule type="expression" priority="1475">
      <formula>$A981&lt;&gt;""</formula>
    </cfRule>
    <cfRule type="expression" priority="1476">
      <formula>$A$2</formula>
    </cfRule>
  </conditionalFormatting>
  <conditionalFormatting sqref="H983:H985">
    <cfRule type="expression" dxfId="0" priority="1453">
      <formula>$A984&lt;&gt;""</formula>
    </cfRule>
    <cfRule type="expression" priority="1454">
      <formula>$A984&lt;&gt;""</formula>
    </cfRule>
    <cfRule type="expression" priority="1455">
      <formula>$A$2</formula>
    </cfRule>
  </conditionalFormatting>
  <conditionalFormatting sqref="H986:H988">
    <cfRule type="expression" dxfId="0" priority="1432">
      <formula>$A987&lt;&gt;""</formula>
    </cfRule>
    <cfRule type="expression" priority="1433">
      <formula>$A987&lt;&gt;""</formula>
    </cfRule>
    <cfRule type="expression" priority="1434">
      <formula>$A$2</formula>
    </cfRule>
  </conditionalFormatting>
  <conditionalFormatting sqref="H989:H991">
    <cfRule type="expression" dxfId="0" priority="1411">
      <formula>$A990&lt;&gt;""</formula>
    </cfRule>
    <cfRule type="expression" priority="1412">
      <formula>$A990&lt;&gt;""</formula>
    </cfRule>
    <cfRule type="expression" priority="1413">
      <formula>$A$2</formula>
    </cfRule>
  </conditionalFormatting>
  <conditionalFormatting sqref="H992:H994">
    <cfRule type="expression" dxfId="0" priority="1390">
      <formula>$A993&lt;&gt;""</formula>
    </cfRule>
    <cfRule type="expression" priority="1391">
      <formula>$A993&lt;&gt;""</formula>
    </cfRule>
    <cfRule type="expression" priority="1392">
      <formula>$A$2</formula>
    </cfRule>
  </conditionalFormatting>
  <conditionalFormatting sqref="H995:H997">
    <cfRule type="expression" dxfId="0" priority="1369">
      <formula>$A996&lt;&gt;""</formula>
    </cfRule>
    <cfRule type="expression" priority="1370">
      <formula>$A996&lt;&gt;""</formula>
    </cfRule>
    <cfRule type="expression" priority="1371">
      <formula>$A$2</formula>
    </cfRule>
  </conditionalFormatting>
  <conditionalFormatting sqref="H998:H1000">
    <cfRule type="expression" dxfId="0" priority="1348">
      <formula>$A999&lt;&gt;""</formula>
    </cfRule>
    <cfRule type="expression" priority="1349">
      <formula>$A999&lt;&gt;""</formula>
    </cfRule>
    <cfRule type="expression" priority="1350">
      <formula>$A$2</formula>
    </cfRule>
  </conditionalFormatting>
  <conditionalFormatting sqref="H1001:H1003">
    <cfRule type="expression" dxfId="0" priority="1327">
      <formula>$A1002&lt;&gt;""</formula>
    </cfRule>
    <cfRule type="expression" priority="1328">
      <formula>$A1002&lt;&gt;""</formula>
    </cfRule>
    <cfRule type="expression" priority="1329">
      <formula>$A$2</formula>
    </cfRule>
  </conditionalFormatting>
  <conditionalFormatting sqref="H1004:H1006">
    <cfRule type="expression" dxfId="0" priority="1306">
      <formula>$A1005&lt;&gt;""</formula>
    </cfRule>
    <cfRule type="expression" priority="1307">
      <formula>$A1005&lt;&gt;""</formula>
    </cfRule>
    <cfRule type="expression" priority="1308">
      <formula>$A$2</formula>
    </cfRule>
  </conditionalFormatting>
  <conditionalFormatting sqref="H1007:H1009">
    <cfRule type="expression" dxfId="0" priority="1277">
      <formula>$A1008&lt;&gt;""</formula>
    </cfRule>
    <cfRule type="expression" priority="1279">
      <formula>$A1008&lt;&gt;""</formula>
    </cfRule>
    <cfRule type="expression" priority="1281">
      <formula>$A$2</formula>
    </cfRule>
  </conditionalFormatting>
  <conditionalFormatting sqref="H1010:H1012">
    <cfRule type="expression" dxfId="0" priority="1276">
      <formula>$A1011&lt;&gt;""</formula>
    </cfRule>
    <cfRule type="expression" priority="1278">
      <formula>$A1011&lt;&gt;""</formula>
    </cfRule>
    <cfRule type="expression" priority="1280">
      <formula>$A$2</formula>
    </cfRule>
  </conditionalFormatting>
  <conditionalFormatting sqref="H1013:H1015">
    <cfRule type="expression" dxfId="0" priority="1219">
      <formula>$A1014&lt;&gt;""</formula>
    </cfRule>
    <cfRule type="expression" priority="1223">
      <formula>$A1014&lt;&gt;""</formula>
    </cfRule>
    <cfRule type="expression" priority="1227">
      <formula>$A$2</formula>
    </cfRule>
  </conditionalFormatting>
  <conditionalFormatting sqref="H1016:H1018">
    <cfRule type="expression" dxfId="0" priority="1218">
      <formula>$A1017&lt;&gt;""</formula>
    </cfRule>
    <cfRule type="expression" priority="1222">
      <formula>$A1017&lt;&gt;""</formula>
    </cfRule>
    <cfRule type="expression" priority="1226">
      <formula>$A$2</formula>
    </cfRule>
  </conditionalFormatting>
  <conditionalFormatting sqref="H1019:H1021">
    <cfRule type="expression" dxfId="0" priority="1217">
      <formula>$A1020&lt;&gt;""</formula>
    </cfRule>
    <cfRule type="expression" priority="1221">
      <formula>$A1020&lt;&gt;""</formula>
    </cfRule>
    <cfRule type="expression" priority="1225">
      <formula>$A$2</formula>
    </cfRule>
  </conditionalFormatting>
  <conditionalFormatting sqref="H1022:H1024">
    <cfRule type="expression" dxfId="0" priority="1216">
      <formula>$A1023&lt;&gt;""</formula>
    </cfRule>
    <cfRule type="expression" priority="1220">
      <formula>$A1023&lt;&gt;""</formula>
    </cfRule>
    <cfRule type="expression" priority="1224">
      <formula>$A$2</formula>
    </cfRule>
  </conditionalFormatting>
  <conditionalFormatting sqref="H1025:H1027">
    <cfRule type="expression" dxfId="0" priority="1159">
      <formula>$A1026&lt;&gt;""</formula>
    </cfRule>
    <cfRule type="expression" priority="1160">
      <formula>$A1026&lt;&gt;""</formula>
    </cfRule>
    <cfRule type="expression" priority="1161">
      <formula>$A$2</formula>
    </cfRule>
  </conditionalFormatting>
  <conditionalFormatting sqref="H1028:H1030">
    <cfRule type="expression" dxfId="0" priority="1130">
      <formula>$A1029&lt;&gt;""</formula>
    </cfRule>
    <cfRule type="expression" priority="1132">
      <formula>$A1029&lt;&gt;""</formula>
    </cfRule>
    <cfRule type="expression" priority="1134">
      <formula>$A$2</formula>
    </cfRule>
  </conditionalFormatting>
  <conditionalFormatting sqref="H1031:H1032">
    <cfRule type="expression" dxfId="0" priority="1129">
      <formula>$A1032&lt;&gt;""</formula>
    </cfRule>
    <cfRule type="expression" priority="1131">
      <formula>$A1032&lt;&gt;""</formula>
    </cfRule>
    <cfRule type="expression" priority="1133">
      <formula>$A$2</formula>
    </cfRule>
  </conditionalFormatting>
  <conditionalFormatting sqref="H1033:H1045">
    <cfRule type="expression" dxfId="0" priority="2011">
      <formula>$A1046&lt;&gt;""</formula>
    </cfRule>
    <cfRule type="expression" priority="2012">
      <formula>$A1046&lt;&gt;""</formula>
    </cfRule>
    <cfRule type="expression" priority="2013">
      <formula>$A$2</formula>
    </cfRule>
  </conditionalFormatting>
  <conditionalFormatting sqref="H1046:H1048">
    <cfRule type="expression" dxfId="0" priority="1096">
      <formula>$A1047&lt;&gt;""</formula>
    </cfRule>
    <cfRule type="expression" priority="1097">
      <formula>$A1047&lt;&gt;""</formula>
    </cfRule>
    <cfRule type="expression" priority="1098">
      <formula>$A$2</formula>
    </cfRule>
  </conditionalFormatting>
  <conditionalFormatting sqref="A1:BB1 A2 C2:BB2 A5:BB5 C6:BB7 B8:BB18 C19:H19 B20:H23 C24:H25 B26:H26 C27:H28 B29:H29 C30:H31 B32:H32 C33:H34 B35:H35 C36:H37 B38:H38 C39:H40 B41:H41 C42:H43 B44:H44 C45:H46 B47:H47 C48:H49 B50:H50 C51:H52 B53:H53 C54:H55 B56:H56 C57:H58 B59:H59 C60:H61 B62:H62 C63:H64 B65:H65 C66:H67 B68:H68 C69:H70 B71:H71 C72:H73 B74:H74 C75:H76 B77:H77 C78:H79 B80:H80 C81:H82 B83:H83 C84:H85 B86:H86 C87:H88 B89:H89 C90:H91 B92:H92 C93:H94 B95:H95 C96:H97 B98:H98 C99:H100 B101:H101 C102:H103 B104:H104 C105:H106 B107:H107 C108:H109 B110:H110 C111:H112 B113:H113 C114:H115 B116:H116 C117:H118 B119:H119 C120:H121 B122:H122 C123:H124 B125:H125 C126:H127 B128:H128 C129:H130 B131:H131 C132:H133 B134:H134 C135:H136 B137:H137 C138:H139 B140:H140 C141:H142 B143:H143 C144:H145 B146:H146 C147:H148 B149:H149 C150:H151 B152:H152 C153:H154 B155:H155 C156:H157 B158:H158 C159:H160 B161:H161 C162:H163 B164:H164 C165:H166 B167:H167 C168:H169 B170:H170 C171:H172 B173:H173 C174:H175 B176:H176 C177:H178 B179:H179 C180:H181 B182:H182 C183:H184 B185:H185 C186:H187 B188:H188 C189:H190 B191:H191 C192:H193 B194:H194 C195:H196 B197:H197 C198:H199 B200:H200 C201:H202 B203:H203 C204:H205 B206:H206 C207:H208 B209:H209 C210:H211 B212:H212 C213:H214 B215:H215 C216:H217 B218:H218 C219:H220 B221:H221 C222:H223 B224:H224 C225:H226 B227:H227 C228:H229 B230:H230 C231:H232 B233:H233 C234:H235 B236:H236 C237:H238 B239:H239 C240:H241 B242:H242 C243:H244 B245:H245 C246:H247 B248:H248 C249:H250 B251:H251 C252:H253 B254:H254 C255:H256 B257:H257 C258:H259 B260:H260 C261:H262 B263:H263 C264:H265 B266:H266 C267:H268 B269:H269 C270:H271 B272:H272 C273:H274 B275:H275 C276:H277 B278:H278 C279:H280 B281:H281 C282:H283 B284:H284 C285:H286 B287:H287 C288:H289 B290:H290 C291:H292 B293:H293 C294:H295 B296:H296 C297:H298 B299:H299 C300:H301 B302:H302 C303:H304 B305:H305 C306:H307 B308:H308 C309:H310 B311:H311 C312:H313 B314:H314 C315:H316 B317:H317 C318:H319 B320:H320 C321:H322 B323:H323 C324:H325 B326:H326 C327:H328 B329:H329 C330:H331 B332:H332 C333:H334 B335:H335 C336:H337 B338:H338 C339:H340 B341:H341 C342:H343 B344:H344 C345:H346 B347:H347 C348:H349 B350:H350 C351:H352 B353:H353 C354:H355 B356:H356 C357:H358 B359:H359 C360:H361 B362:H362 C363:H364 B365:H365 C366:H367 B368:H368 C369:H370 B371:H371 C372:H373 B374:H374 C375:H376 B377:H377 C378:H379 B380:H380 C381:H382 B383:H383 C384:H385 B386:H386 C387:H388 B389:H389 C390:H391 B392:H392 C393:H394 B395:H395 C396:H397 B398:H398 C399:H400 B401:H401 C402:H403 B404:H404 C405:H406 B407:H407 C408:H409 B410:H410 C411:H412 B413:H413 C414:H415 B416:H416 C417:H418 B419:H419 C420:H421 B422:H422 C423:H424 B425:H425 C426:H427 B428:H428 C429:H430 B431:H431 C432:H433 B434:H434 C435:H436 B437:H437 C438:H439 B440:H440 C441:H442 B443:H443 C444:H445 B446:H446 C447:H448 B449:H449 C450:H451 B452:H452 C453:H454 B455:H455 C456:H457 B458:H458 C459:H460 B461:H461 C462:H463 B464:H464 C465:H466 B467:H467 C468:H469 B470:H470 C471:H472 B473:H473 C474:H475 B476:H476 C477:H478 B479:H479 C480:H481 B482:H482 C483:H484 B485:H485 C486:H487 B488:H488 C489:H490 B491:H491 C492:H493 B494:H494 C495:H496 B497:H497 C498:H499 B500:H500 C501:H502 B503:H503 C504:H505 B506:H506 C507:H508 B509:H509 C510:H511 B512:H512 C513:H514 B515:H515 C516:H517 B518:H518 C519:H520 B521:H521 C522:H523 B524:H524 C525:H526 B527:H527 C528:H529 B530:H530 C531:H532 B533:H533 C534:H535 B536:H536 C537:H538 B539:H539 C540:H541 B542:H542 C543:H544 B545:H545 C546:H547 B548:H548 C549:H550 B551:H551 C552:H553 B554:H554 C555:H556 B557:H557 C558:H559 B560:H560 C561:H562 B563:H563 C564:H565 B566:H566 C567:H568 B569:H569 C570:H571 B572:H572 C573:H574 B575:H575 C576:H577 B578:H578 C579:H580 B581:H581 C582:H583 B584:H584 C585:H586 B587:H587 C588:H589 B590:H590 C591:H592 B593:H593 C594:H595 B596:H596 C597:H598 B599:H599 C600:H601 B602:H602 C603:H604 B605:H605 C606:H607 B608:H608 C609:H610 B611:H611 C612:H613 B614:H614 C615:H616 B617:H617 C618:H619 B620:H620 C621:H622 B623:H623 C624:H625 B626:H626 C627:H628 B629:H629 C630:H631 B632:H632 C633:H634 B635:H635 C636:H637 B638:H638 C639:H640 B641:H641 C642:H643 B644:H644 C645:H646 B647:H647 C648:H649 B650:H650 C651:H896">
    <cfRule type="expression" dxfId="0" priority="1906">
      <formula>$A2&lt;&gt;""</formula>
    </cfRule>
    <cfRule type="expression" priority="1907">
      <formula>$A2&lt;&gt;""</formula>
    </cfRule>
    <cfRule type="expression" priority="1908">
      <formula>$A$2</formula>
    </cfRule>
  </conditionalFormatting>
  <conditionalFormatting sqref="I3:BB4">
    <cfRule type="expression" dxfId="0" priority="1987">
      <formula>$A5&lt;&gt;""</formula>
    </cfRule>
    <cfRule type="expression" priority="1988">
      <formula>$A5&lt;&gt;""</formula>
    </cfRule>
    <cfRule type="expression" priority="1989">
      <formula>$A$2</formula>
    </cfRule>
  </conditionalFormatting>
  <conditionalFormatting sqref="B25:B31 I25:BB31 B32:B34 I32:BB34 B35:B37 I35:BB37 B38:B40 I38:BB40 B41 I41:BB41 B42:B43 I42:BB43 B44 I44:BB44 B45:B652">
    <cfRule type="expression" dxfId="0" priority="1930">
      <formula>#REF!&lt;&gt;""</formula>
    </cfRule>
    <cfRule type="expression" priority="1931">
      <formula>#REF!&lt;&gt;""</formula>
    </cfRule>
    <cfRule type="expression" priority="1932">
      <formula>$A$2</formula>
    </cfRule>
  </conditionalFormatting>
  <conditionalFormatting sqref="I45:BB112">
    <cfRule type="expression" dxfId="0" priority="1939">
      <formula>#REF!&lt;&gt;""</formula>
    </cfRule>
    <cfRule type="expression" priority="1940">
      <formula>#REF!&lt;&gt;""</formula>
    </cfRule>
    <cfRule type="expression" priority="1941">
      <formula>$A$2</formula>
    </cfRule>
  </conditionalFormatting>
  <conditionalFormatting sqref="I113:BB187">
    <cfRule type="expression" dxfId="0" priority="1927">
      <formula>#REF!&lt;&gt;""</formula>
    </cfRule>
    <cfRule type="expression" priority="1928">
      <formula>#REF!&lt;&gt;""</formula>
    </cfRule>
    <cfRule type="expression" priority="1929">
      <formula>$A$2</formula>
    </cfRule>
  </conditionalFormatting>
  <conditionalFormatting sqref="I188:BB210">
    <cfRule type="expression" dxfId="0" priority="1942">
      <formula>$A898&lt;&gt;""</formula>
    </cfRule>
    <cfRule type="expression" priority="1943">
      <formula>$A898&lt;&gt;""</formula>
    </cfRule>
    <cfRule type="expression" priority="1944">
      <formula>$A$2</formula>
    </cfRule>
  </conditionalFormatting>
  <conditionalFormatting sqref="I211:BB216">
    <cfRule type="expression" dxfId="0" priority="1993">
      <formula>#REF!&lt;&gt;""</formula>
    </cfRule>
    <cfRule type="expression" priority="1994">
      <formula>#REF!&lt;&gt;""</formula>
    </cfRule>
    <cfRule type="expression" priority="1995">
      <formula>$A$2</formula>
    </cfRule>
  </conditionalFormatting>
  <conditionalFormatting sqref="I217:BB289">
    <cfRule type="expression" dxfId="0" priority="1990">
      <formula>$A921&lt;&gt;""</formula>
    </cfRule>
    <cfRule type="expression" priority="1991">
      <formula>$A921&lt;&gt;""</formula>
    </cfRule>
    <cfRule type="expression" priority="1992">
      <formula>$A$2</formula>
    </cfRule>
  </conditionalFormatting>
  <conditionalFormatting sqref="I290:BB315">
    <cfRule type="expression" dxfId="0" priority="1951">
      <formula>#REF!&lt;&gt;""</formula>
    </cfRule>
    <cfRule type="expression" priority="1952">
      <formula>#REF!&lt;&gt;""</formula>
    </cfRule>
    <cfRule type="expression" priority="1953">
      <formula>$A$2</formula>
    </cfRule>
  </conditionalFormatting>
  <conditionalFormatting sqref="I316:BB387">
    <cfRule type="expression" dxfId="0" priority="1933">
      <formula>#REF!&lt;&gt;""</formula>
    </cfRule>
    <cfRule type="expression" priority="1934">
      <formula>#REF!&lt;&gt;""</formula>
    </cfRule>
    <cfRule type="expression" priority="1935">
      <formula>$A$2</formula>
    </cfRule>
  </conditionalFormatting>
  <conditionalFormatting sqref="I388:BB410">
    <cfRule type="expression" dxfId="0" priority="1945">
      <formula>$A898&lt;&gt;""</formula>
    </cfRule>
    <cfRule type="expression" priority="1946">
      <formula>$A898&lt;&gt;""</formula>
    </cfRule>
    <cfRule type="expression" priority="1947">
      <formula>$A$2</formula>
    </cfRule>
  </conditionalFormatting>
  <conditionalFormatting sqref="I411:BB416">
    <cfRule type="expression" dxfId="0" priority="1999">
      <formula>#REF!&lt;&gt;""</formula>
    </cfRule>
    <cfRule type="expression" priority="2000">
      <formula>#REF!&lt;&gt;""</formula>
    </cfRule>
    <cfRule type="expression" priority="2001">
      <formula>$A$2</formula>
    </cfRule>
  </conditionalFormatting>
  <conditionalFormatting sqref="I417:BB489">
    <cfRule type="expression" dxfId="0" priority="1996">
      <formula>$A921&lt;&gt;""</formula>
    </cfRule>
    <cfRule type="expression" priority="1997">
      <formula>$A921&lt;&gt;""</formula>
    </cfRule>
    <cfRule type="expression" priority="1998">
      <formula>$A$2</formula>
    </cfRule>
  </conditionalFormatting>
  <conditionalFormatting sqref="I490:BB521">
    <cfRule type="expression" dxfId="0" priority="1954">
      <formula>#REF!&lt;&gt;""</formula>
    </cfRule>
    <cfRule type="expression" priority="1955">
      <formula>#REF!&lt;&gt;""</formula>
    </cfRule>
    <cfRule type="expression" priority="1956">
      <formula>$A$2</formula>
    </cfRule>
  </conditionalFormatting>
  <conditionalFormatting sqref="I522:BB561">
    <cfRule type="expression" dxfId="0" priority="1957">
      <formula>$A994&lt;&gt;""</formula>
    </cfRule>
    <cfRule type="expression" priority="1958">
      <formula>$A994&lt;&gt;""</formula>
    </cfRule>
    <cfRule type="expression" priority="1959">
      <formula>$A$2</formula>
    </cfRule>
  </conditionalFormatting>
  <conditionalFormatting sqref="I562:BB652 B653 I653:BB655 B656:B657 I656:BB657 B658 I658:BB658 B659:B680 I659:BB682 B683:B702 I683:BB702 B704">
    <cfRule type="expression" dxfId="0" priority="2014">
      <formula>$A1046&lt;&gt;""</formula>
    </cfRule>
    <cfRule type="expression" priority="2015">
      <formula>$A1046&lt;&gt;""</formula>
    </cfRule>
    <cfRule type="expression" priority="2016">
      <formula>$A$2</formula>
    </cfRule>
  </conditionalFormatting>
  <conditionalFormatting sqref="I703:BB706 B707 I707:BB709 B710 I710:BB712 B713 I713:BB715 B716 I716:BB718 B719 I719:BB721">
    <cfRule type="expression" dxfId="0" priority="1936">
      <formula>#REF!&lt;&gt;""</formula>
    </cfRule>
    <cfRule type="expression" priority="1937">
      <formula>#REF!&lt;&gt;""</formula>
    </cfRule>
    <cfRule type="expression" priority="1938">
      <formula>$A$2</formula>
    </cfRule>
  </conditionalFormatting>
  <conditionalFormatting sqref="B722 I722:BB724 B725 I725:BB727 B728 I728:BB730 B731 I731:BB761">
    <cfRule type="expression" dxfId="0" priority="1960">
      <formula>$A994&lt;&gt;""</formula>
    </cfRule>
    <cfRule type="expression" priority="1961">
      <formula>$A994&lt;&gt;""</formula>
    </cfRule>
    <cfRule type="expression" priority="1962">
      <formula>$A$2</formula>
    </cfRule>
  </conditionalFormatting>
  <conditionalFormatting sqref="I762:BB896">
    <cfRule type="expression" dxfId="0" priority="2017">
      <formula>$A1046&lt;&gt;""</formula>
    </cfRule>
    <cfRule type="expression" priority="2018">
      <formula>$A1046&lt;&gt;""</formula>
    </cfRule>
    <cfRule type="expression" priority="2019">
      <formula>$A$2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67"/>
  <sheetViews>
    <sheetView workbookViewId="0">
      <pane ySplit="3" topLeftCell="A734" activePane="bottomLeft" state="frozen"/>
      <selection/>
      <selection pane="bottomLeft" activeCell="F9" sqref="F9"/>
    </sheetView>
  </sheetViews>
  <sheetFormatPr defaultColWidth="8.88888888888889" defaultRowHeight="14.4"/>
  <cols>
    <col min="9" max="9" width="8.77777777777778" customWidth="1"/>
    <col min="13" max="24" width="8.88888888888889" customWidth="1"/>
    <col min="25" max="25" width="10.7777777777778" customWidth="1"/>
    <col min="26" max="26" width="0.111111111111111" customWidth="1"/>
    <col min="27" max="42" width="8.88888888888889" customWidth="1"/>
    <col min="43" max="43" width="6.11111111111111" customWidth="1"/>
    <col min="44" max="59" width="8.88888888888889" customWidth="1"/>
  </cols>
  <sheetData>
    <row r="1" ht="23.4" spans="1:100">
      <c r="A1" s="2" t="s">
        <v>357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5"/>
    </row>
    <row r="2" ht="16.2" spans="1:10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8" t="s">
        <v>8</v>
      </c>
      <c r="I2" s="9">
        <v>46143</v>
      </c>
      <c r="J2" s="9"/>
      <c r="K2" s="9">
        <v>46144</v>
      </c>
      <c r="L2" s="9"/>
      <c r="M2" s="9">
        <v>46145</v>
      </c>
      <c r="N2" s="9"/>
      <c r="O2" s="9">
        <v>46146</v>
      </c>
      <c r="P2" s="9"/>
      <c r="Q2" s="9">
        <v>46147</v>
      </c>
      <c r="R2" s="9"/>
      <c r="S2" s="9">
        <v>46148</v>
      </c>
      <c r="T2" s="9"/>
      <c r="U2" s="9">
        <v>46149</v>
      </c>
      <c r="V2" s="9"/>
      <c r="W2" s="9">
        <v>46150</v>
      </c>
      <c r="X2" s="9"/>
      <c r="Y2" s="9">
        <v>46151</v>
      </c>
      <c r="Z2" s="9"/>
      <c r="AA2" s="9">
        <v>46152</v>
      </c>
      <c r="AB2" s="9"/>
      <c r="AC2" s="9">
        <v>46153</v>
      </c>
      <c r="AD2" s="9"/>
      <c r="AE2" s="9">
        <v>46154</v>
      </c>
      <c r="AF2" s="9"/>
      <c r="AG2" s="9">
        <v>46155</v>
      </c>
      <c r="AH2" s="9"/>
      <c r="AI2" s="9">
        <v>46156</v>
      </c>
      <c r="AJ2" s="9"/>
      <c r="AK2" s="9">
        <v>46157</v>
      </c>
      <c r="AL2" s="9"/>
      <c r="AM2" s="9">
        <v>46158</v>
      </c>
      <c r="AN2" s="9"/>
      <c r="AO2" s="9">
        <v>46159</v>
      </c>
      <c r="AP2" s="9"/>
      <c r="AQ2" s="9">
        <v>46160</v>
      </c>
      <c r="AR2" s="9"/>
      <c r="AS2" s="9">
        <v>46161</v>
      </c>
      <c r="AT2" s="9"/>
      <c r="AU2" s="9">
        <v>46162</v>
      </c>
      <c r="AV2" s="9"/>
      <c r="AW2" s="9">
        <v>46163</v>
      </c>
      <c r="AX2" s="9"/>
      <c r="AY2" s="9">
        <v>46164</v>
      </c>
      <c r="AZ2" s="9"/>
      <c r="BA2" s="9">
        <v>46165</v>
      </c>
      <c r="BB2" s="9"/>
      <c r="BC2" s="9">
        <v>46166</v>
      </c>
      <c r="BD2" s="9"/>
      <c r="BE2" s="9">
        <v>46167</v>
      </c>
      <c r="BF2" s="9"/>
      <c r="BG2" s="9">
        <v>46168</v>
      </c>
      <c r="BH2" s="9"/>
      <c r="BI2" s="9">
        <v>46169</v>
      </c>
      <c r="BJ2" s="9"/>
      <c r="BK2" s="9">
        <v>46170</v>
      </c>
      <c r="BL2" s="9"/>
      <c r="BM2" s="9">
        <v>46171</v>
      </c>
      <c r="BN2" s="9"/>
      <c r="BO2" s="9">
        <v>46172</v>
      </c>
      <c r="BP2" s="9"/>
      <c r="BQ2" s="9">
        <v>46173</v>
      </c>
      <c r="BR2" s="9"/>
      <c r="BS2" s="9" t="s">
        <v>358</v>
      </c>
      <c r="BT2" s="9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9"/>
      <c r="CO2" s="9"/>
      <c r="CP2" s="9"/>
      <c r="CQ2" s="9"/>
      <c r="CR2" s="9"/>
      <c r="CS2" s="9"/>
      <c r="CT2" s="9"/>
      <c r="CU2" s="9"/>
      <c r="CV2" s="10"/>
    </row>
    <row r="3" ht="32.4" spans="1:100">
      <c r="A3" s="11"/>
      <c r="B3" s="11"/>
      <c r="C3" s="11"/>
      <c r="D3" s="11"/>
      <c r="E3" s="11"/>
      <c r="F3" s="12"/>
      <c r="G3" s="11"/>
      <c r="H3" s="13"/>
      <c r="I3" s="14" t="s">
        <v>9</v>
      </c>
      <c r="J3" s="14" t="s">
        <v>10</v>
      </c>
      <c r="K3" s="14" t="s">
        <v>9</v>
      </c>
      <c r="L3" s="14" t="s">
        <v>10</v>
      </c>
      <c r="M3" s="14" t="s">
        <v>9</v>
      </c>
      <c r="N3" s="14" t="s">
        <v>10</v>
      </c>
      <c r="O3" s="14" t="s">
        <v>9</v>
      </c>
      <c r="P3" s="14" t="s">
        <v>10</v>
      </c>
      <c r="Q3" s="14" t="s">
        <v>9</v>
      </c>
      <c r="R3" s="14" t="s">
        <v>10</v>
      </c>
      <c r="S3" s="14" t="s">
        <v>9</v>
      </c>
      <c r="T3" s="14" t="s">
        <v>10</v>
      </c>
      <c r="U3" s="14" t="s">
        <v>9</v>
      </c>
      <c r="V3" s="14" t="s">
        <v>10</v>
      </c>
      <c r="W3" s="14" t="s">
        <v>9</v>
      </c>
      <c r="X3" s="14" t="s">
        <v>10</v>
      </c>
      <c r="Y3" s="14" t="s">
        <v>9</v>
      </c>
      <c r="Z3" s="14" t="s">
        <v>10</v>
      </c>
      <c r="AA3" s="14" t="s">
        <v>9</v>
      </c>
      <c r="AB3" s="14" t="s">
        <v>10</v>
      </c>
      <c r="AC3" s="14" t="s">
        <v>9</v>
      </c>
      <c r="AD3" s="14" t="s">
        <v>10</v>
      </c>
      <c r="AE3" s="14" t="s">
        <v>9</v>
      </c>
      <c r="AF3" s="14" t="s">
        <v>10</v>
      </c>
      <c r="AG3" s="14" t="s">
        <v>9</v>
      </c>
      <c r="AH3" s="14" t="s">
        <v>10</v>
      </c>
      <c r="AI3" s="14" t="s">
        <v>9</v>
      </c>
      <c r="AJ3" s="14" t="s">
        <v>10</v>
      </c>
      <c r="AK3" s="14" t="s">
        <v>9</v>
      </c>
      <c r="AL3" s="14" t="s">
        <v>10</v>
      </c>
      <c r="AM3" s="14" t="s">
        <v>9</v>
      </c>
      <c r="AN3" s="14" t="s">
        <v>10</v>
      </c>
      <c r="AO3" s="14" t="s">
        <v>9</v>
      </c>
      <c r="AP3" s="14" t="s">
        <v>10</v>
      </c>
      <c r="AQ3" s="14" t="s">
        <v>9</v>
      </c>
      <c r="AR3" s="14" t="s">
        <v>10</v>
      </c>
      <c r="AS3" s="14" t="s">
        <v>9</v>
      </c>
      <c r="AT3" s="14" t="s">
        <v>10</v>
      </c>
      <c r="AU3" s="14" t="s">
        <v>9</v>
      </c>
      <c r="AV3" s="14" t="s">
        <v>10</v>
      </c>
      <c r="AW3" s="14" t="s">
        <v>9</v>
      </c>
      <c r="AX3" s="14" t="s">
        <v>10</v>
      </c>
      <c r="AY3" s="14" t="s">
        <v>9</v>
      </c>
      <c r="AZ3" s="14" t="s">
        <v>10</v>
      </c>
      <c r="BA3" s="14" t="s">
        <v>9</v>
      </c>
      <c r="BB3" s="14" t="s">
        <v>10</v>
      </c>
      <c r="BC3" s="14" t="s">
        <v>9</v>
      </c>
      <c r="BD3" s="14" t="s">
        <v>10</v>
      </c>
      <c r="BE3" s="14" t="s">
        <v>9</v>
      </c>
      <c r="BF3" s="14" t="s">
        <v>10</v>
      </c>
      <c r="BG3" s="14" t="s">
        <v>9</v>
      </c>
      <c r="BH3" s="14" t="s">
        <v>10</v>
      </c>
      <c r="BI3" s="14" t="s">
        <v>9</v>
      </c>
      <c r="BJ3" s="14" t="s">
        <v>10</v>
      </c>
      <c r="BK3" s="14" t="s">
        <v>9</v>
      </c>
      <c r="BL3" s="14" t="s">
        <v>10</v>
      </c>
      <c r="BM3" s="14" t="s">
        <v>9</v>
      </c>
      <c r="BN3" s="14" t="s">
        <v>10</v>
      </c>
      <c r="BO3" s="14" t="s">
        <v>9</v>
      </c>
      <c r="BP3" s="14" t="s">
        <v>10</v>
      </c>
      <c r="BQ3" s="14" t="s">
        <v>9</v>
      </c>
      <c r="BR3" s="14" t="s">
        <v>10</v>
      </c>
      <c r="BS3" s="14" t="s">
        <v>9</v>
      </c>
      <c r="BT3" s="14" t="s">
        <v>10</v>
      </c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4"/>
      <c r="CO3" s="14"/>
      <c r="CP3" s="14"/>
      <c r="CQ3" s="14"/>
      <c r="CR3" s="14"/>
      <c r="CS3" s="14"/>
      <c r="CT3" s="14"/>
      <c r="CU3" s="14"/>
      <c r="CV3" s="10"/>
    </row>
    <row r="4" s="1" customFormat="1" ht="9" customHeight="1" spans="1:100">
      <c r="A4" s="15"/>
      <c r="B4" s="15"/>
      <c r="C4" s="15"/>
      <c r="D4" s="15"/>
      <c r="E4" s="15"/>
      <c r="F4" s="16"/>
      <c r="G4" s="15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4"/>
      <c r="CO4" s="14"/>
      <c r="CP4" s="14"/>
      <c r="CQ4" s="14"/>
      <c r="CR4" s="14"/>
      <c r="CS4" s="14"/>
      <c r="CT4" s="14"/>
      <c r="CU4" s="14"/>
      <c r="CV4" s="10"/>
    </row>
    <row r="5" spans="1:100">
      <c r="A5" s="18">
        <f>ROW()-4</f>
        <v>1</v>
      </c>
      <c r="B5" s="19" t="s">
        <v>11</v>
      </c>
      <c r="C5" s="20" t="s">
        <v>12</v>
      </c>
      <c r="D5" s="19"/>
      <c r="E5" s="19">
        <v>0</v>
      </c>
      <c r="F5" s="21">
        <f>SUMIF(I3:$CU$3,"入库",I5:$CU5)</f>
        <v>0</v>
      </c>
      <c r="G5" s="19">
        <f>SUMIF(J3:$CU$3,"出库",J5:$CU5)</f>
        <v>0</v>
      </c>
      <c r="H5" s="22">
        <f t="shared" ref="H5:H8" si="0">E5+F5-G5</f>
        <v>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19"/>
      <c r="CO5" s="19"/>
      <c r="CP5" s="19"/>
      <c r="CQ5" s="19"/>
      <c r="CR5" s="19"/>
      <c r="CS5" s="19"/>
      <c r="CT5" s="19"/>
      <c r="CU5" s="19"/>
      <c r="CV5" s="23"/>
    </row>
    <row r="6" spans="1:100">
      <c r="A6" s="18"/>
      <c r="B6" s="24"/>
      <c r="C6" s="25" t="s">
        <v>13</v>
      </c>
      <c r="D6" s="24"/>
      <c r="E6" s="24">
        <v>0</v>
      </c>
      <c r="F6" s="26">
        <f ca="1">SUMIF(I$3:$CU5,"入库",I6:$CU6)</f>
        <v>0</v>
      </c>
      <c r="G6" s="24">
        <f ca="1">SUMIF(J$3:$CU5,"出库",J6:$CU6)</f>
        <v>0</v>
      </c>
      <c r="H6" s="27">
        <f ca="1" t="shared" si="0"/>
        <v>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24"/>
      <c r="CO6" s="24"/>
      <c r="CP6" s="24"/>
      <c r="CQ6" s="24"/>
      <c r="CR6" s="24"/>
      <c r="CS6" s="24"/>
      <c r="CT6" s="24"/>
      <c r="CU6" s="24"/>
      <c r="CV6" s="10"/>
    </row>
    <row r="7" spans="1:100">
      <c r="A7" s="19"/>
      <c r="B7" s="24"/>
      <c r="C7" s="24" t="s">
        <v>14</v>
      </c>
      <c r="D7" s="24"/>
      <c r="E7" s="24">
        <v>0</v>
      </c>
      <c r="F7" s="26">
        <f ca="1">SUMIF(I$3:$CU5,"入库",I7:$CU7)</f>
        <v>0</v>
      </c>
      <c r="G7" s="24">
        <f ca="1">SUMIF(J$3:$CU6,"出库",J7:$CU7)</f>
        <v>0</v>
      </c>
      <c r="H7" s="27">
        <f ca="1" t="shared" si="0"/>
        <v>0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24"/>
      <c r="CO7" s="24"/>
      <c r="CP7" s="24"/>
      <c r="CQ7" s="24"/>
      <c r="CR7" s="24"/>
      <c r="CS7" s="24"/>
      <c r="CT7" s="24"/>
      <c r="CU7" s="24"/>
      <c r="CV7" s="10"/>
    </row>
    <row r="8" spans="1:100">
      <c r="A8" s="10"/>
      <c r="B8" s="10"/>
      <c r="C8" s="10"/>
      <c r="D8" s="10"/>
      <c r="E8" s="24">
        <v>0</v>
      </c>
      <c r="F8" s="26">
        <f ca="1">SUMIF(I$3:$CU6,"入库",I8:$CU8)</f>
        <v>0</v>
      </c>
      <c r="G8" s="24">
        <f ca="1">SUMIF(J$3:$CU7,"出库",J8:$CU8)</f>
        <v>0</v>
      </c>
      <c r="H8" s="27">
        <f ca="1" t="shared" si="0"/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</row>
    <row r="9" spans="1:100">
      <c r="A9" s="10"/>
      <c r="B9" s="10"/>
      <c r="C9" s="10"/>
      <c r="D9" s="10"/>
      <c r="E9" s="24">
        <v>0</v>
      </c>
      <c r="F9" s="26">
        <f ca="1">SUMIF(I$3:$CU7,"入库",I9:$CU9)</f>
        <v>0</v>
      </c>
      <c r="G9" s="24">
        <f ca="1">SUMIF(J$3:$CU8,"出库",J9:$CU9)</f>
        <v>0</v>
      </c>
      <c r="H9" s="27">
        <f ca="1" t="shared" ref="H5:H69" si="1">E9+F9-G9</f>
        <v>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</row>
    <row r="10" spans="1:100">
      <c r="A10" s="10"/>
      <c r="B10" s="10"/>
      <c r="C10" s="10"/>
      <c r="D10" s="10"/>
      <c r="E10" s="24">
        <v>0</v>
      </c>
      <c r="F10" s="26">
        <f ca="1">SUMIF(I$3:$CU8,"入库",I10:$CU10)</f>
        <v>0</v>
      </c>
      <c r="G10" s="24">
        <f ca="1">SUMIF(J$3:$CU9,"出库",J10:$CU10)</f>
        <v>0</v>
      </c>
      <c r="H10" s="27">
        <f ca="1" t="shared" si="1"/>
        <v>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 spans="1:100">
      <c r="A11" s="10"/>
      <c r="B11" s="10"/>
      <c r="C11" s="10"/>
      <c r="D11" s="10"/>
      <c r="E11" s="24">
        <v>0</v>
      </c>
      <c r="F11" s="26">
        <f ca="1">SUMIF(I$3:$CU9,"入库",I11:$CU11)</f>
        <v>0</v>
      </c>
      <c r="G11" s="24">
        <f ca="1">SUMIF(J$3:$CU10,"出库",J11:$CU11)</f>
        <v>0</v>
      </c>
      <c r="H11" s="27">
        <f ca="1" t="shared" si="1"/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 spans="1:100">
      <c r="A12" s="10"/>
      <c r="B12" s="10"/>
      <c r="C12" s="10"/>
      <c r="D12" s="10"/>
      <c r="E12" s="24">
        <v>0</v>
      </c>
      <c r="F12" s="26">
        <f ca="1">SUMIF(I$3:$CU10,"入库",I12:$CU12)</f>
        <v>0</v>
      </c>
      <c r="G12" s="24">
        <f ca="1">SUMIF(J$3:$CU11,"出库",J12:$CU12)</f>
        <v>0</v>
      </c>
      <c r="H12" s="27">
        <f ca="1" t="shared" si="1"/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</row>
    <row r="13" spans="1:100">
      <c r="A13" s="10"/>
      <c r="B13" s="10"/>
      <c r="C13" s="10"/>
      <c r="D13" s="10"/>
      <c r="E13" s="24">
        <v>0</v>
      </c>
      <c r="F13" s="26">
        <f ca="1">SUMIF(I$3:$CU11,"入库",I13:$CU13)</f>
        <v>0</v>
      </c>
      <c r="G13" s="24">
        <f ca="1">SUMIF(J$3:$CU12,"出库",J13:$CU13)</f>
        <v>0</v>
      </c>
      <c r="H13" s="27">
        <f ca="1" t="shared" si="1"/>
        <v>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</row>
    <row r="14" spans="1:100">
      <c r="A14" s="10"/>
      <c r="B14" s="10"/>
      <c r="C14" s="10"/>
      <c r="D14" s="10"/>
      <c r="E14" s="24">
        <v>0</v>
      </c>
      <c r="F14" s="26">
        <f ca="1">SUMIF(I$3:$CU12,"入库",I14:$CU14)</f>
        <v>0</v>
      </c>
      <c r="G14" s="24">
        <f ca="1">SUMIF(J$3:$CU13,"出库",J14:$CU14)</f>
        <v>0</v>
      </c>
      <c r="H14" s="27">
        <f ca="1" t="shared" si="1"/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</row>
    <row r="15" spans="1:100">
      <c r="A15" s="10"/>
      <c r="B15" s="10"/>
      <c r="C15" s="10"/>
      <c r="D15" s="10"/>
      <c r="E15" s="24">
        <v>0</v>
      </c>
      <c r="F15" s="26">
        <f ca="1">SUMIF(I$3:$CU13,"入库",I15:$CU15)</f>
        <v>0</v>
      </c>
      <c r="G15" s="24">
        <f ca="1">SUMIF(J$3:$CU14,"出库",J15:$CU15)</f>
        <v>0</v>
      </c>
      <c r="H15" s="27">
        <f ca="1" t="shared" si="1"/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 spans="1:100">
      <c r="A16" s="10"/>
      <c r="B16" s="10"/>
      <c r="C16" s="10"/>
      <c r="D16" s="10"/>
      <c r="E16" s="24">
        <v>0</v>
      </c>
      <c r="F16" s="26">
        <f ca="1">SUMIF(I$3:$CU14,"入库",I16:$CU16)</f>
        <v>0</v>
      </c>
      <c r="G16" s="24">
        <f ca="1">SUMIF(J$3:$CU15,"出库",J16:$CU16)</f>
        <v>0</v>
      </c>
      <c r="H16" s="27">
        <f ca="1" t="shared" si="1"/>
        <v>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 spans="1:72">
      <c r="A17" s="10"/>
      <c r="B17" s="10"/>
      <c r="C17" s="10"/>
      <c r="D17" s="10"/>
      <c r="E17" s="24">
        <v>0</v>
      </c>
      <c r="F17" s="26">
        <f ca="1">SUMIF(I$3:$CU15,"入库",I17:$CU17)</f>
        <v>0</v>
      </c>
      <c r="G17" s="24">
        <f ca="1">SUMIF(J$3:$CU16,"出库",J17:$CU17)</f>
        <v>0</v>
      </c>
      <c r="H17" s="27">
        <f ca="1" t="shared" si="1"/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spans="1:72">
      <c r="A18" s="10"/>
      <c r="B18" s="10"/>
      <c r="C18" s="10"/>
      <c r="D18" s="10"/>
      <c r="E18" s="24">
        <v>0</v>
      </c>
      <c r="F18" s="26">
        <f ca="1">SUMIF(I$3:$CU16,"入库",I18:$CU18)</f>
        <v>0</v>
      </c>
      <c r="G18" s="24">
        <f ca="1">SUMIF(J$3:$CU17,"出库",J18:$CU18)</f>
        <v>0</v>
      </c>
      <c r="H18" s="27">
        <f ca="1" t="shared" si="1"/>
        <v>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</row>
    <row r="19" spans="1:72">
      <c r="A19" s="10"/>
      <c r="B19" s="10"/>
      <c r="C19" s="10"/>
      <c r="D19" s="10"/>
      <c r="E19" s="24">
        <v>0</v>
      </c>
      <c r="F19" s="26">
        <f ca="1">SUMIF(I$3:$CU17,"入库",I19:$CU19)</f>
        <v>0</v>
      </c>
      <c r="G19" s="24">
        <f ca="1">SUMIF(J$3:$CU18,"出库",J19:$CU19)</f>
        <v>0</v>
      </c>
      <c r="H19" s="27">
        <f ca="1" t="shared" si="1"/>
        <v>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</row>
    <row r="20" spans="1:72">
      <c r="A20" s="10"/>
      <c r="B20" s="10"/>
      <c r="C20" s="10"/>
      <c r="D20" s="10"/>
      <c r="E20" s="24">
        <v>0</v>
      </c>
      <c r="F20" s="26">
        <f ca="1">SUMIF(I$3:$CU18,"入库",I20:$CU20)</f>
        <v>0</v>
      </c>
      <c r="G20" s="24">
        <f ca="1">SUMIF(J$3:$CU19,"出库",J20:$CU20)</f>
        <v>0</v>
      </c>
      <c r="H20" s="27">
        <f ca="1" t="shared" si="1"/>
        <v>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spans="1:72">
      <c r="A21" s="10"/>
      <c r="B21" s="10"/>
      <c r="C21" s="10"/>
      <c r="D21" s="10"/>
      <c r="E21" s="24">
        <v>0</v>
      </c>
      <c r="F21" s="26">
        <f ca="1">SUMIF(I$3:$CU19,"入库",I21:$CU21)</f>
        <v>0</v>
      </c>
      <c r="G21" s="24">
        <f ca="1">SUMIF(J$3:$CU20,"出库",J21:$CU21)</f>
        <v>0</v>
      </c>
      <c r="H21" s="27">
        <f ca="1" t="shared" si="1"/>
        <v>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72">
      <c r="A22" s="10"/>
      <c r="B22" s="10"/>
      <c r="C22" s="10"/>
      <c r="D22" s="10"/>
      <c r="E22" s="24">
        <v>0</v>
      </c>
      <c r="F22" s="26">
        <f ca="1">SUMIF(I$3:$CU20,"入库",I22:$CU22)</f>
        <v>0</v>
      </c>
      <c r="G22" s="24">
        <f ca="1">SUMIF(J$3:$CU21,"出库",J22:$CU22)</f>
        <v>0</v>
      </c>
      <c r="H22" s="27">
        <f ca="1" t="shared" si="1"/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72">
      <c r="A23" s="10"/>
      <c r="B23" s="10"/>
      <c r="C23" s="10"/>
      <c r="D23" s="10"/>
      <c r="E23" s="24">
        <v>0</v>
      </c>
      <c r="F23" s="26">
        <f ca="1">SUMIF(I$3:$CU21,"入库",I23:$CU23)</f>
        <v>0</v>
      </c>
      <c r="G23" s="24">
        <f ca="1">SUMIF(J$3:$CU22,"出库",J23:$CU23)</f>
        <v>0</v>
      </c>
      <c r="H23" s="27">
        <f ca="1" t="shared" si="1"/>
        <v>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spans="1:72">
      <c r="A24" s="10"/>
      <c r="B24" s="10"/>
      <c r="C24" s="10"/>
      <c r="D24" s="10"/>
      <c r="E24" s="24">
        <v>0</v>
      </c>
      <c r="F24" s="26">
        <f ca="1">SUMIF(I$3:$CU22,"入库",I24:$CU24)</f>
        <v>0</v>
      </c>
      <c r="G24" s="24">
        <f ca="1">SUMIF(J$3:$CU23,"出库",J24:$CU24)</f>
        <v>0</v>
      </c>
      <c r="H24" s="27">
        <f ca="1" t="shared" si="1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72">
      <c r="A25" s="10"/>
      <c r="B25" s="10"/>
      <c r="C25" s="10"/>
      <c r="D25" s="10"/>
      <c r="E25" s="24">
        <v>0</v>
      </c>
      <c r="F25" s="26">
        <f ca="1">SUMIF(I$3:$CU23,"入库",I25:$CU25)</f>
        <v>0</v>
      </c>
      <c r="G25" s="24">
        <f ca="1">SUMIF(J$3:$CU24,"出库",J25:$CU25)</f>
        <v>0</v>
      </c>
      <c r="H25" s="27">
        <f ca="1" t="shared" si="1"/>
        <v>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72">
      <c r="A26" s="10"/>
      <c r="B26" s="10"/>
      <c r="C26" s="10"/>
      <c r="D26" s="10"/>
      <c r="E26" s="24">
        <v>0</v>
      </c>
      <c r="F26" s="26">
        <f ca="1">SUMIF(I$3:$CU24,"入库",I26:$CU26)</f>
        <v>0</v>
      </c>
      <c r="G26" s="24">
        <f ca="1">SUMIF(J$3:$CU25,"出库",J26:$CU26)</f>
        <v>0</v>
      </c>
      <c r="H26" s="27">
        <f ca="1" t="shared" si="1"/>
        <v>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spans="1:72">
      <c r="A27" s="10"/>
      <c r="B27" s="10"/>
      <c r="C27" s="10"/>
      <c r="D27" s="10"/>
      <c r="E27" s="24">
        <v>0</v>
      </c>
      <c r="F27" s="26">
        <f ca="1">SUMIF(I$3:$CU25,"入库",I27:$CU27)</f>
        <v>0</v>
      </c>
      <c r="G27" s="24">
        <f ca="1">SUMIF(J$3:$CU26,"出库",J27:$CU27)</f>
        <v>0</v>
      </c>
      <c r="H27" s="27">
        <f ca="1" t="shared" si="1"/>
        <v>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</row>
    <row r="28" spans="1:72">
      <c r="A28" s="10"/>
      <c r="B28" s="10"/>
      <c r="C28" s="10"/>
      <c r="D28" s="10"/>
      <c r="E28" s="24">
        <v>0</v>
      </c>
      <c r="F28" s="26">
        <f ca="1">SUMIF(I$3:$CU26,"入库",I28:$CU28)</f>
        <v>0</v>
      </c>
      <c r="G28" s="24">
        <f ca="1">SUMIF(J$3:$CU27,"出库",J28:$CU28)</f>
        <v>0</v>
      </c>
      <c r="H28" s="27">
        <f ca="1" t="shared" si="1"/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spans="1:72">
      <c r="A29" s="10"/>
      <c r="B29" s="10"/>
      <c r="C29" s="10"/>
      <c r="D29" s="10"/>
      <c r="E29" s="24">
        <v>0</v>
      </c>
      <c r="F29" s="26">
        <f ca="1">SUMIF(I$3:$CU27,"入库",I29:$CU29)</f>
        <v>0</v>
      </c>
      <c r="G29" s="24">
        <f ca="1">SUMIF(J$3:$CU28,"出库",J29:$CU29)</f>
        <v>0</v>
      </c>
      <c r="H29" s="27">
        <f ca="1" t="shared" si="1"/>
        <v>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72">
      <c r="A30" s="10"/>
      <c r="B30" s="10"/>
      <c r="C30" s="10"/>
      <c r="D30" s="10"/>
      <c r="E30" s="24">
        <v>0</v>
      </c>
      <c r="F30" s="26">
        <f ca="1">SUMIF(I$3:$CU28,"入库",I30:$CU30)</f>
        <v>0</v>
      </c>
      <c r="G30" s="24">
        <f ca="1">SUMIF(J$3:$CU29,"出库",J30:$CU30)</f>
        <v>0</v>
      </c>
      <c r="H30" s="27">
        <f ca="1" t="shared" si="1"/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spans="1:72">
      <c r="A31" s="10"/>
      <c r="B31" s="10"/>
      <c r="C31" s="10"/>
      <c r="D31" s="10"/>
      <c r="E31" s="24">
        <v>0</v>
      </c>
      <c r="F31" s="26">
        <f ca="1">SUMIF(I$3:$CU29,"入库",I31:$CU31)</f>
        <v>0</v>
      </c>
      <c r="G31" s="24">
        <f ca="1">SUMIF(J$3:$CU30,"出库",J31:$CU31)</f>
        <v>0</v>
      </c>
      <c r="H31" s="27">
        <f ca="1" t="shared" si="1"/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</row>
    <row r="32" spans="1:72">
      <c r="A32" s="10"/>
      <c r="B32" s="10"/>
      <c r="C32" s="10"/>
      <c r="D32" s="10"/>
      <c r="E32" s="24">
        <v>0</v>
      </c>
      <c r="F32" s="26">
        <f ca="1">SUMIF(I$3:$CU30,"入库",I32:$CU32)</f>
        <v>0</v>
      </c>
      <c r="G32" s="24">
        <f ca="1">SUMIF(J$3:$CU31,"出库",J32:$CU32)</f>
        <v>0</v>
      </c>
      <c r="H32" s="27">
        <f ca="1" t="shared" si="1"/>
        <v>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</row>
    <row r="33" spans="1:72">
      <c r="A33" s="10"/>
      <c r="B33" s="10"/>
      <c r="C33" s="10"/>
      <c r="D33" s="10"/>
      <c r="E33" s="24">
        <v>0</v>
      </c>
      <c r="F33" s="26">
        <f ca="1">SUMIF(I$3:$CU31,"入库",I33:$CU33)</f>
        <v>0</v>
      </c>
      <c r="G33" s="24">
        <f ca="1">SUMIF(J$3:$CU32,"出库",J33:$CU33)</f>
        <v>0</v>
      </c>
      <c r="H33" s="27">
        <f ca="1" t="shared" si="1"/>
        <v>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</row>
    <row r="34" spans="1:72">
      <c r="A34" s="10"/>
      <c r="B34" s="10"/>
      <c r="C34" s="10"/>
      <c r="D34" s="10"/>
      <c r="E34" s="24">
        <v>0</v>
      </c>
      <c r="F34" s="26">
        <f ca="1">SUMIF(I$3:$CU32,"入库",I34:$CU34)</f>
        <v>0</v>
      </c>
      <c r="G34" s="24">
        <f ca="1">SUMIF(J$3:$CU33,"出库",J34:$CU34)</f>
        <v>0</v>
      </c>
      <c r="H34" s="27">
        <f ca="1" t="shared" si="1"/>
        <v>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</row>
    <row r="35" spans="1:72">
      <c r="A35" s="10"/>
      <c r="B35" s="10"/>
      <c r="C35" s="10"/>
      <c r="D35" s="10"/>
      <c r="E35" s="24">
        <v>0</v>
      </c>
      <c r="F35" s="26">
        <f ca="1">SUMIF(I$3:$CU33,"入库",I35:$CU35)</f>
        <v>0</v>
      </c>
      <c r="G35" s="24">
        <f ca="1">SUMIF(J$3:$CU34,"出库",J35:$CU35)</f>
        <v>0</v>
      </c>
      <c r="H35" s="27">
        <f ca="1" t="shared" si="1"/>
        <v>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</row>
    <row r="36" spans="1:72">
      <c r="A36" s="10"/>
      <c r="B36" s="10"/>
      <c r="C36" s="10"/>
      <c r="D36" s="10"/>
      <c r="E36" s="24">
        <v>0</v>
      </c>
      <c r="F36" s="26">
        <f ca="1">SUMIF(I$3:$CU34,"入库",I36:$CU36)</f>
        <v>0</v>
      </c>
      <c r="G36" s="24">
        <f ca="1">SUMIF(J$3:$CU35,"出库",J36:$CU36)</f>
        <v>0</v>
      </c>
      <c r="H36" s="27">
        <f ca="1" t="shared" si="1"/>
        <v>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</row>
    <row r="37" spans="1:72">
      <c r="A37" s="10"/>
      <c r="B37" s="10"/>
      <c r="C37" s="10"/>
      <c r="D37" s="10"/>
      <c r="E37" s="24">
        <v>0</v>
      </c>
      <c r="F37" s="26">
        <f ca="1">SUMIF(I$3:$CU35,"入库",I37:$CU37)</f>
        <v>0</v>
      </c>
      <c r="G37" s="24">
        <f ca="1">SUMIF(J$3:$CU36,"出库",J37:$CU37)</f>
        <v>0</v>
      </c>
      <c r="H37" s="27">
        <f ca="1" t="shared" si="1"/>
        <v>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</row>
    <row r="38" spans="1:72">
      <c r="A38" s="10"/>
      <c r="B38" s="10"/>
      <c r="C38" s="10"/>
      <c r="D38" s="10"/>
      <c r="E38" s="24">
        <v>0</v>
      </c>
      <c r="F38" s="26">
        <f ca="1">SUMIF(I$3:$CU36,"入库",I38:$CU38)</f>
        <v>0</v>
      </c>
      <c r="G38" s="24">
        <f ca="1">SUMIF(J$3:$CU37,"出库",J38:$CU38)</f>
        <v>0</v>
      </c>
      <c r="H38" s="27">
        <f ca="1" t="shared" si="1"/>
        <v>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</row>
    <row r="39" spans="1:72">
      <c r="A39" s="10"/>
      <c r="B39" s="10"/>
      <c r="C39" s="10"/>
      <c r="D39" s="10"/>
      <c r="E39" s="24">
        <v>0</v>
      </c>
      <c r="F39" s="26">
        <f ca="1">SUMIF(I$3:$CU37,"入库",I39:$CU39)</f>
        <v>0</v>
      </c>
      <c r="G39" s="24">
        <f ca="1">SUMIF(J$3:$CU38,"出库",J39:$CU39)</f>
        <v>0</v>
      </c>
      <c r="H39" s="27">
        <f ca="1" t="shared" si="1"/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spans="1:72">
      <c r="A40" s="10"/>
      <c r="B40" s="10"/>
      <c r="C40" s="10"/>
      <c r="D40" s="10"/>
      <c r="E40" s="24">
        <v>0</v>
      </c>
      <c r="F40" s="26">
        <f ca="1">SUMIF(I$3:$CU38,"入库",I40:$CU40)</f>
        <v>0</v>
      </c>
      <c r="G40" s="24">
        <f ca="1">SUMIF(J$3:$CU39,"出库",J40:$CU40)</f>
        <v>0</v>
      </c>
      <c r="H40" s="27">
        <f ca="1" t="shared" si="1"/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spans="1:72">
      <c r="A41" s="10"/>
      <c r="B41" s="10"/>
      <c r="C41" s="10"/>
      <c r="D41" s="10"/>
      <c r="E41" s="24">
        <v>0</v>
      </c>
      <c r="F41" s="26">
        <f ca="1">SUMIF(I$3:$CU39,"入库",I41:$CU41)</f>
        <v>0</v>
      </c>
      <c r="G41" s="24">
        <f ca="1">SUMIF(J$3:$CU40,"出库",J41:$CU41)</f>
        <v>0</v>
      </c>
      <c r="H41" s="27">
        <f ca="1" t="shared" si="1"/>
        <v>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spans="1:72">
      <c r="A42" s="10"/>
      <c r="B42" s="10"/>
      <c r="C42" s="10"/>
      <c r="D42" s="10"/>
      <c r="E42" s="24">
        <v>0</v>
      </c>
      <c r="F42" s="26">
        <f ca="1">SUMIF(I$3:$CU40,"入库",I42:$CU42)</f>
        <v>0</v>
      </c>
      <c r="G42" s="24">
        <f ca="1">SUMIF(J$3:$CU41,"出库",J42:$CU42)</f>
        <v>0</v>
      </c>
      <c r="H42" s="27">
        <f ca="1" t="shared" si="1"/>
        <v>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</row>
    <row r="43" spans="1:72">
      <c r="A43" s="10"/>
      <c r="B43" s="10"/>
      <c r="C43" s="10"/>
      <c r="D43" s="10"/>
      <c r="E43" s="24">
        <v>0</v>
      </c>
      <c r="F43" s="26">
        <f ca="1">SUMIF(I$3:$CU41,"入库",I43:$CU43)</f>
        <v>0</v>
      </c>
      <c r="G43" s="24">
        <f ca="1">SUMIF(J$3:$CU42,"出库",J43:$CU43)</f>
        <v>0</v>
      </c>
      <c r="H43" s="27">
        <f ca="1" t="shared" si="1"/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</row>
    <row r="44" spans="1:72">
      <c r="A44" s="10"/>
      <c r="B44" s="10"/>
      <c r="C44" s="10"/>
      <c r="D44" s="10"/>
      <c r="E44" s="24">
        <v>0</v>
      </c>
      <c r="F44" s="26">
        <f ca="1">SUMIF(I$3:$CU42,"入库",I44:$CU44)</f>
        <v>0</v>
      </c>
      <c r="G44" s="24">
        <f ca="1">SUMIF(J$3:$CU43,"出库",J44:$CU44)</f>
        <v>0</v>
      </c>
      <c r="H44" s="27">
        <f ca="1" t="shared" si="1"/>
        <v>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</row>
    <row r="45" spans="1:72">
      <c r="A45" s="10"/>
      <c r="B45" s="10"/>
      <c r="C45" s="10"/>
      <c r="D45" s="10"/>
      <c r="E45" s="24">
        <v>0</v>
      </c>
      <c r="F45" s="26">
        <f ca="1">SUMIF(I$3:$CU43,"入库",I45:$CU45)</f>
        <v>0</v>
      </c>
      <c r="G45" s="24">
        <f ca="1">SUMIF(J$3:$CU44,"出库",J45:$CU45)</f>
        <v>0</v>
      </c>
      <c r="H45" s="27">
        <f ca="1" t="shared" si="1"/>
        <v>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</row>
    <row r="46" spans="1:72">
      <c r="A46" s="10"/>
      <c r="B46" s="10"/>
      <c r="C46" s="10"/>
      <c r="D46" s="10"/>
      <c r="E46" s="24">
        <v>0</v>
      </c>
      <c r="F46" s="26">
        <f ca="1">SUMIF(I$3:$CU44,"入库",I46:$CU46)</f>
        <v>0</v>
      </c>
      <c r="G46" s="24">
        <f ca="1">SUMIF(J$3:$CU45,"出库",J46:$CU46)</f>
        <v>0</v>
      </c>
      <c r="H46" s="27">
        <f ca="1" t="shared" si="1"/>
        <v>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</row>
    <row r="47" spans="1:72">
      <c r="A47" s="10"/>
      <c r="B47" s="10"/>
      <c r="C47" s="10"/>
      <c r="D47" s="10"/>
      <c r="E47" s="24">
        <v>0</v>
      </c>
      <c r="F47" s="26">
        <f ca="1">SUMIF(I$3:$CU45,"入库",I47:$CU47)</f>
        <v>0</v>
      </c>
      <c r="G47" s="24">
        <f ca="1">SUMIF(J$3:$CU46,"出库",J47:$CU47)</f>
        <v>0</v>
      </c>
      <c r="H47" s="27">
        <f ca="1" t="shared" si="1"/>
        <v>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</row>
    <row r="48" spans="1:72">
      <c r="A48" s="10"/>
      <c r="B48" s="10"/>
      <c r="C48" s="10"/>
      <c r="D48" s="10"/>
      <c r="E48" s="24">
        <v>0</v>
      </c>
      <c r="F48" s="26">
        <f ca="1">SUMIF(I$3:$CU46,"入库",I48:$CU48)</f>
        <v>0</v>
      </c>
      <c r="G48" s="24">
        <f ca="1">SUMIF(J$3:$CU47,"出库",J48:$CU48)</f>
        <v>0</v>
      </c>
      <c r="H48" s="27">
        <f ca="1" t="shared" si="1"/>
        <v>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</row>
    <row r="49" spans="1:72">
      <c r="A49" s="10"/>
      <c r="B49" s="10"/>
      <c r="C49" s="10"/>
      <c r="D49" s="10"/>
      <c r="E49" s="24">
        <v>0</v>
      </c>
      <c r="F49" s="26">
        <f ca="1">SUMIF(I$3:$CU47,"入库",I49:$CU49)</f>
        <v>0</v>
      </c>
      <c r="G49" s="24">
        <f ca="1">SUMIF(J$3:$CU48,"出库",J49:$CU49)</f>
        <v>0</v>
      </c>
      <c r="H49" s="27">
        <f ca="1" t="shared" si="1"/>
        <v>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</row>
    <row r="50" spans="1:72">
      <c r="A50" s="10"/>
      <c r="B50" s="10"/>
      <c r="C50" s="10"/>
      <c r="D50" s="10"/>
      <c r="E50" s="24">
        <v>0</v>
      </c>
      <c r="F50" s="26">
        <f ca="1">SUMIF(I$3:$CU48,"入库",I50:$CU50)</f>
        <v>0</v>
      </c>
      <c r="G50" s="24">
        <f ca="1">SUMIF(J$3:$CU49,"出库",J50:$CU50)</f>
        <v>0</v>
      </c>
      <c r="H50" s="27">
        <f ca="1" t="shared" si="1"/>
        <v>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</row>
    <row r="51" spans="1:72">
      <c r="A51" s="10"/>
      <c r="B51" s="10"/>
      <c r="C51" s="10"/>
      <c r="D51" s="10"/>
      <c r="E51" s="24">
        <v>0</v>
      </c>
      <c r="F51" s="26">
        <f ca="1">SUMIF(I$3:$CU49,"入库",I51:$CU51)</f>
        <v>0</v>
      </c>
      <c r="G51" s="24">
        <f ca="1">SUMIF(J$3:$CU50,"出库",J51:$CU51)</f>
        <v>0</v>
      </c>
      <c r="H51" s="27">
        <f ca="1" t="shared" si="1"/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</row>
    <row r="52" spans="1:72">
      <c r="A52" s="10"/>
      <c r="B52" s="10"/>
      <c r="C52" s="10"/>
      <c r="D52" s="10"/>
      <c r="E52" s="24">
        <v>0</v>
      </c>
      <c r="F52" s="26">
        <f ca="1">SUMIF(I$3:$CU50,"入库",I52:$CU52)</f>
        <v>0</v>
      </c>
      <c r="G52" s="24">
        <f ca="1">SUMIF(J$3:$CU51,"出库",J52:$CU52)</f>
        <v>0</v>
      </c>
      <c r="H52" s="27">
        <f ca="1" t="shared" si="1"/>
        <v>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</row>
    <row r="53" spans="1:72">
      <c r="A53" s="10"/>
      <c r="B53" s="10"/>
      <c r="C53" s="10"/>
      <c r="D53" s="10"/>
      <c r="E53" s="24">
        <v>0</v>
      </c>
      <c r="F53" s="26">
        <f ca="1">SUMIF(I$3:$CU51,"入库",I53:$CU53)</f>
        <v>0</v>
      </c>
      <c r="G53" s="24">
        <f ca="1">SUMIF(J$3:$CU52,"出库",J53:$CU53)</f>
        <v>0</v>
      </c>
      <c r="H53" s="27">
        <f ca="1" t="shared" si="1"/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</row>
    <row r="54" spans="1:72">
      <c r="A54" s="10"/>
      <c r="B54" s="10"/>
      <c r="C54" s="10"/>
      <c r="D54" s="10"/>
      <c r="E54" s="24">
        <v>0</v>
      </c>
      <c r="F54" s="26">
        <f ca="1">SUMIF(I$3:$CU52,"入库",I54:$CU54)</f>
        <v>0</v>
      </c>
      <c r="G54" s="24">
        <f ca="1">SUMIF(J$3:$CU53,"出库",J54:$CU54)</f>
        <v>0</v>
      </c>
      <c r="H54" s="27">
        <f ca="1" t="shared" si="1"/>
        <v>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</row>
    <row r="55" spans="1:72">
      <c r="A55" s="10"/>
      <c r="B55" s="10"/>
      <c r="C55" s="10"/>
      <c r="D55" s="10"/>
      <c r="E55" s="24">
        <v>0</v>
      </c>
      <c r="F55" s="26">
        <f ca="1">SUMIF(I$3:$CU53,"入库",I55:$CU55)</f>
        <v>0</v>
      </c>
      <c r="G55" s="24">
        <f ca="1">SUMIF(J$3:$CU54,"出库",J55:$CU55)</f>
        <v>0</v>
      </c>
      <c r="H55" s="27">
        <f ca="1" t="shared" si="1"/>
        <v>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</row>
    <row r="56" spans="1:72">
      <c r="A56" s="10"/>
      <c r="B56" s="10"/>
      <c r="C56" s="10"/>
      <c r="D56" s="10"/>
      <c r="E56" s="24">
        <v>0</v>
      </c>
      <c r="F56" s="26">
        <f ca="1">SUMIF(I$3:$CU54,"入库",I56:$CU56)</f>
        <v>0</v>
      </c>
      <c r="G56" s="24">
        <f ca="1">SUMIF(J$3:$CU55,"出库",J56:$CU56)</f>
        <v>0</v>
      </c>
      <c r="H56" s="27">
        <f ca="1" t="shared" si="1"/>
        <v>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</row>
    <row r="57" spans="1:72">
      <c r="A57" s="10"/>
      <c r="B57" s="10"/>
      <c r="C57" s="10"/>
      <c r="D57" s="10"/>
      <c r="E57" s="24">
        <v>0</v>
      </c>
      <c r="F57" s="26">
        <f ca="1">SUMIF(I$3:$CU55,"入库",I57:$CU57)</f>
        <v>0</v>
      </c>
      <c r="G57" s="24">
        <f ca="1">SUMIF(J$3:$CU56,"出库",J57:$CU57)</f>
        <v>0</v>
      </c>
      <c r="H57" s="27">
        <f ca="1" t="shared" si="1"/>
        <v>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</row>
    <row r="58" spans="1:72">
      <c r="A58" s="10"/>
      <c r="B58" s="10"/>
      <c r="C58" s="10"/>
      <c r="D58" s="10"/>
      <c r="E58" s="24">
        <v>0</v>
      </c>
      <c r="F58" s="26">
        <f ca="1">SUMIF(I$3:$CU56,"入库",I58:$CU58)</f>
        <v>0</v>
      </c>
      <c r="G58" s="24">
        <f ca="1">SUMIF(J$3:$CU57,"出库",J58:$CU58)</f>
        <v>0</v>
      </c>
      <c r="H58" s="27">
        <f ca="1" t="shared" si="1"/>
        <v>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</row>
    <row r="59" spans="1:72">
      <c r="A59" s="10"/>
      <c r="B59" s="10"/>
      <c r="C59" s="10"/>
      <c r="D59" s="10"/>
      <c r="E59" s="24">
        <v>0</v>
      </c>
      <c r="F59" s="26">
        <f ca="1">SUMIF(I$3:$CU57,"入库",I59:$CU59)</f>
        <v>0</v>
      </c>
      <c r="G59" s="24">
        <f ca="1">SUMIF(J$3:$CU58,"出库",J59:$CU59)</f>
        <v>0</v>
      </c>
      <c r="H59" s="27">
        <f ca="1" t="shared" si="1"/>
        <v>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</row>
    <row r="60" spans="1:72">
      <c r="A60" s="10"/>
      <c r="B60" s="10"/>
      <c r="C60" s="10"/>
      <c r="D60" s="10"/>
      <c r="E60" s="24">
        <v>0</v>
      </c>
      <c r="F60" s="26">
        <f ca="1">SUMIF(I$3:$CU58,"入库",I60:$CU60)</f>
        <v>0</v>
      </c>
      <c r="G60" s="24">
        <f ca="1">SUMIF(J$3:$CU59,"出库",J60:$CU60)</f>
        <v>0</v>
      </c>
      <c r="H60" s="27">
        <f ca="1" t="shared" si="1"/>
        <v>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</row>
    <row r="61" spans="1:72">
      <c r="A61" s="10"/>
      <c r="B61" s="10"/>
      <c r="C61" s="10"/>
      <c r="D61" s="10"/>
      <c r="E61" s="24">
        <v>0</v>
      </c>
      <c r="F61" s="26">
        <f ca="1">SUMIF(I$3:$CU59,"入库",I61:$CU61)</f>
        <v>0</v>
      </c>
      <c r="G61" s="24">
        <f ca="1">SUMIF(J$3:$CU60,"出库",J61:$CU61)</f>
        <v>0</v>
      </c>
      <c r="H61" s="27">
        <f ca="1" t="shared" si="1"/>
        <v>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</row>
    <row r="62" spans="1:72">
      <c r="A62" s="10"/>
      <c r="B62" s="10"/>
      <c r="C62" s="10"/>
      <c r="D62" s="10"/>
      <c r="E62" s="24">
        <v>0</v>
      </c>
      <c r="F62" s="26">
        <f ca="1">SUMIF(I$3:$CU60,"入库",I62:$CU62)</f>
        <v>0</v>
      </c>
      <c r="G62" s="24">
        <f ca="1">SUMIF(J$3:$CU61,"出库",J62:$CU62)</f>
        <v>0</v>
      </c>
      <c r="H62" s="27">
        <f ca="1" t="shared" si="1"/>
        <v>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</row>
    <row r="63" spans="1:72">
      <c r="A63" s="10"/>
      <c r="B63" s="10"/>
      <c r="C63" s="10"/>
      <c r="D63" s="10"/>
      <c r="E63" s="24">
        <v>0</v>
      </c>
      <c r="F63" s="26">
        <f ca="1">SUMIF(I$3:$CU61,"入库",I63:$CU63)</f>
        <v>0</v>
      </c>
      <c r="G63" s="24">
        <f ca="1">SUMIF(J$3:$CU62,"出库",J63:$CU63)</f>
        <v>0</v>
      </c>
      <c r="H63" s="27">
        <f ca="1" t="shared" si="1"/>
        <v>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</row>
    <row r="64" spans="1:72">
      <c r="A64" s="10"/>
      <c r="B64" s="10"/>
      <c r="C64" s="10"/>
      <c r="D64" s="10"/>
      <c r="E64" s="24">
        <v>0</v>
      </c>
      <c r="F64" s="26">
        <f ca="1">SUMIF(I$3:$CU62,"入库",I64:$CU64)</f>
        <v>0</v>
      </c>
      <c r="G64" s="24">
        <f ca="1">SUMIF(J$3:$CU63,"出库",J64:$CU64)</f>
        <v>0</v>
      </c>
      <c r="H64" s="27">
        <f ca="1" t="shared" si="1"/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</row>
    <row r="65" spans="1:72">
      <c r="A65" s="10"/>
      <c r="B65" s="10"/>
      <c r="C65" s="10"/>
      <c r="D65" s="10"/>
      <c r="E65" s="24">
        <v>0</v>
      </c>
      <c r="F65" s="26">
        <f ca="1">SUMIF(I$3:$CU63,"入库",I65:$CU65)</f>
        <v>0</v>
      </c>
      <c r="G65" s="24">
        <f ca="1">SUMIF(J$3:$CU64,"出库",J65:$CU65)</f>
        <v>0</v>
      </c>
      <c r="H65" s="27">
        <f ca="1" t="shared" si="1"/>
        <v>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</row>
    <row r="66" spans="1:72">
      <c r="A66" s="10"/>
      <c r="B66" s="10"/>
      <c r="C66" s="10"/>
      <c r="D66" s="10"/>
      <c r="E66" s="24">
        <v>0</v>
      </c>
      <c r="F66" s="26">
        <f ca="1">SUMIF(I$3:$CU64,"入库",I66:$CU66)</f>
        <v>0</v>
      </c>
      <c r="G66" s="24">
        <f ca="1">SUMIF(J$3:$CU65,"出库",J66:$CU66)</f>
        <v>0</v>
      </c>
      <c r="H66" s="27">
        <f ca="1" t="shared" si="1"/>
        <v>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</row>
    <row r="67" spans="1:72">
      <c r="A67" s="10"/>
      <c r="B67" s="10"/>
      <c r="C67" s="10"/>
      <c r="D67" s="10"/>
      <c r="E67" s="24">
        <v>0</v>
      </c>
      <c r="F67" s="26">
        <f ca="1">SUMIF(I$3:$CU65,"入库",I67:$CU67)</f>
        <v>0</v>
      </c>
      <c r="G67" s="24">
        <f ca="1">SUMIF(J$3:$CU66,"出库",J67:$CU67)</f>
        <v>0</v>
      </c>
      <c r="H67" s="27">
        <f ca="1" t="shared" si="1"/>
        <v>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</row>
    <row r="68" spans="1:72">
      <c r="A68" s="10"/>
      <c r="B68" s="10"/>
      <c r="C68" s="10"/>
      <c r="D68" s="10"/>
      <c r="E68" s="24">
        <v>0</v>
      </c>
      <c r="F68" s="26">
        <f ca="1">SUMIF(I$3:$CU66,"入库",I68:$CU68)</f>
        <v>0</v>
      </c>
      <c r="G68" s="24">
        <f ca="1">SUMIF(J$3:$CU67,"出库",J68:$CU68)</f>
        <v>0</v>
      </c>
      <c r="H68" s="27">
        <f ca="1" t="shared" si="1"/>
        <v>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</row>
    <row r="69" spans="1:72">
      <c r="A69" s="10"/>
      <c r="B69" s="10"/>
      <c r="C69" s="10"/>
      <c r="D69" s="10"/>
      <c r="E69" s="24">
        <v>0</v>
      </c>
      <c r="F69" s="26">
        <f ca="1">SUMIF(I$3:$CU67,"入库",I69:$CU69)</f>
        <v>0</v>
      </c>
      <c r="G69" s="24">
        <f ca="1">SUMIF(J$3:$CU68,"出库",J69:$CU69)</f>
        <v>0</v>
      </c>
      <c r="H69" s="27">
        <f ca="1" t="shared" si="1"/>
        <v>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</row>
    <row r="70" spans="1:72">
      <c r="A70" s="10"/>
      <c r="B70" s="10"/>
      <c r="C70" s="10"/>
      <c r="D70" s="10"/>
      <c r="E70" s="24">
        <v>0</v>
      </c>
      <c r="F70" s="26">
        <f ca="1">SUMIF(I$3:$CU68,"入库",I70:$CU70)</f>
        <v>0</v>
      </c>
      <c r="G70" s="24">
        <f ca="1">SUMIF(J$3:$CU69,"出库",J70:$CU70)</f>
        <v>0</v>
      </c>
      <c r="H70" s="27">
        <f ca="1" t="shared" ref="H70:H133" si="2">E70+F70-G70</f>
        <v>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</row>
    <row r="71" spans="1:72">
      <c r="A71" s="10"/>
      <c r="B71" s="10"/>
      <c r="C71" s="10"/>
      <c r="D71" s="10"/>
      <c r="E71" s="24">
        <v>0</v>
      </c>
      <c r="F71" s="26">
        <f ca="1">SUMIF(I$3:$CU69,"入库",I71:$CU71)</f>
        <v>0</v>
      </c>
      <c r="G71" s="24">
        <f ca="1">SUMIF(J$3:$CU70,"出库",J71:$CU71)</f>
        <v>0</v>
      </c>
      <c r="H71" s="27">
        <f ca="1" t="shared" si="2"/>
        <v>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</row>
    <row r="72" spans="1:72">
      <c r="A72" s="10"/>
      <c r="B72" s="10"/>
      <c r="C72" s="10"/>
      <c r="D72" s="10"/>
      <c r="E72" s="24">
        <v>0</v>
      </c>
      <c r="F72" s="26">
        <f ca="1">SUMIF(I$3:$CU70,"入库",I72:$CU72)</f>
        <v>0</v>
      </c>
      <c r="G72" s="24">
        <f ca="1">SUMIF(J$3:$CU71,"出库",J72:$CU72)</f>
        <v>0</v>
      </c>
      <c r="H72" s="27">
        <f ca="1" t="shared" si="2"/>
        <v>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</row>
    <row r="73" spans="1:72">
      <c r="A73" s="10"/>
      <c r="B73" s="10"/>
      <c r="C73" s="10"/>
      <c r="D73" s="10"/>
      <c r="E73" s="24">
        <v>0</v>
      </c>
      <c r="F73" s="26">
        <f ca="1">SUMIF(I$3:$CU71,"入库",I73:$CU73)</f>
        <v>0</v>
      </c>
      <c r="G73" s="24">
        <f ca="1">SUMIF(J$3:$CU72,"出库",J73:$CU73)</f>
        <v>0</v>
      </c>
      <c r="H73" s="27">
        <f ca="1" t="shared" si="2"/>
        <v>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</row>
    <row r="74" spans="1:72">
      <c r="A74" s="10"/>
      <c r="B74" s="10"/>
      <c r="C74" s="10"/>
      <c r="D74" s="10"/>
      <c r="E74" s="24">
        <v>0</v>
      </c>
      <c r="F74" s="26">
        <f ca="1">SUMIF(I$3:$CU72,"入库",I74:$CU74)</f>
        <v>0</v>
      </c>
      <c r="G74" s="24">
        <f ca="1">SUMIF(J$3:$CU73,"出库",J74:$CU74)</f>
        <v>0</v>
      </c>
      <c r="H74" s="27">
        <f ca="1" t="shared" si="2"/>
        <v>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</row>
    <row r="75" spans="1:72">
      <c r="A75" s="10"/>
      <c r="B75" s="10"/>
      <c r="C75" s="10"/>
      <c r="D75" s="10"/>
      <c r="E75" s="24">
        <v>0</v>
      </c>
      <c r="F75" s="26">
        <f ca="1">SUMIF(I$3:$CU73,"入库",I75:$CU75)</f>
        <v>0</v>
      </c>
      <c r="G75" s="24">
        <f ca="1">SUMIF(J$3:$CU74,"出库",J75:$CU75)</f>
        <v>0</v>
      </c>
      <c r="H75" s="27">
        <f ca="1" t="shared" si="2"/>
        <v>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</row>
    <row r="76" spans="1:72">
      <c r="A76" s="10"/>
      <c r="B76" s="10"/>
      <c r="C76" s="10"/>
      <c r="D76" s="10"/>
      <c r="E76" s="24">
        <v>0</v>
      </c>
      <c r="F76" s="26">
        <f ca="1">SUMIF(I$3:$CU74,"入库",I76:$CU76)</f>
        <v>0</v>
      </c>
      <c r="G76" s="24">
        <f ca="1">SUMIF(J$3:$CU75,"出库",J76:$CU76)</f>
        <v>0</v>
      </c>
      <c r="H76" s="27">
        <f ca="1" t="shared" si="2"/>
        <v>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</row>
    <row r="77" spans="1:72">
      <c r="A77" s="10"/>
      <c r="B77" s="10"/>
      <c r="C77" s="10"/>
      <c r="D77" s="10"/>
      <c r="E77" s="24">
        <v>0</v>
      </c>
      <c r="F77" s="26">
        <f ca="1">SUMIF(I$3:$CU75,"入库",I77:$CU77)</f>
        <v>0</v>
      </c>
      <c r="G77" s="24">
        <f ca="1">SUMIF(J$3:$CU76,"出库",J77:$CU77)</f>
        <v>0</v>
      </c>
      <c r="H77" s="27">
        <f ca="1" t="shared" si="2"/>
        <v>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</row>
    <row r="78" spans="1:72">
      <c r="A78" s="10"/>
      <c r="B78" s="10"/>
      <c r="C78" s="10"/>
      <c r="D78" s="10"/>
      <c r="E78" s="24">
        <v>0</v>
      </c>
      <c r="F78" s="26">
        <f ca="1">SUMIF(I$3:$CU76,"入库",I78:$CU78)</f>
        <v>0</v>
      </c>
      <c r="G78" s="24">
        <f ca="1">SUMIF(J$3:$CU77,"出库",J78:$CU78)</f>
        <v>0</v>
      </c>
      <c r="H78" s="27">
        <f ca="1" t="shared" si="2"/>
        <v>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</row>
    <row r="79" spans="1:72">
      <c r="A79" s="10"/>
      <c r="B79" s="10"/>
      <c r="C79" s="10"/>
      <c r="D79" s="10"/>
      <c r="E79" s="24">
        <v>0</v>
      </c>
      <c r="F79" s="26">
        <f ca="1">SUMIF(I$3:$CU77,"入库",I79:$CU79)</f>
        <v>0</v>
      </c>
      <c r="G79" s="24">
        <f ca="1">SUMIF(J$3:$CU78,"出库",J79:$CU79)</f>
        <v>0</v>
      </c>
      <c r="H79" s="27">
        <f ca="1" t="shared" si="2"/>
        <v>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</row>
    <row r="80" spans="1:72">
      <c r="A80" s="10"/>
      <c r="B80" s="10"/>
      <c r="C80" s="10"/>
      <c r="D80" s="10"/>
      <c r="E80" s="24">
        <v>0</v>
      </c>
      <c r="F80" s="26">
        <f ca="1">SUMIF(I$3:$CU78,"入库",I80:$CU80)</f>
        <v>0</v>
      </c>
      <c r="G80" s="24">
        <f ca="1">SUMIF(J$3:$CU79,"出库",J80:$CU80)</f>
        <v>0</v>
      </c>
      <c r="H80" s="27">
        <f ca="1" t="shared" si="2"/>
        <v>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</row>
    <row r="81" spans="1:72">
      <c r="A81" s="10"/>
      <c r="B81" s="10"/>
      <c r="C81" s="10"/>
      <c r="D81" s="10"/>
      <c r="E81" s="24">
        <v>0</v>
      </c>
      <c r="F81" s="26">
        <f ca="1">SUMIF(I$3:$CU79,"入库",I81:$CU81)</f>
        <v>0</v>
      </c>
      <c r="G81" s="24">
        <f ca="1">SUMIF(J$3:$CU80,"出库",J81:$CU81)</f>
        <v>0</v>
      </c>
      <c r="H81" s="27">
        <f ca="1" t="shared" si="2"/>
        <v>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</row>
    <row r="82" spans="1:72">
      <c r="A82" s="10"/>
      <c r="B82" s="10"/>
      <c r="C82" s="10"/>
      <c r="D82" s="10"/>
      <c r="E82" s="24">
        <v>0</v>
      </c>
      <c r="F82" s="26">
        <f ca="1">SUMIF(I$3:$CU80,"入库",I82:$CU82)</f>
        <v>0</v>
      </c>
      <c r="G82" s="24">
        <f ca="1">SUMIF(J$3:$CU81,"出库",J82:$CU82)</f>
        <v>0</v>
      </c>
      <c r="H82" s="27">
        <f ca="1" t="shared" si="2"/>
        <v>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</row>
    <row r="83" spans="1:72">
      <c r="A83" s="10"/>
      <c r="B83" s="10"/>
      <c r="C83" s="10"/>
      <c r="D83" s="10"/>
      <c r="E83" s="24">
        <v>0</v>
      </c>
      <c r="F83" s="26">
        <f ca="1">SUMIF(I$3:$CU81,"入库",I83:$CU83)</f>
        <v>0</v>
      </c>
      <c r="G83" s="24">
        <f ca="1">SUMIF(J$3:$CU82,"出库",J83:$CU83)</f>
        <v>0</v>
      </c>
      <c r="H83" s="27">
        <f ca="1" t="shared" si="2"/>
        <v>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</row>
    <row r="84" spans="1:72">
      <c r="A84" s="10"/>
      <c r="B84" s="10"/>
      <c r="C84" s="10"/>
      <c r="D84" s="10"/>
      <c r="E84" s="24">
        <v>0</v>
      </c>
      <c r="F84" s="26">
        <f ca="1">SUMIF(I$3:$CU82,"入库",I84:$CU84)</f>
        <v>0</v>
      </c>
      <c r="G84" s="24">
        <f ca="1">SUMIF(J$3:$CU83,"出库",J84:$CU84)</f>
        <v>0</v>
      </c>
      <c r="H84" s="27">
        <f ca="1" t="shared" si="2"/>
        <v>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</row>
    <row r="85" spans="1:72">
      <c r="A85" s="10"/>
      <c r="B85" s="10"/>
      <c r="C85" s="10"/>
      <c r="D85" s="10"/>
      <c r="E85" s="24">
        <v>0</v>
      </c>
      <c r="F85" s="26">
        <f ca="1">SUMIF(I$3:$CU83,"入库",I85:$CU85)</f>
        <v>0</v>
      </c>
      <c r="G85" s="24">
        <f ca="1">SUMIF(J$3:$CU84,"出库",J85:$CU85)</f>
        <v>0</v>
      </c>
      <c r="H85" s="27">
        <f ca="1" t="shared" si="2"/>
        <v>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</row>
    <row r="86" spans="1:72">
      <c r="A86" s="10"/>
      <c r="B86" s="10"/>
      <c r="C86" s="10"/>
      <c r="D86" s="10"/>
      <c r="E86" s="24">
        <v>0</v>
      </c>
      <c r="F86" s="26">
        <f ca="1">SUMIF(I$3:$CU84,"入库",I86:$CU86)</f>
        <v>0</v>
      </c>
      <c r="G86" s="24">
        <f ca="1">SUMIF(J$3:$CU85,"出库",J86:$CU86)</f>
        <v>0</v>
      </c>
      <c r="H86" s="27">
        <f ca="1" t="shared" si="2"/>
        <v>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</row>
    <row r="87" spans="1:72">
      <c r="A87" s="10"/>
      <c r="B87" s="10"/>
      <c r="C87" s="10"/>
      <c r="D87" s="10"/>
      <c r="E87" s="24">
        <v>0</v>
      </c>
      <c r="F87" s="26">
        <f ca="1">SUMIF(I$3:$CU85,"入库",I87:$CU87)</f>
        <v>0</v>
      </c>
      <c r="G87" s="24">
        <f ca="1">SUMIF(J$3:$CU86,"出库",J87:$CU87)</f>
        <v>0</v>
      </c>
      <c r="H87" s="27">
        <f ca="1" t="shared" si="2"/>
        <v>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</row>
    <row r="88" spans="1:72">
      <c r="A88" s="10"/>
      <c r="B88" s="10"/>
      <c r="C88" s="10"/>
      <c r="D88" s="10"/>
      <c r="E88" s="24">
        <v>0</v>
      </c>
      <c r="F88" s="26">
        <f ca="1">SUMIF(I$3:$CU86,"入库",I88:$CU88)</f>
        <v>0</v>
      </c>
      <c r="G88" s="24">
        <f ca="1">SUMIF(J$3:$CU87,"出库",J88:$CU88)</f>
        <v>0</v>
      </c>
      <c r="H88" s="27">
        <f ca="1" t="shared" si="2"/>
        <v>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</row>
    <row r="89" spans="1:72">
      <c r="A89" s="10"/>
      <c r="B89" s="10"/>
      <c r="C89" s="10"/>
      <c r="D89" s="10"/>
      <c r="E89" s="24">
        <v>0</v>
      </c>
      <c r="F89" s="26">
        <f ca="1">SUMIF(I$3:$CU87,"入库",I89:$CU89)</f>
        <v>0</v>
      </c>
      <c r="G89" s="24">
        <f ca="1">SUMIF(J$3:$CU88,"出库",J89:$CU89)</f>
        <v>0</v>
      </c>
      <c r="H89" s="27">
        <f ca="1" t="shared" si="2"/>
        <v>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</row>
    <row r="90" spans="1:72">
      <c r="A90" s="10"/>
      <c r="B90" s="10"/>
      <c r="C90" s="10"/>
      <c r="D90" s="10"/>
      <c r="E90" s="24">
        <v>0</v>
      </c>
      <c r="F90" s="26">
        <f ca="1">SUMIF(I$3:$CU88,"入库",I90:$CU90)</f>
        <v>0</v>
      </c>
      <c r="G90" s="24">
        <f ca="1">SUMIF(J$3:$CU89,"出库",J90:$CU90)</f>
        <v>0</v>
      </c>
      <c r="H90" s="27">
        <f ca="1" t="shared" si="2"/>
        <v>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</row>
    <row r="91" spans="1:72">
      <c r="A91" s="10"/>
      <c r="B91" s="10"/>
      <c r="C91" s="10"/>
      <c r="D91" s="10"/>
      <c r="E91" s="24">
        <v>0</v>
      </c>
      <c r="F91" s="26">
        <f ca="1">SUMIF(I$3:$CU89,"入库",I91:$CU91)</f>
        <v>0</v>
      </c>
      <c r="G91" s="24">
        <f ca="1">SUMIF(J$3:$CU90,"出库",J91:$CU91)</f>
        <v>0</v>
      </c>
      <c r="H91" s="27">
        <f ca="1" t="shared" si="2"/>
        <v>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</row>
    <row r="92" spans="1:72">
      <c r="A92" s="10"/>
      <c r="B92" s="10"/>
      <c r="C92" s="10"/>
      <c r="D92" s="10"/>
      <c r="E92" s="24">
        <v>0</v>
      </c>
      <c r="F92" s="26">
        <f ca="1">SUMIF(I$3:$CU90,"入库",I92:$CU92)</f>
        <v>0</v>
      </c>
      <c r="G92" s="24">
        <f ca="1">SUMIF(J$3:$CU91,"出库",J92:$CU92)</f>
        <v>0</v>
      </c>
      <c r="H92" s="27">
        <f ca="1" t="shared" si="2"/>
        <v>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</row>
    <row r="93" spans="1:72">
      <c r="A93" s="10"/>
      <c r="B93" s="10"/>
      <c r="C93" s="10"/>
      <c r="D93" s="10"/>
      <c r="E93" s="24">
        <v>0</v>
      </c>
      <c r="F93" s="26">
        <f ca="1">SUMIF(I$3:$CU91,"入库",I93:$CU93)</f>
        <v>0</v>
      </c>
      <c r="G93" s="24">
        <f ca="1">SUMIF(J$3:$CU92,"出库",J93:$CU93)</f>
        <v>0</v>
      </c>
      <c r="H93" s="27">
        <f ca="1" t="shared" si="2"/>
        <v>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</row>
    <row r="94" spans="1:72">
      <c r="A94" s="10"/>
      <c r="B94" s="10"/>
      <c r="C94" s="10"/>
      <c r="D94" s="10"/>
      <c r="E94" s="24">
        <v>0</v>
      </c>
      <c r="F94" s="26">
        <f ca="1">SUMIF(I$3:$CU92,"入库",I94:$CU94)</f>
        <v>0</v>
      </c>
      <c r="G94" s="24">
        <f ca="1">SUMIF(J$3:$CU93,"出库",J94:$CU94)</f>
        <v>0</v>
      </c>
      <c r="H94" s="27">
        <f ca="1" t="shared" si="2"/>
        <v>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</row>
    <row r="95" spans="1:72">
      <c r="A95" s="10"/>
      <c r="B95" s="10"/>
      <c r="C95" s="10"/>
      <c r="D95" s="10"/>
      <c r="E95" s="24">
        <v>0</v>
      </c>
      <c r="F95" s="26">
        <f ca="1">SUMIF(I$3:$CU93,"入库",I95:$CU95)</f>
        <v>0</v>
      </c>
      <c r="G95" s="24">
        <f ca="1">SUMIF(J$3:$CU94,"出库",J95:$CU95)</f>
        <v>0</v>
      </c>
      <c r="H95" s="27">
        <f ca="1" t="shared" si="2"/>
        <v>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</row>
    <row r="96" spans="1:72">
      <c r="A96" s="10"/>
      <c r="B96" s="10"/>
      <c r="C96" s="10"/>
      <c r="D96" s="10"/>
      <c r="E96" s="24">
        <v>0</v>
      </c>
      <c r="F96" s="26">
        <f ca="1">SUMIF(I$3:$CU94,"入库",I96:$CU96)</f>
        <v>0</v>
      </c>
      <c r="G96" s="24">
        <f ca="1">SUMIF(J$3:$CU95,"出库",J96:$CU96)</f>
        <v>0</v>
      </c>
      <c r="H96" s="27">
        <f ca="1" t="shared" si="2"/>
        <v>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</row>
    <row r="97" spans="1:72">
      <c r="A97" s="10"/>
      <c r="B97" s="10"/>
      <c r="C97" s="10"/>
      <c r="D97" s="10"/>
      <c r="E97" s="24">
        <v>0</v>
      </c>
      <c r="F97" s="26">
        <f ca="1">SUMIF(I$3:$CU95,"入库",I97:$CU97)</f>
        <v>0</v>
      </c>
      <c r="G97" s="24">
        <f ca="1">SUMIF(J$3:$CU96,"出库",J97:$CU97)</f>
        <v>0</v>
      </c>
      <c r="H97" s="27">
        <f ca="1" t="shared" si="2"/>
        <v>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</row>
    <row r="98" spans="1:72">
      <c r="A98" s="10"/>
      <c r="B98" s="10"/>
      <c r="C98" s="10"/>
      <c r="D98" s="10"/>
      <c r="E98" s="24">
        <v>0</v>
      </c>
      <c r="F98" s="26">
        <f ca="1">SUMIF(I$3:$CU96,"入库",I98:$CU98)</f>
        <v>0</v>
      </c>
      <c r="G98" s="24">
        <f ca="1">SUMIF(J$3:$CU97,"出库",J98:$CU98)</f>
        <v>0</v>
      </c>
      <c r="H98" s="27">
        <f ca="1" t="shared" si="2"/>
        <v>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</row>
    <row r="99" spans="1:72">
      <c r="A99" s="10"/>
      <c r="B99" s="10"/>
      <c r="C99" s="10"/>
      <c r="D99" s="10"/>
      <c r="E99" s="24">
        <v>0</v>
      </c>
      <c r="F99" s="26">
        <f ca="1">SUMIF(I$3:$CU97,"入库",I99:$CU99)</f>
        <v>0</v>
      </c>
      <c r="G99" s="24">
        <f ca="1">SUMIF(J$3:$CU98,"出库",J99:$CU99)</f>
        <v>0</v>
      </c>
      <c r="H99" s="27">
        <f ca="1" t="shared" si="2"/>
        <v>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</row>
    <row r="100" spans="1:72">
      <c r="A100" s="10"/>
      <c r="B100" s="10"/>
      <c r="C100" s="10"/>
      <c r="D100" s="10"/>
      <c r="E100" s="24">
        <v>0</v>
      </c>
      <c r="F100" s="26">
        <f ca="1">SUMIF(I$3:$CU98,"入库",I100:$CU100)</f>
        <v>0</v>
      </c>
      <c r="G100" s="24">
        <f ca="1">SUMIF(J$3:$CU99,"出库",J100:$CU100)</f>
        <v>0</v>
      </c>
      <c r="H100" s="27">
        <f ca="1" t="shared" si="2"/>
        <v>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</row>
    <row r="101" spans="1:72">
      <c r="A101" s="10"/>
      <c r="B101" s="10"/>
      <c r="C101" s="10"/>
      <c r="D101" s="10"/>
      <c r="E101" s="24">
        <v>0</v>
      </c>
      <c r="F101" s="26">
        <f ca="1">SUMIF(I$3:$CU99,"入库",I101:$CU101)</f>
        <v>0</v>
      </c>
      <c r="G101" s="24">
        <f ca="1">SUMIF(J$3:$CU100,"出库",J101:$CU101)</f>
        <v>0</v>
      </c>
      <c r="H101" s="27">
        <f ca="1" t="shared" si="2"/>
        <v>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</row>
    <row r="102" spans="1:72">
      <c r="A102" s="10"/>
      <c r="B102" s="10"/>
      <c r="C102" s="10"/>
      <c r="D102" s="10"/>
      <c r="E102" s="24">
        <v>0</v>
      </c>
      <c r="F102" s="26">
        <f ca="1">SUMIF(I$3:$CU100,"入库",I102:$CU102)</f>
        <v>0</v>
      </c>
      <c r="G102" s="24">
        <f ca="1">SUMIF(J$3:$CU101,"出库",J102:$CU102)</f>
        <v>0</v>
      </c>
      <c r="H102" s="27">
        <f ca="1" t="shared" si="2"/>
        <v>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</row>
    <row r="103" spans="1:72">
      <c r="A103" s="10"/>
      <c r="B103" s="10"/>
      <c r="C103" s="10"/>
      <c r="D103" s="10"/>
      <c r="E103" s="24">
        <v>0</v>
      </c>
      <c r="F103" s="26">
        <f ca="1">SUMIF(I$3:$CU101,"入库",I103:$CU103)</f>
        <v>0</v>
      </c>
      <c r="G103" s="24">
        <f ca="1">SUMIF(J$3:$CU102,"出库",J103:$CU103)</f>
        <v>0</v>
      </c>
      <c r="H103" s="27">
        <f ca="1" t="shared" si="2"/>
        <v>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</row>
    <row r="104" spans="1:72">
      <c r="A104" s="10"/>
      <c r="B104" s="10"/>
      <c r="C104" s="10"/>
      <c r="D104" s="10"/>
      <c r="E104" s="24">
        <v>0</v>
      </c>
      <c r="F104" s="26">
        <f ca="1">SUMIF(I$3:$CU102,"入库",I104:$CU104)</f>
        <v>0</v>
      </c>
      <c r="G104" s="24">
        <f ca="1">SUMIF(J$3:$CU103,"出库",J104:$CU104)</f>
        <v>0</v>
      </c>
      <c r="H104" s="27">
        <f ca="1" t="shared" si="2"/>
        <v>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</row>
    <row r="105" spans="1:72">
      <c r="A105" s="10"/>
      <c r="B105" s="10"/>
      <c r="C105" s="10"/>
      <c r="D105" s="10"/>
      <c r="E105" s="24">
        <v>0</v>
      </c>
      <c r="F105" s="26">
        <f ca="1">SUMIF(I$3:$CU103,"入库",I105:$CU105)</f>
        <v>0</v>
      </c>
      <c r="G105" s="24">
        <f ca="1">SUMIF(J$3:$CU104,"出库",J105:$CU105)</f>
        <v>0</v>
      </c>
      <c r="H105" s="27">
        <f ca="1" t="shared" si="2"/>
        <v>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</row>
    <row r="106" spans="1:72">
      <c r="A106" s="10"/>
      <c r="B106" s="10"/>
      <c r="C106" s="10"/>
      <c r="D106" s="10"/>
      <c r="E106" s="24">
        <v>0</v>
      </c>
      <c r="F106" s="26">
        <f ca="1">SUMIF(I$3:$CU104,"入库",I106:$CU106)</f>
        <v>0</v>
      </c>
      <c r="G106" s="24">
        <f ca="1">SUMIF(J$3:$CU105,"出库",J106:$CU106)</f>
        <v>0</v>
      </c>
      <c r="H106" s="27">
        <f ca="1" t="shared" si="2"/>
        <v>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</row>
    <row r="107" spans="1:72">
      <c r="A107" s="10"/>
      <c r="B107" s="10"/>
      <c r="C107" s="10"/>
      <c r="D107" s="10"/>
      <c r="E107" s="24">
        <v>0</v>
      </c>
      <c r="F107" s="26">
        <f ca="1">SUMIF(I$3:$CU105,"入库",I107:$CU107)</f>
        <v>0</v>
      </c>
      <c r="G107" s="24">
        <f ca="1">SUMIF(J$3:$CU106,"出库",J107:$CU107)</f>
        <v>0</v>
      </c>
      <c r="H107" s="27">
        <f ca="1" t="shared" si="2"/>
        <v>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</row>
    <row r="108" spans="1:72">
      <c r="A108" s="10"/>
      <c r="B108" s="10"/>
      <c r="C108" s="10"/>
      <c r="D108" s="10"/>
      <c r="E108" s="24">
        <v>0</v>
      </c>
      <c r="F108" s="26">
        <f ca="1">SUMIF(I$3:$CU106,"入库",I108:$CU108)</f>
        <v>0</v>
      </c>
      <c r="G108" s="24">
        <f ca="1">SUMIF(J$3:$CU107,"出库",J108:$CU108)</f>
        <v>0</v>
      </c>
      <c r="H108" s="27">
        <f ca="1" t="shared" si="2"/>
        <v>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</row>
    <row r="109" spans="1:72">
      <c r="A109" s="10"/>
      <c r="B109" s="10"/>
      <c r="C109" s="10"/>
      <c r="D109" s="10"/>
      <c r="E109" s="24">
        <v>0</v>
      </c>
      <c r="F109" s="26">
        <f ca="1">SUMIF(I$3:$CU107,"入库",I109:$CU109)</f>
        <v>0</v>
      </c>
      <c r="G109" s="24">
        <f ca="1">SUMIF(J$3:$CU108,"出库",J109:$CU109)</f>
        <v>0</v>
      </c>
      <c r="H109" s="27">
        <f ca="1" t="shared" si="2"/>
        <v>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</row>
    <row r="110" spans="1:72">
      <c r="A110" s="10"/>
      <c r="B110" s="10"/>
      <c r="C110" s="10"/>
      <c r="D110" s="10"/>
      <c r="E110" s="24">
        <v>0</v>
      </c>
      <c r="F110" s="26">
        <f ca="1">SUMIF(I$3:$CU108,"入库",I110:$CU110)</f>
        <v>0</v>
      </c>
      <c r="G110" s="24">
        <f ca="1">SUMIF(J$3:$CU109,"出库",J110:$CU110)</f>
        <v>0</v>
      </c>
      <c r="H110" s="27">
        <f ca="1" t="shared" si="2"/>
        <v>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</row>
    <row r="111" spans="1:72">
      <c r="A111" s="10"/>
      <c r="B111" s="10"/>
      <c r="C111" s="10"/>
      <c r="D111" s="10"/>
      <c r="E111" s="24">
        <v>0</v>
      </c>
      <c r="F111" s="26">
        <f ca="1">SUMIF(I$3:$CU109,"入库",I111:$CU111)</f>
        <v>0</v>
      </c>
      <c r="G111" s="24">
        <f ca="1">SUMIF(J$3:$CU110,"出库",J111:$CU111)</f>
        <v>0</v>
      </c>
      <c r="H111" s="27">
        <f ca="1" t="shared" si="2"/>
        <v>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</row>
    <row r="112" spans="1:72">
      <c r="A112" s="10"/>
      <c r="B112" s="10"/>
      <c r="C112" s="10"/>
      <c r="D112" s="10"/>
      <c r="E112" s="24">
        <v>0</v>
      </c>
      <c r="F112" s="26">
        <f ca="1">SUMIF(I$3:$CU110,"入库",I112:$CU112)</f>
        <v>0</v>
      </c>
      <c r="G112" s="24">
        <f ca="1">SUMIF(J$3:$CU111,"出库",J112:$CU112)</f>
        <v>0</v>
      </c>
      <c r="H112" s="27">
        <f ca="1" t="shared" si="2"/>
        <v>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</row>
    <row r="113" spans="1:72">
      <c r="A113" s="10"/>
      <c r="B113" s="10"/>
      <c r="C113" s="10"/>
      <c r="D113" s="10"/>
      <c r="E113" s="24">
        <v>0</v>
      </c>
      <c r="F113" s="26">
        <f ca="1">SUMIF(I$3:$CU111,"入库",I113:$CU113)</f>
        <v>0</v>
      </c>
      <c r="G113" s="24">
        <f ca="1">SUMIF(J$3:$CU112,"出库",J113:$CU113)</f>
        <v>0</v>
      </c>
      <c r="H113" s="27">
        <f ca="1" t="shared" si="2"/>
        <v>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</row>
    <row r="114" spans="1:72">
      <c r="A114" s="10"/>
      <c r="B114" s="10"/>
      <c r="C114" s="10"/>
      <c r="D114" s="10"/>
      <c r="E114" s="24">
        <v>0</v>
      </c>
      <c r="F114" s="26">
        <f ca="1">SUMIF(I$3:$CU112,"入库",I114:$CU114)</f>
        <v>0</v>
      </c>
      <c r="G114" s="24">
        <f ca="1">SUMIF(J$3:$CU113,"出库",J114:$CU114)</f>
        <v>0</v>
      </c>
      <c r="H114" s="27">
        <f ca="1" t="shared" si="2"/>
        <v>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</row>
    <row r="115" spans="1:72">
      <c r="A115" s="10"/>
      <c r="B115" s="10"/>
      <c r="C115" s="10"/>
      <c r="D115" s="10"/>
      <c r="E115" s="24">
        <v>0</v>
      </c>
      <c r="F115" s="26">
        <f ca="1">SUMIF(I$3:$CU113,"入库",I115:$CU115)</f>
        <v>0</v>
      </c>
      <c r="G115" s="24">
        <f ca="1">SUMIF(J$3:$CU114,"出库",J115:$CU115)</f>
        <v>0</v>
      </c>
      <c r="H115" s="27">
        <f ca="1" t="shared" si="2"/>
        <v>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</row>
    <row r="116" spans="1:72">
      <c r="A116" s="10"/>
      <c r="B116" s="10"/>
      <c r="C116" s="10"/>
      <c r="D116" s="10"/>
      <c r="E116" s="24">
        <v>0</v>
      </c>
      <c r="F116" s="26">
        <f ca="1">SUMIF(I$3:$CU114,"入库",I116:$CU116)</f>
        <v>0</v>
      </c>
      <c r="G116" s="24">
        <f ca="1">SUMIF(J$3:$CU115,"出库",J116:$CU116)</f>
        <v>0</v>
      </c>
      <c r="H116" s="27">
        <f ca="1" t="shared" si="2"/>
        <v>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</row>
    <row r="117" spans="1:72">
      <c r="A117" s="10"/>
      <c r="B117" s="10"/>
      <c r="C117" s="10"/>
      <c r="D117" s="10"/>
      <c r="E117" s="24">
        <v>0</v>
      </c>
      <c r="F117" s="26">
        <f ca="1">SUMIF(I$3:$CU115,"入库",I117:$CU117)</f>
        <v>0</v>
      </c>
      <c r="G117" s="24">
        <f ca="1">SUMIF(J$3:$CU116,"出库",J117:$CU117)</f>
        <v>0</v>
      </c>
      <c r="H117" s="27">
        <f ca="1" t="shared" si="2"/>
        <v>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</row>
    <row r="118" spans="1:72">
      <c r="A118" s="10"/>
      <c r="B118" s="10"/>
      <c r="C118" s="10"/>
      <c r="D118" s="10"/>
      <c r="E118" s="24">
        <v>0</v>
      </c>
      <c r="F118" s="26">
        <f ca="1">SUMIF(I$3:$CU116,"入库",I118:$CU118)</f>
        <v>0</v>
      </c>
      <c r="G118" s="24">
        <f ca="1">SUMIF(J$3:$CU117,"出库",J118:$CU118)</f>
        <v>0</v>
      </c>
      <c r="H118" s="27">
        <f ca="1" t="shared" si="2"/>
        <v>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</row>
    <row r="119" spans="1:72">
      <c r="A119" s="10"/>
      <c r="B119" s="10"/>
      <c r="C119" s="10"/>
      <c r="D119" s="10"/>
      <c r="E119" s="24">
        <v>0</v>
      </c>
      <c r="F119" s="26">
        <f ca="1">SUMIF(I$3:$CU117,"入库",I119:$CU119)</f>
        <v>0</v>
      </c>
      <c r="G119" s="24">
        <f ca="1">SUMIF(J$3:$CU118,"出库",J119:$CU119)</f>
        <v>0</v>
      </c>
      <c r="H119" s="27">
        <f ca="1" t="shared" si="2"/>
        <v>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</row>
    <row r="120" spans="1:72">
      <c r="A120" s="10"/>
      <c r="B120" s="10"/>
      <c r="C120" s="10"/>
      <c r="D120" s="10"/>
      <c r="E120" s="24">
        <v>0</v>
      </c>
      <c r="F120" s="26">
        <f ca="1">SUMIF(I$3:$CU118,"入库",I120:$CU120)</f>
        <v>0</v>
      </c>
      <c r="G120" s="24">
        <f ca="1">SUMIF(J$3:$CU119,"出库",J120:$CU120)</f>
        <v>0</v>
      </c>
      <c r="H120" s="27">
        <f ca="1" t="shared" si="2"/>
        <v>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</row>
    <row r="121" spans="1:72">
      <c r="A121" s="10"/>
      <c r="B121" s="10"/>
      <c r="C121" s="10"/>
      <c r="D121" s="10"/>
      <c r="E121" s="24">
        <v>0</v>
      </c>
      <c r="F121" s="26">
        <f ca="1">SUMIF(I$3:$CU119,"入库",I121:$CU121)</f>
        <v>0</v>
      </c>
      <c r="G121" s="24">
        <f ca="1">SUMIF(J$3:$CU120,"出库",J121:$CU121)</f>
        <v>0</v>
      </c>
      <c r="H121" s="27">
        <f ca="1" t="shared" si="2"/>
        <v>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</row>
    <row r="122" spans="1:72">
      <c r="A122" s="10"/>
      <c r="B122" s="10"/>
      <c r="C122" s="10"/>
      <c r="D122" s="10"/>
      <c r="E122" s="24">
        <v>0</v>
      </c>
      <c r="F122" s="26">
        <f ca="1">SUMIF(I$3:$CU120,"入库",I122:$CU122)</f>
        <v>0</v>
      </c>
      <c r="G122" s="24">
        <f ca="1">SUMIF(J$3:$CU121,"出库",J122:$CU122)</f>
        <v>0</v>
      </c>
      <c r="H122" s="27">
        <f ca="1" t="shared" si="2"/>
        <v>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</row>
    <row r="123" spans="1:72">
      <c r="A123" s="10"/>
      <c r="B123" s="10"/>
      <c r="C123" s="10"/>
      <c r="D123" s="10"/>
      <c r="E123" s="24">
        <v>0</v>
      </c>
      <c r="F123" s="26">
        <f ca="1">SUMIF(I$3:$CU121,"入库",I123:$CU123)</f>
        <v>0</v>
      </c>
      <c r="G123" s="24">
        <f ca="1">SUMIF(J$3:$CU122,"出库",J123:$CU123)</f>
        <v>0</v>
      </c>
      <c r="H123" s="27">
        <f ca="1" t="shared" si="2"/>
        <v>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</row>
    <row r="124" spans="1:72">
      <c r="A124" s="10"/>
      <c r="B124" s="10"/>
      <c r="C124" s="10"/>
      <c r="D124" s="10"/>
      <c r="E124" s="24">
        <v>0</v>
      </c>
      <c r="F124" s="26">
        <f ca="1">SUMIF(I$3:$CU122,"入库",I124:$CU124)</f>
        <v>0</v>
      </c>
      <c r="G124" s="24">
        <f ca="1">SUMIF(J$3:$CU123,"出库",J124:$CU124)</f>
        <v>0</v>
      </c>
      <c r="H124" s="27">
        <f ca="1" t="shared" si="2"/>
        <v>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</row>
    <row r="125" spans="1:72">
      <c r="A125" s="10"/>
      <c r="B125" s="10"/>
      <c r="C125" s="10"/>
      <c r="D125" s="10"/>
      <c r="E125" s="24">
        <v>0</v>
      </c>
      <c r="F125" s="26">
        <f ca="1">SUMIF(I$3:$CU123,"入库",I125:$CU125)</f>
        <v>0</v>
      </c>
      <c r="G125" s="24">
        <f ca="1">SUMIF(J$3:$CU124,"出库",J125:$CU125)</f>
        <v>0</v>
      </c>
      <c r="H125" s="27">
        <f ca="1" t="shared" si="2"/>
        <v>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</row>
    <row r="126" spans="1:72">
      <c r="A126" s="10"/>
      <c r="B126" s="10"/>
      <c r="C126" s="10"/>
      <c r="D126" s="10"/>
      <c r="E126" s="24">
        <v>0</v>
      </c>
      <c r="F126" s="26">
        <f ca="1">SUMIF(I$3:$CU124,"入库",I126:$CU126)</f>
        <v>0</v>
      </c>
      <c r="G126" s="24">
        <f ca="1">SUMIF(J$3:$CU125,"出库",J126:$CU126)</f>
        <v>0</v>
      </c>
      <c r="H126" s="27">
        <f ca="1" t="shared" si="2"/>
        <v>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</row>
    <row r="127" spans="1:72">
      <c r="A127" s="10"/>
      <c r="B127" s="10"/>
      <c r="C127" s="10"/>
      <c r="D127" s="10"/>
      <c r="E127" s="24">
        <v>0</v>
      </c>
      <c r="F127" s="26">
        <f ca="1">SUMIF(I$3:$CU125,"入库",I127:$CU127)</f>
        <v>0</v>
      </c>
      <c r="G127" s="24">
        <f ca="1">SUMIF(J$3:$CU126,"出库",J127:$CU127)</f>
        <v>0</v>
      </c>
      <c r="H127" s="27">
        <f ca="1" t="shared" si="2"/>
        <v>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</row>
    <row r="128" spans="1:72">
      <c r="A128" s="10"/>
      <c r="B128" s="10"/>
      <c r="C128" s="10"/>
      <c r="D128" s="10"/>
      <c r="E128" s="24">
        <v>0</v>
      </c>
      <c r="F128" s="26">
        <f ca="1">SUMIF(I$3:$CU126,"入库",I128:$CU128)</f>
        <v>0</v>
      </c>
      <c r="G128" s="24">
        <f ca="1">SUMIF(J$3:$CU127,"出库",J128:$CU128)</f>
        <v>0</v>
      </c>
      <c r="H128" s="27">
        <f ca="1" t="shared" si="2"/>
        <v>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</row>
    <row r="129" spans="1:72">
      <c r="A129" s="10"/>
      <c r="B129" s="10"/>
      <c r="C129" s="10"/>
      <c r="D129" s="10"/>
      <c r="E129" s="24">
        <v>0</v>
      </c>
      <c r="F129" s="26">
        <f ca="1">SUMIF(I$3:$CU127,"入库",I129:$CU129)</f>
        <v>0</v>
      </c>
      <c r="G129" s="24">
        <f ca="1">SUMIF(J$3:$CU128,"出库",J129:$CU129)</f>
        <v>0</v>
      </c>
      <c r="H129" s="27">
        <f ca="1" t="shared" si="2"/>
        <v>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</row>
    <row r="130" spans="1:72">
      <c r="A130" s="10"/>
      <c r="B130" s="10"/>
      <c r="C130" s="10"/>
      <c r="D130" s="10"/>
      <c r="E130" s="24">
        <v>0</v>
      </c>
      <c r="F130" s="26">
        <f ca="1">SUMIF(I$3:$CU128,"入库",I130:$CU130)</f>
        <v>0</v>
      </c>
      <c r="G130" s="24">
        <f ca="1">SUMIF(J$3:$CU129,"出库",J130:$CU130)</f>
        <v>0</v>
      </c>
      <c r="H130" s="27">
        <f ca="1" t="shared" si="2"/>
        <v>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</row>
    <row r="131" spans="1:72">
      <c r="A131" s="10"/>
      <c r="B131" s="10"/>
      <c r="C131" s="10"/>
      <c r="D131" s="10"/>
      <c r="E131" s="24">
        <v>0</v>
      </c>
      <c r="F131" s="26">
        <f ca="1">SUMIF(I$3:$CU129,"入库",I131:$CU131)</f>
        <v>0</v>
      </c>
      <c r="G131" s="24">
        <f ca="1">SUMIF(J$3:$CU130,"出库",J131:$CU131)</f>
        <v>0</v>
      </c>
      <c r="H131" s="27">
        <f ca="1" t="shared" si="2"/>
        <v>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</row>
    <row r="132" spans="1:72">
      <c r="A132" s="10"/>
      <c r="B132" s="10"/>
      <c r="C132" s="10"/>
      <c r="D132" s="10"/>
      <c r="E132" s="24">
        <v>0</v>
      </c>
      <c r="F132" s="26">
        <f ca="1">SUMIF(I$3:$CU130,"入库",I132:$CU132)</f>
        <v>0</v>
      </c>
      <c r="G132" s="24">
        <f ca="1">SUMIF(J$3:$CU131,"出库",J132:$CU132)</f>
        <v>0</v>
      </c>
      <c r="H132" s="27">
        <f ca="1" t="shared" si="2"/>
        <v>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</row>
    <row r="133" spans="1:72">
      <c r="A133" s="10"/>
      <c r="B133" s="10"/>
      <c r="C133" s="10"/>
      <c r="D133" s="10"/>
      <c r="E133" s="24">
        <v>0</v>
      </c>
      <c r="F133" s="26">
        <f ca="1">SUMIF(I$3:$CU131,"入库",I133:$CU133)</f>
        <v>0</v>
      </c>
      <c r="G133" s="24">
        <f ca="1">SUMIF(J$3:$CU132,"出库",J133:$CU133)</f>
        <v>0</v>
      </c>
      <c r="H133" s="27">
        <f ca="1" t="shared" si="2"/>
        <v>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</row>
    <row r="134" spans="1:72">
      <c r="A134" s="10"/>
      <c r="B134" s="10"/>
      <c r="C134" s="10"/>
      <c r="D134" s="10"/>
      <c r="E134" s="24">
        <v>0</v>
      </c>
      <c r="F134" s="26">
        <f ca="1">SUMIF(I$3:$CU132,"入库",I134:$CU134)</f>
        <v>0</v>
      </c>
      <c r="G134" s="24">
        <f ca="1">SUMIF(J$3:$CU133,"出库",J134:$CU134)</f>
        <v>0</v>
      </c>
      <c r="H134" s="27">
        <f ca="1" t="shared" ref="H134:H197" si="3">E134+F134-G134</f>
        <v>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</row>
    <row r="135" spans="1:72">
      <c r="A135" s="10"/>
      <c r="B135" s="10"/>
      <c r="C135" s="10"/>
      <c r="D135" s="10"/>
      <c r="E135" s="24">
        <v>0</v>
      </c>
      <c r="F135" s="26">
        <f ca="1">SUMIF(I$3:$CU133,"入库",I135:$CU135)</f>
        <v>0</v>
      </c>
      <c r="G135" s="24">
        <f ca="1">SUMIF(J$3:$CU134,"出库",J135:$CU135)</f>
        <v>0</v>
      </c>
      <c r="H135" s="27">
        <f ca="1" t="shared" si="3"/>
        <v>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</row>
    <row r="136" spans="1:72">
      <c r="A136" s="10"/>
      <c r="B136" s="10"/>
      <c r="C136" s="10"/>
      <c r="D136" s="10"/>
      <c r="E136" s="24">
        <v>0</v>
      </c>
      <c r="F136" s="26">
        <f ca="1">SUMIF(I$3:$CU134,"入库",I136:$CU136)</f>
        <v>0</v>
      </c>
      <c r="G136" s="24">
        <f ca="1">SUMIF(J$3:$CU135,"出库",J136:$CU136)</f>
        <v>0</v>
      </c>
      <c r="H136" s="27">
        <f ca="1" t="shared" si="3"/>
        <v>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</row>
    <row r="137" spans="1:72">
      <c r="A137" s="10"/>
      <c r="B137" s="10"/>
      <c r="C137" s="10"/>
      <c r="D137" s="10"/>
      <c r="E137" s="24">
        <v>0</v>
      </c>
      <c r="F137" s="26">
        <f ca="1">SUMIF(I$3:$CU135,"入库",I137:$CU137)</f>
        <v>0</v>
      </c>
      <c r="G137" s="24">
        <f ca="1">SUMIF(J$3:$CU136,"出库",J137:$CU137)</f>
        <v>0</v>
      </c>
      <c r="H137" s="27">
        <f ca="1" t="shared" si="3"/>
        <v>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</row>
    <row r="138" spans="1:72">
      <c r="A138" s="10"/>
      <c r="B138" s="10"/>
      <c r="C138" s="10"/>
      <c r="D138" s="10"/>
      <c r="E138" s="24">
        <v>0</v>
      </c>
      <c r="F138" s="26">
        <f ca="1">SUMIF(I$3:$CU136,"入库",I138:$CU138)</f>
        <v>0</v>
      </c>
      <c r="G138" s="24">
        <f ca="1">SUMIF(J$3:$CU137,"出库",J138:$CU138)</f>
        <v>0</v>
      </c>
      <c r="H138" s="27">
        <f ca="1" t="shared" si="3"/>
        <v>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</row>
    <row r="139" spans="1:72">
      <c r="A139" s="10"/>
      <c r="B139" s="10"/>
      <c r="C139" s="10"/>
      <c r="D139" s="10"/>
      <c r="E139" s="24">
        <v>0</v>
      </c>
      <c r="F139" s="26">
        <f ca="1">SUMIF(I$3:$CU137,"入库",I139:$CU139)</f>
        <v>0</v>
      </c>
      <c r="G139" s="24">
        <f ca="1">SUMIF(J$3:$CU138,"出库",J139:$CU139)</f>
        <v>0</v>
      </c>
      <c r="H139" s="27">
        <f ca="1" t="shared" si="3"/>
        <v>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</row>
    <row r="140" spans="1:72">
      <c r="A140" s="10"/>
      <c r="B140" s="10"/>
      <c r="C140" s="10"/>
      <c r="D140" s="10"/>
      <c r="E140" s="24">
        <v>0</v>
      </c>
      <c r="F140" s="26">
        <f ca="1">SUMIF(I$3:$CU138,"入库",I140:$CU140)</f>
        <v>0</v>
      </c>
      <c r="G140" s="24">
        <f ca="1">SUMIF(J$3:$CU139,"出库",J140:$CU140)</f>
        <v>0</v>
      </c>
      <c r="H140" s="27">
        <f ca="1" t="shared" si="3"/>
        <v>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</row>
    <row r="141" spans="1:72">
      <c r="A141" s="10"/>
      <c r="B141" s="10"/>
      <c r="C141" s="10"/>
      <c r="D141" s="10"/>
      <c r="E141" s="24">
        <v>0</v>
      </c>
      <c r="F141" s="26">
        <f ca="1">SUMIF(I$3:$CU139,"入库",I141:$CU141)</f>
        <v>0</v>
      </c>
      <c r="G141" s="24">
        <f ca="1">SUMIF(J$3:$CU140,"出库",J141:$CU141)</f>
        <v>0</v>
      </c>
      <c r="H141" s="27">
        <f ca="1" t="shared" si="3"/>
        <v>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</row>
    <row r="142" spans="1:72">
      <c r="A142" s="10"/>
      <c r="B142" s="10"/>
      <c r="C142" s="10"/>
      <c r="D142" s="10"/>
      <c r="E142" s="24">
        <v>0</v>
      </c>
      <c r="F142" s="26">
        <f ca="1">SUMIF(I$3:$CU140,"入库",I142:$CU142)</f>
        <v>0</v>
      </c>
      <c r="G142" s="24">
        <f ca="1">SUMIF(J$3:$CU141,"出库",J142:$CU142)</f>
        <v>0</v>
      </c>
      <c r="H142" s="27">
        <f ca="1" t="shared" si="3"/>
        <v>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</row>
    <row r="143" spans="1:72">
      <c r="A143" s="10"/>
      <c r="B143" s="10"/>
      <c r="C143" s="10"/>
      <c r="D143" s="10"/>
      <c r="E143" s="24">
        <v>0</v>
      </c>
      <c r="F143" s="26">
        <f ca="1">SUMIF(I$3:$CU141,"入库",I143:$CU143)</f>
        <v>0</v>
      </c>
      <c r="G143" s="24">
        <f ca="1">SUMIF(J$3:$CU142,"出库",J143:$CU143)</f>
        <v>0</v>
      </c>
      <c r="H143" s="27">
        <f ca="1" t="shared" si="3"/>
        <v>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</row>
    <row r="144" spans="1:72">
      <c r="A144" s="10"/>
      <c r="B144" s="10"/>
      <c r="C144" s="10"/>
      <c r="D144" s="10"/>
      <c r="E144" s="24">
        <v>0</v>
      </c>
      <c r="F144" s="26">
        <f ca="1">SUMIF(I$3:$CU142,"入库",I144:$CU144)</f>
        <v>0</v>
      </c>
      <c r="G144" s="24">
        <f ca="1">SUMIF(J$3:$CU143,"出库",J144:$CU144)</f>
        <v>0</v>
      </c>
      <c r="H144" s="27">
        <f ca="1" t="shared" si="3"/>
        <v>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</row>
    <row r="145" spans="1:72">
      <c r="A145" s="10"/>
      <c r="B145" s="10"/>
      <c r="C145" s="10"/>
      <c r="D145" s="10"/>
      <c r="E145" s="24">
        <v>0</v>
      </c>
      <c r="F145" s="26">
        <f ca="1">SUMIF(I$3:$CU143,"入库",I145:$CU145)</f>
        <v>0</v>
      </c>
      <c r="G145" s="24">
        <f ca="1">SUMIF(J$3:$CU144,"出库",J145:$CU145)</f>
        <v>0</v>
      </c>
      <c r="H145" s="27">
        <f ca="1" t="shared" si="3"/>
        <v>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</row>
    <row r="146" spans="1:72">
      <c r="A146" s="10"/>
      <c r="B146" s="10"/>
      <c r="C146" s="10"/>
      <c r="D146" s="10"/>
      <c r="E146" s="24">
        <v>0</v>
      </c>
      <c r="F146" s="26">
        <f ca="1">SUMIF(I$3:$CU144,"入库",I146:$CU146)</f>
        <v>0</v>
      </c>
      <c r="G146" s="24">
        <f ca="1">SUMIF(J$3:$CU145,"出库",J146:$CU146)</f>
        <v>0</v>
      </c>
      <c r="H146" s="27">
        <f ca="1" t="shared" si="3"/>
        <v>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</row>
    <row r="147" spans="1:72">
      <c r="A147" s="10"/>
      <c r="B147" s="10"/>
      <c r="C147" s="10"/>
      <c r="D147" s="10"/>
      <c r="E147" s="24">
        <v>0</v>
      </c>
      <c r="F147" s="26">
        <f ca="1">SUMIF(I$3:$CU145,"入库",I147:$CU147)</f>
        <v>0</v>
      </c>
      <c r="G147" s="24">
        <f ca="1">SUMIF(J$3:$CU146,"出库",J147:$CU147)</f>
        <v>0</v>
      </c>
      <c r="H147" s="27">
        <f ca="1" t="shared" si="3"/>
        <v>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</row>
    <row r="148" spans="1:72">
      <c r="A148" s="10"/>
      <c r="B148" s="10"/>
      <c r="C148" s="10"/>
      <c r="D148" s="10"/>
      <c r="E148" s="24">
        <v>0</v>
      </c>
      <c r="F148" s="26">
        <f ca="1">SUMIF(I$3:$CU146,"入库",I148:$CU148)</f>
        <v>0</v>
      </c>
      <c r="G148" s="24">
        <f ca="1">SUMIF(J$3:$CU147,"出库",J148:$CU148)</f>
        <v>0</v>
      </c>
      <c r="H148" s="27">
        <f ca="1" t="shared" si="3"/>
        <v>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</row>
    <row r="149" spans="1:72">
      <c r="A149" s="10"/>
      <c r="B149" s="10"/>
      <c r="C149" s="10"/>
      <c r="D149" s="10"/>
      <c r="E149" s="24">
        <v>0</v>
      </c>
      <c r="F149" s="26">
        <f ca="1">SUMIF(I$3:$CU147,"入库",I149:$CU149)</f>
        <v>0</v>
      </c>
      <c r="G149" s="24">
        <f ca="1">SUMIF(J$3:$CU148,"出库",J149:$CU149)</f>
        <v>0</v>
      </c>
      <c r="H149" s="27">
        <f ca="1" t="shared" si="3"/>
        <v>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</row>
    <row r="150" spans="1:72">
      <c r="A150" s="10"/>
      <c r="B150" s="10"/>
      <c r="C150" s="10"/>
      <c r="D150" s="10"/>
      <c r="E150" s="24">
        <v>0</v>
      </c>
      <c r="F150" s="26">
        <f ca="1">SUMIF(I$3:$CU148,"入库",I150:$CU150)</f>
        <v>0</v>
      </c>
      <c r="G150" s="24">
        <f ca="1">SUMIF(J$3:$CU149,"出库",J150:$CU150)</f>
        <v>0</v>
      </c>
      <c r="H150" s="27">
        <f ca="1" t="shared" si="3"/>
        <v>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</row>
    <row r="151" spans="1:72">
      <c r="A151" s="10"/>
      <c r="B151" s="10"/>
      <c r="C151" s="10"/>
      <c r="D151" s="10"/>
      <c r="E151" s="24">
        <v>0</v>
      </c>
      <c r="F151" s="26">
        <f ca="1">SUMIF(I$3:$CU149,"入库",I151:$CU151)</f>
        <v>0</v>
      </c>
      <c r="G151" s="24">
        <f ca="1">SUMIF(J$3:$CU150,"出库",J151:$CU151)</f>
        <v>0</v>
      </c>
      <c r="H151" s="27">
        <f ca="1" t="shared" si="3"/>
        <v>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</row>
    <row r="152" spans="1:72">
      <c r="A152" s="10"/>
      <c r="B152" s="10"/>
      <c r="C152" s="10"/>
      <c r="D152" s="10"/>
      <c r="E152" s="24">
        <v>0</v>
      </c>
      <c r="F152" s="26">
        <f ca="1">SUMIF(I$3:$CU150,"入库",I152:$CU152)</f>
        <v>0</v>
      </c>
      <c r="G152" s="24">
        <f ca="1">SUMIF(J$3:$CU151,"出库",J152:$CU152)</f>
        <v>0</v>
      </c>
      <c r="H152" s="27">
        <f ca="1" t="shared" si="3"/>
        <v>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</row>
    <row r="153" spans="1:72">
      <c r="A153" s="10"/>
      <c r="B153" s="10"/>
      <c r="C153" s="10"/>
      <c r="D153" s="10"/>
      <c r="E153" s="24">
        <v>0</v>
      </c>
      <c r="F153" s="26">
        <f ca="1">SUMIF(I$3:$CU151,"入库",I153:$CU153)</f>
        <v>0</v>
      </c>
      <c r="G153" s="24">
        <f ca="1">SUMIF(J$3:$CU152,"出库",J153:$CU153)</f>
        <v>0</v>
      </c>
      <c r="H153" s="27">
        <f ca="1" t="shared" si="3"/>
        <v>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</row>
    <row r="154" spans="1:72">
      <c r="A154" s="10"/>
      <c r="B154" s="10"/>
      <c r="C154" s="10"/>
      <c r="D154" s="10"/>
      <c r="E154" s="24">
        <v>0</v>
      </c>
      <c r="F154" s="26">
        <f ca="1">SUMIF(I$3:$CU152,"入库",I154:$CU154)</f>
        <v>0</v>
      </c>
      <c r="G154" s="24">
        <f ca="1">SUMIF(J$3:$CU153,"出库",J154:$CU154)</f>
        <v>0</v>
      </c>
      <c r="H154" s="27">
        <f ca="1" t="shared" si="3"/>
        <v>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</row>
    <row r="155" spans="1:72">
      <c r="A155" s="10"/>
      <c r="B155" s="10"/>
      <c r="C155" s="10"/>
      <c r="D155" s="10"/>
      <c r="E155" s="24">
        <v>0</v>
      </c>
      <c r="F155" s="26">
        <f ca="1">SUMIF(I$3:$CU153,"入库",I155:$CU155)</f>
        <v>0</v>
      </c>
      <c r="G155" s="24">
        <f ca="1">SUMIF(J$3:$CU154,"出库",J155:$CU155)</f>
        <v>0</v>
      </c>
      <c r="H155" s="27">
        <f ca="1" t="shared" si="3"/>
        <v>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</row>
    <row r="156" spans="1:72">
      <c r="A156" s="10"/>
      <c r="B156" s="10"/>
      <c r="C156" s="10"/>
      <c r="D156" s="10"/>
      <c r="E156" s="24">
        <v>0</v>
      </c>
      <c r="F156" s="26">
        <f ca="1">SUMIF(I$3:$CU154,"入库",I156:$CU156)</f>
        <v>0</v>
      </c>
      <c r="G156" s="24">
        <f ca="1">SUMIF(J$3:$CU155,"出库",J156:$CU156)</f>
        <v>0</v>
      </c>
      <c r="H156" s="27">
        <f ca="1" t="shared" si="3"/>
        <v>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</row>
    <row r="157" spans="1:72">
      <c r="A157" s="10"/>
      <c r="B157" s="10"/>
      <c r="C157" s="10"/>
      <c r="D157" s="10"/>
      <c r="E157" s="24">
        <v>0</v>
      </c>
      <c r="F157" s="26">
        <f ca="1">SUMIF(I$3:$CU155,"入库",I157:$CU157)</f>
        <v>0</v>
      </c>
      <c r="G157" s="24">
        <f ca="1">SUMIF(J$3:$CU156,"出库",J157:$CU157)</f>
        <v>0</v>
      </c>
      <c r="H157" s="27">
        <f ca="1" t="shared" si="3"/>
        <v>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</row>
    <row r="158" spans="1:72">
      <c r="A158" s="10"/>
      <c r="B158" s="10"/>
      <c r="C158" s="10"/>
      <c r="D158" s="10"/>
      <c r="E158" s="24">
        <v>0</v>
      </c>
      <c r="F158" s="26">
        <f ca="1">SUMIF(I$3:$CU156,"入库",I158:$CU158)</f>
        <v>0</v>
      </c>
      <c r="G158" s="24">
        <f ca="1">SUMIF(J$3:$CU157,"出库",J158:$CU158)</f>
        <v>0</v>
      </c>
      <c r="H158" s="27">
        <f ca="1" t="shared" si="3"/>
        <v>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</row>
    <row r="159" spans="1:72">
      <c r="A159" s="10"/>
      <c r="B159" s="10"/>
      <c r="C159" s="10"/>
      <c r="D159" s="10"/>
      <c r="E159" s="24">
        <v>0</v>
      </c>
      <c r="F159" s="26">
        <f ca="1">SUMIF(I$3:$CU157,"入库",I159:$CU159)</f>
        <v>0</v>
      </c>
      <c r="G159" s="24">
        <f ca="1">SUMIF(J$3:$CU158,"出库",J159:$CU159)</f>
        <v>0</v>
      </c>
      <c r="H159" s="27">
        <f ca="1" t="shared" si="3"/>
        <v>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</row>
    <row r="160" spans="1:72">
      <c r="A160" s="10"/>
      <c r="B160" s="10"/>
      <c r="C160" s="10"/>
      <c r="D160" s="10"/>
      <c r="E160" s="24">
        <v>0</v>
      </c>
      <c r="F160" s="26">
        <f ca="1">SUMIF(I$3:$CU158,"入库",I160:$CU160)</f>
        <v>0</v>
      </c>
      <c r="G160" s="24">
        <f ca="1">SUMIF(J$3:$CU159,"出库",J160:$CU160)</f>
        <v>0</v>
      </c>
      <c r="H160" s="27">
        <f ca="1" t="shared" si="3"/>
        <v>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</row>
    <row r="161" spans="1:72">
      <c r="A161" s="10"/>
      <c r="B161" s="10"/>
      <c r="C161" s="10"/>
      <c r="D161" s="10"/>
      <c r="E161" s="24">
        <v>0</v>
      </c>
      <c r="F161" s="26">
        <f ca="1">SUMIF(I$3:$CU159,"入库",I161:$CU161)</f>
        <v>0</v>
      </c>
      <c r="G161" s="24">
        <f ca="1">SUMIF(J$3:$CU160,"出库",J161:$CU161)</f>
        <v>0</v>
      </c>
      <c r="H161" s="27">
        <f ca="1" t="shared" si="3"/>
        <v>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</row>
    <row r="162" spans="1:72">
      <c r="A162" s="10"/>
      <c r="B162" s="10"/>
      <c r="C162" s="10"/>
      <c r="D162" s="10"/>
      <c r="E162" s="24">
        <v>0</v>
      </c>
      <c r="F162" s="26">
        <f ca="1">SUMIF(I$3:$CU160,"入库",I162:$CU162)</f>
        <v>0</v>
      </c>
      <c r="G162" s="24">
        <f ca="1">SUMIF(J$3:$CU161,"出库",J162:$CU162)</f>
        <v>0</v>
      </c>
      <c r="H162" s="27">
        <f ca="1" t="shared" si="3"/>
        <v>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</row>
    <row r="163" spans="1:72">
      <c r="A163" s="10"/>
      <c r="B163" s="10"/>
      <c r="C163" s="10"/>
      <c r="D163" s="10"/>
      <c r="E163" s="24">
        <v>0</v>
      </c>
      <c r="F163" s="26">
        <f ca="1">SUMIF(I$3:$CU161,"入库",I163:$CU163)</f>
        <v>0</v>
      </c>
      <c r="G163" s="24">
        <f ca="1">SUMIF(J$3:$CU162,"出库",J163:$CU163)</f>
        <v>0</v>
      </c>
      <c r="H163" s="27">
        <f ca="1" t="shared" si="3"/>
        <v>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</row>
    <row r="164" spans="1:72">
      <c r="A164" s="10"/>
      <c r="B164" s="10"/>
      <c r="C164" s="10"/>
      <c r="D164" s="10"/>
      <c r="E164" s="24">
        <v>0</v>
      </c>
      <c r="F164" s="26">
        <f ca="1">SUMIF(I$3:$CU162,"入库",I164:$CU164)</f>
        <v>0</v>
      </c>
      <c r="G164" s="24">
        <f ca="1">SUMIF(J$3:$CU163,"出库",J164:$CU164)</f>
        <v>0</v>
      </c>
      <c r="H164" s="27">
        <f ca="1" t="shared" si="3"/>
        <v>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</row>
    <row r="165" spans="1:72">
      <c r="A165" s="10"/>
      <c r="B165" s="10"/>
      <c r="C165" s="10"/>
      <c r="D165" s="10"/>
      <c r="E165" s="24">
        <v>0</v>
      </c>
      <c r="F165" s="26">
        <f ca="1">SUMIF(I$3:$CU163,"入库",I165:$CU165)</f>
        <v>0</v>
      </c>
      <c r="G165" s="24">
        <f ca="1">SUMIF(J$3:$CU164,"出库",J165:$CU165)</f>
        <v>0</v>
      </c>
      <c r="H165" s="27">
        <f ca="1" t="shared" si="3"/>
        <v>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</row>
    <row r="166" spans="1:72">
      <c r="A166" s="10"/>
      <c r="B166" s="10"/>
      <c r="C166" s="10"/>
      <c r="D166" s="10"/>
      <c r="E166" s="24">
        <v>0</v>
      </c>
      <c r="F166" s="26">
        <f ca="1">SUMIF(I$3:$CU164,"入库",I166:$CU166)</f>
        <v>0</v>
      </c>
      <c r="G166" s="24">
        <f ca="1">SUMIF(J$3:$CU165,"出库",J166:$CU166)</f>
        <v>0</v>
      </c>
      <c r="H166" s="27">
        <f ca="1" t="shared" si="3"/>
        <v>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</row>
    <row r="167" spans="1:72">
      <c r="A167" s="10"/>
      <c r="B167" s="10"/>
      <c r="C167" s="10"/>
      <c r="D167" s="10"/>
      <c r="E167" s="24">
        <v>0</v>
      </c>
      <c r="F167" s="26">
        <f ca="1">SUMIF(I$3:$CU165,"入库",I167:$CU167)</f>
        <v>0</v>
      </c>
      <c r="G167" s="24">
        <f ca="1">SUMIF(J$3:$CU166,"出库",J167:$CU167)</f>
        <v>0</v>
      </c>
      <c r="H167" s="27">
        <f ca="1" t="shared" si="3"/>
        <v>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</row>
    <row r="168" spans="1:72">
      <c r="A168" s="10"/>
      <c r="B168" s="10"/>
      <c r="C168" s="10"/>
      <c r="D168" s="10"/>
      <c r="E168" s="24">
        <v>0</v>
      </c>
      <c r="F168" s="26">
        <f ca="1">SUMIF(I$3:$CU166,"入库",I168:$CU168)</f>
        <v>0</v>
      </c>
      <c r="G168" s="24">
        <f ca="1">SUMIF(J$3:$CU167,"出库",J168:$CU168)</f>
        <v>0</v>
      </c>
      <c r="H168" s="27">
        <f ca="1" t="shared" si="3"/>
        <v>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</row>
    <row r="169" spans="1:72">
      <c r="A169" s="10"/>
      <c r="B169" s="10"/>
      <c r="C169" s="10"/>
      <c r="D169" s="10"/>
      <c r="E169" s="24">
        <v>0</v>
      </c>
      <c r="F169" s="26">
        <f ca="1">SUMIF(I$3:$CU167,"入库",I169:$CU169)</f>
        <v>0</v>
      </c>
      <c r="G169" s="24">
        <f ca="1">SUMIF(J$3:$CU168,"出库",J169:$CU169)</f>
        <v>0</v>
      </c>
      <c r="H169" s="27">
        <f ca="1" t="shared" si="3"/>
        <v>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</row>
    <row r="170" spans="1:72">
      <c r="A170" s="10"/>
      <c r="B170" s="10"/>
      <c r="C170" s="10"/>
      <c r="D170" s="10"/>
      <c r="E170" s="24">
        <v>0</v>
      </c>
      <c r="F170" s="26">
        <f ca="1">SUMIF(I$3:$CU168,"入库",I170:$CU170)</f>
        <v>0</v>
      </c>
      <c r="G170" s="24">
        <f ca="1">SUMIF(J$3:$CU169,"出库",J170:$CU170)</f>
        <v>0</v>
      </c>
      <c r="H170" s="27">
        <f ca="1" t="shared" si="3"/>
        <v>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</row>
    <row r="171" spans="1:72">
      <c r="A171" s="10"/>
      <c r="B171" s="10"/>
      <c r="C171" s="10"/>
      <c r="D171" s="10"/>
      <c r="E171" s="24">
        <v>0</v>
      </c>
      <c r="F171" s="26">
        <f ca="1">SUMIF(I$3:$CU169,"入库",I171:$CU171)</f>
        <v>0</v>
      </c>
      <c r="G171" s="24">
        <f ca="1">SUMIF(J$3:$CU170,"出库",J171:$CU171)</f>
        <v>0</v>
      </c>
      <c r="H171" s="27">
        <f ca="1" t="shared" si="3"/>
        <v>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</row>
    <row r="172" spans="1:72">
      <c r="A172" s="10"/>
      <c r="B172" s="10"/>
      <c r="C172" s="10"/>
      <c r="D172" s="10"/>
      <c r="E172" s="24">
        <v>0</v>
      </c>
      <c r="F172" s="26">
        <f ca="1">SUMIF(I$3:$CU170,"入库",I172:$CU172)</f>
        <v>0</v>
      </c>
      <c r="G172" s="24">
        <f ca="1">SUMIF(J$3:$CU171,"出库",J172:$CU172)</f>
        <v>0</v>
      </c>
      <c r="H172" s="27">
        <f ca="1" t="shared" si="3"/>
        <v>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</row>
    <row r="173" spans="1:72">
      <c r="A173" s="10"/>
      <c r="B173" s="10"/>
      <c r="C173" s="10"/>
      <c r="D173" s="10"/>
      <c r="E173" s="24">
        <v>0</v>
      </c>
      <c r="F173" s="26">
        <f ca="1">SUMIF(I$3:$CU171,"入库",I173:$CU173)</f>
        <v>0</v>
      </c>
      <c r="G173" s="24">
        <f ca="1">SUMIF(J$3:$CU172,"出库",J173:$CU173)</f>
        <v>0</v>
      </c>
      <c r="H173" s="27">
        <f ca="1" t="shared" si="3"/>
        <v>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</row>
    <row r="174" spans="1:72">
      <c r="A174" s="10"/>
      <c r="B174" s="10"/>
      <c r="C174" s="10"/>
      <c r="D174" s="10"/>
      <c r="E174" s="24">
        <v>0</v>
      </c>
      <c r="F174" s="26">
        <f ca="1">SUMIF(I$3:$CU172,"入库",I174:$CU174)</f>
        <v>0</v>
      </c>
      <c r="G174" s="24">
        <f ca="1">SUMIF(J$3:$CU173,"出库",J174:$CU174)</f>
        <v>0</v>
      </c>
      <c r="H174" s="27">
        <f ca="1" t="shared" si="3"/>
        <v>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</row>
    <row r="175" spans="1:72">
      <c r="A175" s="10"/>
      <c r="B175" s="10"/>
      <c r="C175" s="10"/>
      <c r="D175" s="10"/>
      <c r="E175" s="24">
        <v>0</v>
      </c>
      <c r="F175" s="26">
        <f ca="1">SUMIF(I$3:$CU173,"入库",I175:$CU175)</f>
        <v>0</v>
      </c>
      <c r="G175" s="24">
        <f ca="1">SUMIF(J$3:$CU174,"出库",J175:$CU175)</f>
        <v>0</v>
      </c>
      <c r="H175" s="27">
        <f ca="1" t="shared" si="3"/>
        <v>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</row>
    <row r="176" spans="1:72">
      <c r="A176" s="10"/>
      <c r="B176" s="10"/>
      <c r="C176" s="10"/>
      <c r="D176" s="10"/>
      <c r="E176" s="24">
        <v>0</v>
      </c>
      <c r="F176" s="26">
        <f ca="1">SUMIF(I$3:$CU174,"入库",I176:$CU176)</f>
        <v>0</v>
      </c>
      <c r="G176" s="24">
        <f ca="1">SUMIF(J$3:$CU175,"出库",J176:$CU176)</f>
        <v>0</v>
      </c>
      <c r="H176" s="27">
        <f ca="1" t="shared" si="3"/>
        <v>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</row>
    <row r="177" spans="1:72">
      <c r="A177" s="10"/>
      <c r="B177" s="10"/>
      <c r="C177" s="10"/>
      <c r="D177" s="10"/>
      <c r="E177" s="24">
        <v>0</v>
      </c>
      <c r="F177" s="26">
        <f ca="1">SUMIF(I$3:$CU175,"入库",I177:$CU177)</f>
        <v>0</v>
      </c>
      <c r="G177" s="24">
        <f ca="1">SUMIF(J$3:$CU176,"出库",J177:$CU177)</f>
        <v>0</v>
      </c>
      <c r="H177" s="27">
        <f ca="1" t="shared" si="3"/>
        <v>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</row>
    <row r="178" spans="1:72">
      <c r="A178" s="10"/>
      <c r="B178" s="10"/>
      <c r="C178" s="10"/>
      <c r="D178" s="10"/>
      <c r="E178" s="24">
        <v>0</v>
      </c>
      <c r="F178" s="26">
        <f ca="1">SUMIF(I$3:$CU176,"入库",I178:$CU178)</f>
        <v>0</v>
      </c>
      <c r="G178" s="24">
        <f ca="1">SUMIF(J$3:$CU177,"出库",J178:$CU178)</f>
        <v>0</v>
      </c>
      <c r="H178" s="27">
        <f ca="1" t="shared" si="3"/>
        <v>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</row>
    <row r="179" spans="1:72">
      <c r="A179" s="10"/>
      <c r="B179" s="10"/>
      <c r="C179" s="10"/>
      <c r="D179" s="10"/>
      <c r="E179" s="24">
        <v>0</v>
      </c>
      <c r="F179" s="26">
        <f ca="1">SUMIF(I$3:$CU177,"入库",I179:$CU179)</f>
        <v>0</v>
      </c>
      <c r="G179" s="24">
        <f ca="1">SUMIF(J$3:$CU178,"出库",J179:$CU179)</f>
        <v>0</v>
      </c>
      <c r="H179" s="27">
        <f ca="1" t="shared" si="3"/>
        <v>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</row>
    <row r="180" spans="1:72">
      <c r="A180" s="10"/>
      <c r="B180" s="10"/>
      <c r="C180" s="10"/>
      <c r="D180" s="10"/>
      <c r="E180" s="24">
        <v>0</v>
      </c>
      <c r="F180" s="26">
        <f ca="1">SUMIF(I$3:$CU178,"入库",I180:$CU180)</f>
        <v>0</v>
      </c>
      <c r="G180" s="24">
        <f ca="1">SUMIF(J$3:$CU179,"出库",J180:$CU180)</f>
        <v>0</v>
      </c>
      <c r="H180" s="27">
        <f ca="1" t="shared" si="3"/>
        <v>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</row>
    <row r="181" spans="1:72">
      <c r="A181" s="10"/>
      <c r="B181" s="10"/>
      <c r="C181" s="10"/>
      <c r="D181" s="10"/>
      <c r="E181" s="24">
        <v>0</v>
      </c>
      <c r="F181" s="26">
        <f ca="1">SUMIF(I$3:$CU179,"入库",I181:$CU181)</f>
        <v>0</v>
      </c>
      <c r="G181" s="24">
        <f ca="1">SUMIF(J$3:$CU180,"出库",J181:$CU181)</f>
        <v>0</v>
      </c>
      <c r="H181" s="27">
        <f ca="1" t="shared" si="3"/>
        <v>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</row>
    <row r="182" spans="1:72">
      <c r="A182" s="10"/>
      <c r="B182" s="10"/>
      <c r="C182" s="10"/>
      <c r="D182" s="10"/>
      <c r="E182" s="24">
        <v>0</v>
      </c>
      <c r="F182" s="26">
        <f ca="1">SUMIF(I$3:$CU180,"入库",I182:$CU182)</f>
        <v>0</v>
      </c>
      <c r="G182" s="24">
        <f ca="1">SUMIF(J$3:$CU181,"出库",J182:$CU182)</f>
        <v>0</v>
      </c>
      <c r="H182" s="27">
        <f ca="1" t="shared" si="3"/>
        <v>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</row>
    <row r="183" spans="1:72">
      <c r="A183" s="10"/>
      <c r="B183" s="10"/>
      <c r="C183" s="10"/>
      <c r="D183" s="10"/>
      <c r="E183" s="24">
        <v>0</v>
      </c>
      <c r="F183" s="26">
        <f ca="1">SUMIF(I$3:$CU181,"入库",I183:$CU183)</f>
        <v>0</v>
      </c>
      <c r="G183" s="24">
        <f ca="1">SUMIF(J$3:$CU182,"出库",J183:$CU183)</f>
        <v>0</v>
      </c>
      <c r="H183" s="27">
        <f ca="1" t="shared" si="3"/>
        <v>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</row>
    <row r="184" spans="1:72">
      <c r="A184" s="10"/>
      <c r="B184" s="10"/>
      <c r="C184" s="10"/>
      <c r="D184" s="10"/>
      <c r="E184" s="24">
        <v>0</v>
      </c>
      <c r="F184" s="26">
        <f ca="1">SUMIF(I$3:$CU182,"入库",I184:$CU184)</f>
        <v>0</v>
      </c>
      <c r="G184" s="24">
        <f ca="1">SUMIF(J$3:$CU183,"出库",J184:$CU184)</f>
        <v>0</v>
      </c>
      <c r="H184" s="27">
        <f ca="1" t="shared" si="3"/>
        <v>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</row>
    <row r="185" spans="1:72">
      <c r="A185" s="10"/>
      <c r="B185" s="10"/>
      <c r="C185" s="10"/>
      <c r="D185" s="10"/>
      <c r="E185" s="24">
        <v>0</v>
      </c>
      <c r="F185" s="26">
        <f ca="1">SUMIF(I$3:$CU183,"入库",I185:$CU185)</f>
        <v>0</v>
      </c>
      <c r="G185" s="24">
        <f ca="1">SUMIF(J$3:$CU184,"出库",J185:$CU185)</f>
        <v>0</v>
      </c>
      <c r="H185" s="27">
        <f ca="1" t="shared" si="3"/>
        <v>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</row>
    <row r="186" spans="1:72">
      <c r="A186" s="10"/>
      <c r="B186" s="10"/>
      <c r="C186" s="10"/>
      <c r="D186" s="10"/>
      <c r="E186" s="24">
        <v>0</v>
      </c>
      <c r="F186" s="26">
        <f ca="1">SUMIF(I$3:$CU184,"入库",I186:$CU186)</f>
        <v>0</v>
      </c>
      <c r="G186" s="24">
        <f ca="1">SUMIF(J$3:$CU185,"出库",J186:$CU186)</f>
        <v>0</v>
      </c>
      <c r="H186" s="27">
        <f ca="1" t="shared" si="3"/>
        <v>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</row>
    <row r="187" spans="1:72">
      <c r="A187" s="10"/>
      <c r="B187" s="10"/>
      <c r="C187" s="10"/>
      <c r="D187" s="10"/>
      <c r="E187" s="24">
        <v>0</v>
      </c>
      <c r="F187" s="26">
        <f ca="1">SUMIF(I$3:$CU185,"入库",I187:$CU187)</f>
        <v>0</v>
      </c>
      <c r="G187" s="24">
        <f ca="1">SUMIF(J$3:$CU186,"出库",J187:$CU187)</f>
        <v>0</v>
      </c>
      <c r="H187" s="27">
        <f ca="1" t="shared" si="3"/>
        <v>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</row>
    <row r="188" spans="1:72">
      <c r="A188" s="10"/>
      <c r="B188" s="10"/>
      <c r="C188" s="10"/>
      <c r="D188" s="10"/>
      <c r="E188" s="24">
        <v>0</v>
      </c>
      <c r="F188" s="26">
        <f ca="1">SUMIF(I$3:$CU186,"入库",I188:$CU188)</f>
        <v>0</v>
      </c>
      <c r="G188" s="24">
        <f ca="1">SUMIF(J$3:$CU187,"出库",J188:$CU188)</f>
        <v>0</v>
      </c>
      <c r="H188" s="27">
        <f ca="1" t="shared" si="3"/>
        <v>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</row>
    <row r="189" spans="1:72">
      <c r="A189" s="10"/>
      <c r="B189" s="10"/>
      <c r="C189" s="10"/>
      <c r="D189" s="10"/>
      <c r="E189" s="24">
        <v>0</v>
      </c>
      <c r="F189" s="26">
        <f ca="1">SUMIF(I$3:$CU187,"入库",I189:$CU189)</f>
        <v>0</v>
      </c>
      <c r="G189" s="24">
        <f ca="1">SUMIF(J$3:$CU188,"出库",J189:$CU189)</f>
        <v>0</v>
      </c>
      <c r="H189" s="27">
        <f ca="1" t="shared" si="3"/>
        <v>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</row>
    <row r="190" spans="1:72">
      <c r="A190" s="10"/>
      <c r="B190" s="10"/>
      <c r="C190" s="10"/>
      <c r="D190" s="10"/>
      <c r="E190" s="24">
        <v>0</v>
      </c>
      <c r="F190" s="26">
        <f ca="1">SUMIF(I$3:$CU188,"入库",I190:$CU190)</f>
        <v>0</v>
      </c>
      <c r="G190" s="24">
        <f ca="1">SUMIF(J$3:$CU189,"出库",J190:$CU190)</f>
        <v>0</v>
      </c>
      <c r="H190" s="27">
        <f ca="1" t="shared" si="3"/>
        <v>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</row>
    <row r="191" spans="1:72">
      <c r="A191" s="10"/>
      <c r="B191" s="10"/>
      <c r="C191" s="10"/>
      <c r="D191" s="10"/>
      <c r="E191" s="24">
        <v>0</v>
      </c>
      <c r="F191" s="26">
        <f ca="1">SUMIF(I$3:$CU189,"入库",I191:$CU191)</f>
        <v>0</v>
      </c>
      <c r="G191" s="24">
        <f ca="1">SUMIF(J$3:$CU190,"出库",J191:$CU191)</f>
        <v>0</v>
      </c>
      <c r="H191" s="27">
        <f ca="1" t="shared" si="3"/>
        <v>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</row>
    <row r="192" spans="1:72">
      <c r="A192" s="10"/>
      <c r="B192" s="10"/>
      <c r="C192" s="10"/>
      <c r="D192" s="10"/>
      <c r="E192" s="24">
        <v>0</v>
      </c>
      <c r="F192" s="26">
        <f ca="1">SUMIF(I$3:$CU190,"入库",I192:$CU192)</f>
        <v>0</v>
      </c>
      <c r="G192" s="24">
        <f ca="1">SUMIF(J$3:$CU191,"出库",J192:$CU192)</f>
        <v>0</v>
      </c>
      <c r="H192" s="27">
        <f ca="1" t="shared" si="3"/>
        <v>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</row>
    <row r="193" spans="1:72">
      <c r="A193" s="10"/>
      <c r="B193" s="10"/>
      <c r="C193" s="10"/>
      <c r="D193" s="10"/>
      <c r="E193" s="24">
        <v>0</v>
      </c>
      <c r="F193" s="26">
        <f ca="1">SUMIF(I$3:$CU191,"入库",I193:$CU193)</f>
        <v>0</v>
      </c>
      <c r="G193" s="24">
        <f ca="1">SUMIF(J$3:$CU192,"出库",J193:$CU193)</f>
        <v>0</v>
      </c>
      <c r="H193" s="27">
        <f ca="1" t="shared" si="3"/>
        <v>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</row>
    <row r="194" spans="1:72">
      <c r="A194" s="10"/>
      <c r="B194" s="10"/>
      <c r="C194" s="10"/>
      <c r="D194" s="10"/>
      <c r="E194" s="24">
        <v>0</v>
      </c>
      <c r="F194" s="26">
        <f ca="1">SUMIF(I$3:$CU192,"入库",I194:$CU194)</f>
        <v>0</v>
      </c>
      <c r="G194" s="24">
        <f ca="1">SUMIF(J$3:$CU193,"出库",J194:$CU194)</f>
        <v>0</v>
      </c>
      <c r="H194" s="27">
        <f ca="1" t="shared" si="3"/>
        <v>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</row>
    <row r="195" spans="1:72">
      <c r="A195" s="10"/>
      <c r="B195" s="10"/>
      <c r="C195" s="10"/>
      <c r="D195" s="10"/>
      <c r="E195" s="24">
        <v>0</v>
      </c>
      <c r="F195" s="26">
        <f ca="1">SUMIF(I$3:$CU193,"入库",I195:$CU195)</f>
        <v>0</v>
      </c>
      <c r="G195" s="24">
        <f ca="1">SUMIF(J$3:$CU194,"出库",J195:$CU195)</f>
        <v>0</v>
      </c>
      <c r="H195" s="27">
        <f ca="1" t="shared" si="3"/>
        <v>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</row>
    <row r="196" spans="1:72">
      <c r="A196" s="10"/>
      <c r="B196" s="10"/>
      <c r="C196" s="10"/>
      <c r="D196" s="10"/>
      <c r="E196" s="24">
        <v>0</v>
      </c>
      <c r="F196" s="26">
        <f ca="1">SUMIF(I$3:$CU194,"入库",I196:$CU196)</f>
        <v>0</v>
      </c>
      <c r="G196" s="24">
        <f ca="1">SUMIF(J$3:$CU195,"出库",J196:$CU196)</f>
        <v>0</v>
      </c>
      <c r="H196" s="27">
        <f ca="1" t="shared" si="3"/>
        <v>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</row>
    <row r="197" spans="1:72">
      <c r="A197" s="10"/>
      <c r="B197" s="10"/>
      <c r="C197" s="10"/>
      <c r="D197" s="10"/>
      <c r="E197" s="24">
        <v>0</v>
      </c>
      <c r="F197" s="26">
        <f ca="1">SUMIF(I$3:$CU195,"入库",I197:$CU197)</f>
        <v>0</v>
      </c>
      <c r="G197" s="24">
        <f ca="1">SUMIF(J$3:$CU196,"出库",J197:$CU197)</f>
        <v>0</v>
      </c>
      <c r="H197" s="27">
        <f ca="1" t="shared" si="3"/>
        <v>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</row>
    <row r="198" spans="1:72">
      <c r="A198" s="10"/>
      <c r="B198" s="10"/>
      <c r="C198" s="10"/>
      <c r="D198" s="10"/>
      <c r="E198" s="24">
        <v>0</v>
      </c>
      <c r="F198" s="26">
        <f ca="1">SUMIF(I$3:$CU196,"入库",I198:$CU198)</f>
        <v>0</v>
      </c>
      <c r="G198" s="24">
        <f ca="1">SUMIF(J$3:$CU197,"出库",J198:$CU198)</f>
        <v>0</v>
      </c>
      <c r="H198" s="27">
        <f ca="1" t="shared" ref="H198:H261" si="4">E198+F198-G198</f>
        <v>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</row>
    <row r="199" spans="1:72">
      <c r="A199" s="10"/>
      <c r="B199" s="10"/>
      <c r="C199" s="10"/>
      <c r="D199" s="10"/>
      <c r="E199" s="24">
        <v>0</v>
      </c>
      <c r="F199" s="26">
        <f ca="1">SUMIF(I$3:$CU197,"入库",I199:$CU199)</f>
        <v>0</v>
      </c>
      <c r="G199" s="24">
        <f ca="1">SUMIF(J$3:$CU198,"出库",J199:$CU199)</f>
        <v>0</v>
      </c>
      <c r="H199" s="27">
        <f ca="1" t="shared" si="4"/>
        <v>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</row>
    <row r="200" spans="1:72">
      <c r="A200" s="10"/>
      <c r="B200" s="10"/>
      <c r="C200" s="10"/>
      <c r="D200" s="10"/>
      <c r="E200" s="24">
        <v>0</v>
      </c>
      <c r="F200" s="26">
        <f ca="1">SUMIF(I$3:$CU198,"入库",I200:$CU200)</f>
        <v>0</v>
      </c>
      <c r="G200" s="24">
        <f ca="1">SUMIF(J$3:$CU199,"出库",J200:$CU200)</f>
        <v>0</v>
      </c>
      <c r="H200" s="27">
        <f ca="1" t="shared" si="4"/>
        <v>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</row>
    <row r="201" spans="1:72">
      <c r="A201" s="10"/>
      <c r="B201" s="10"/>
      <c r="C201" s="10"/>
      <c r="D201" s="10"/>
      <c r="E201" s="24">
        <v>0</v>
      </c>
      <c r="F201" s="26">
        <f ca="1">SUMIF(I$3:$CU199,"入库",I201:$CU201)</f>
        <v>0</v>
      </c>
      <c r="G201" s="24">
        <f ca="1">SUMIF(J$3:$CU200,"出库",J201:$CU201)</f>
        <v>0</v>
      </c>
      <c r="H201" s="27">
        <f ca="1" t="shared" si="4"/>
        <v>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spans="1:72">
      <c r="A202" s="10"/>
      <c r="B202" s="10"/>
      <c r="C202" s="10"/>
      <c r="D202" s="10"/>
      <c r="E202" s="24">
        <v>0</v>
      </c>
      <c r="F202" s="26">
        <f ca="1">SUMIF(I$3:$CU200,"入库",I202:$CU202)</f>
        <v>0</v>
      </c>
      <c r="G202" s="24">
        <f ca="1">SUMIF(J$3:$CU201,"出库",J202:$CU202)</f>
        <v>0</v>
      </c>
      <c r="H202" s="27">
        <f ca="1" t="shared" si="4"/>
        <v>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spans="1:72">
      <c r="A203" s="10"/>
      <c r="B203" s="10"/>
      <c r="C203" s="10"/>
      <c r="D203" s="10"/>
      <c r="E203" s="24">
        <v>0</v>
      </c>
      <c r="F203" s="26">
        <f ca="1">SUMIF(I$3:$CU201,"入库",I203:$CU203)</f>
        <v>0</v>
      </c>
      <c r="G203" s="24">
        <f ca="1">SUMIF(J$3:$CU202,"出库",J203:$CU203)</f>
        <v>0</v>
      </c>
      <c r="H203" s="27">
        <f ca="1" t="shared" si="4"/>
        <v>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spans="1:72">
      <c r="A204" s="10"/>
      <c r="B204" s="10"/>
      <c r="C204" s="10"/>
      <c r="D204" s="10"/>
      <c r="E204" s="24">
        <v>0</v>
      </c>
      <c r="F204" s="26">
        <f ca="1">SUMIF(I$3:$CU202,"入库",I204:$CU204)</f>
        <v>0</v>
      </c>
      <c r="G204" s="24">
        <f ca="1">SUMIF(J$3:$CU203,"出库",J204:$CU204)</f>
        <v>0</v>
      </c>
      <c r="H204" s="27">
        <f ca="1" t="shared" si="4"/>
        <v>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spans="1:72">
      <c r="A205" s="10"/>
      <c r="B205" s="10"/>
      <c r="C205" s="10"/>
      <c r="D205" s="10"/>
      <c r="E205" s="24">
        <v>0</v>
      </c>
      <c r="F205" s="26">
        <f ca="1">SUMIF(I$3:$CU203,"入库",I205:$CU205)</f>
        <v>0</v>
      </c>
      <c r="G205" s="24">
        <f ca="1">SUMIF(J$3:$CU204,"出库",J205:$CU205)</f>
        <v>0</v>
      </c>
      <c r="H205" s="27">
        <f ca="1" t="shared" si="4"/>
        <v>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spans="1:72">
      <c r="A206" s="10"/>
      <c r="B206" s="10"/>
      <c r="C206" s="10"/>
      <c r="D206" s="10"/>
      <c r="E206" s="24">
        <v>0</v>
      </c>
      <c r="F206" s="26">
        <f ca="1">SUMIF(I$3:$CU204,"入库",I206:$CU206)</f>
        <v>0</v>
      </c>
      <c r="G206" s="24">
        <f ca="1">SUMIF(J$3:$CU205,"出库",J206:$CU206)</f>
        <v>0</v>
      </c>
      <c r="H206" s="27">
        <f ca="1" t="shared" si="4"/>
        <v>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spans="1:72">
      <c r="A207" s="10"/>
      <c r="B207" s="10"/>
      <c r="C207" s="10"/>
      <c r="D207" s="10"/>
      <c r="E207" s="24">
        <v>0</v>
      </c>
      <c r="F207" s="26">
        <f ca="1">SUMIF(I$3:$CU205,"入库",I207:$CU207)</f>
        <v>0</v>
      </c>
      <c r="G207" s="24">
        <f ca="1">SUMIF(J$3:$CU206,"出库",J207:$CU207)</f>
        <v>0</v>
      </c>
      <c r="H207" s="27">
        <f ca="1" t="shared" si="4"/>
        <v>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spans="1:72">
      <c r="A208" s="10"/>
      <c r="B208" s="10"/>
      <c r="C208" s="10"/>
      <c r="D208" s="10"/>
      <c r="E208" s="24">
        <v>0</v>
      </c>
      <c r="F208" s="26">
        <f ca="1">SUMIF(I$3:$CU206,"入库",I208:$CU208)</f>
        <v>0</v>
      </c>
      <c r="G208" s="24">
        <f ca="1">SUMIF(J$3:$CU207,"出库",J208:$CU208)</f>
        <v>0</v>
      </c>
      <c r="H208" s="27">
        <f ca="1" t="shared" si="4"/>
        <v>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spans="1:72">
      <c r="A209" s="10"/>
      <c r="B209" s="10"/>
      <c r="C209" s="10"/>
      <c r="D209" s="10"/>
      <c r="E209" s="24">
        <v>0</v>
      </c>
      <c r="F209" s="26">
        <f ca="1">SUMIF(I$3:$CU207,"入库",I209:$CU209)</f>
        <v>0</v>
      </c>
      <c r="G209" s="24">
        <f ca="1">SUMIF(J$3:$CU208,"出库",J209:$CU209)</f>
        <v>0</v>
      </c>
      <c r="H209" s="27">
        <f ca="1" t="shared" si="4"/>
        <v>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spans="1:72">
      <c r="A210" s="10"/>
      <c r="B210" s="10"/>
      <c r="C210" s="10"/>
      <c r="D210" s="10"/>
      <c r="E210" s="24">
        <v>0</v>
      </c>
      <c r="F210" s="26">
        <f ca="1">SUMIF(I$3:$CU208,"入库",I210:$CU210)</f>
        <v>0</v>
      </c>
      <c r="G210" s="24">
        <f ca="1">SUMIF(J$3:$CU209,"出库",J210:$CU210)</f>
        <v>0</v>
      </c>
      <c r="H210" s="27">
        <f ca="1" t="shared" si="4"/>
        <v>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spans="1:72">
      <c r="A211" s="10"/>
      <c r="B211" s="10"/>
      <c r="C211" s="10"/>
      <c r="D211" s="10"/>
      <c r="E211" s="24">
        <v>0</v>
      </c>
      <c r="F211" s="26">
        <f ca="1">SUMIF(I$3:$CU209,"入库",I211:$CU211)</f>
        <v>0</v>
      </c>
      <c r="G211" s="24">
        <f ca="1">SUMIF(J$3:$CU210,"出库",J211:$CU211)</f>
        <v>0</v>
      </c>
      <c r="H211" s="27">
        <f ca="1" t="shared" si="4"/>
        <v>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spans="1:72">
      <c r="A212" s="10"/>
      <c r="B212" s="10"/>
      <c r="C212" s="10"/>
      <c r="D212" s="10"/>
      <c r="E212" s="24">
        <v>0</v>
      </c>
      <c r="F212" s="26">
        <f ca="1">SUMIF(I$3:$CU210,"入库",I212:$CU212)</f>
        <v>0</v>
      </c>
      <c r="G212" s="24">
        <f ca="1">SUMIF(J$3:$CU211,"出库",J212:$CU212)</f>
        <v>0</v>
      </c>
      <c r="H212" s="27">
        <f ca="1" t="shared" si="4"/>
        <v>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spans="1:72">
      <c r="A213" s="10"/>
      <c r="B213" s="10"/>
      <c r="C213" s="10"/>
      <c r="D213" s="10"/>
      <c r="E213" s="24">
        <v>0</v>
      </c>
      <c r="F213" s="26">
        <f ca="1">SUMIF(I$3:$CU211,"入库",I213:$CU213)</f>
        <v>0</v>
      </c>
      <c r="G213" s="24">
        <f ca="1">SUMIF(J$3:$CU212,"出库",J213:$CU213)</f>
        <v>0</v>
      </c>
      <c r="H213" s="27">
        <f ca="1" t="shared" si="4"/>
        <v>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spans="1:72">
      <c r="A214" s="10"/>
      <c r="B214" s="10"/>
      <c r="C214" s="10"/>
      <c r="D214" s="10"/>
      <c r="E214" s="24">
        <v>0</v>
      </c>
      <c r="F214" s="26">
        <f ca="1">SUMIF(I$3:$CU212,"入库",I214:$CU214)</f>
        <v>0</v>
      </c>
      <c r="G214" s="24">
        <f ca="1">SUMIF(J$3:$CU213,"出库",J214:$CU214)</f>
        <v>0</v>
      </c>
      <c r="H214" s="27">
        <f ca="1" t="shared" si="4"/>
        <v>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spans="1:72">
      <c r="A215" s="10"/>
      <c r="B215" s="10"/>
      <c r="C215" s="10"/>
      <c r="D215" s="10"/>
      <c r="E215" s="24">
        <v>0</v>
      </c>
      <c r="F215" s="26">
        <f ca="1">SUMIF(I$3:$CU213,"入库",I215:$CU215)</f>
        <v>0</v>
      </c>
      <c r="G215" s="24">
        <f ca="1">SUMIF(J$3:$CU214,"出库",J215:$CU215)</f>
        <v>0</v>
      </c>
      <c r="H215" s="27">
        <f ca="1" t="shared" si="4"/>
        <v>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spans="1:72">
      <c r="A216" s="10"/>
      <c r="B216" s="10"/>
      <c r="C216" s="10"/>
      <c r="D216" s="10"/>
      <c r="E216" s="24">
        <v>0</v>
      </c>
      <c r="F216" s="26">
        <f ca="1">SUMIF(I$3:$CU214,"入库",I216:$CU216)</f>
        <v>0</v>
      </c>
      <c r="G216" s="24">
        <f ca="1">SUMIF(J$3:$CU215,"出库",J216:$CU216)</f>
        <v>0</v>
      </c>
      <c r="H216" s="27">
        <f ca="1" t="shared" si="4"/>
        <v>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spans="1:72">
      <c r="A217" s="10"/>
      <c r="B217" s="10"/>
      <c r="C217" s="10"/>
      <c r="D217" s="10"/>
      <c r="E217" s="24">
        <v>0</v>
      </c>
      <c r="F217" s="26">
        <f ca="1">SUMIF(I$3:$CU215,"入库",I217:$CU217)</f>
        <v>0</v>
      </c>
      <c r="G217" s="24">
        <f ca="1">SUMIF(J$3:$CU216,"出库",J217:$CU217)</f>
        <v>0</v>
      </c>
      <c r="H217" s="27">
        <f ca="1" t="shared" si="4"/>
        <v>0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spans="1:72">
      <c r="A218" s="10"/>
      <c r="B218" s="10"/>
      <c r="C218" s="10"/>
      <c r="D218" s="10"/>
      <c r="E218" s="24">
        <v>0</v>
      </c>
      <c r="F218" s="26">
        <f ca="1">SUMIF(I$3:$CU216,"入库",I218:$CU218)</f>
        <v>0</v>
      </c>
      <c r="G218" s="24">
        <f ca="1">SUMIF(J$3:$CU217,"出库",J218:$CU218)</f>
        <v>0</v>
      </c>
      <c r="H218" s="27">
        <f ca="1" t="shared" si="4"/>
        <v>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spans="1:72">
      <c r="A219" s="10"/>
      <c r="B219" s="10"/>
      <c r="C219" s="10"/>
      <c r="D219" s="10"/>
      <c r="E219" s="24">
        <v>0</v>
      </c>
      <c r="F219" s="26">
        <f ca="1">SUMIF(I$3:$CU217,"入库",I219:$CU219)</f>
        <v>0</v>
      </c>
      <c r="G219" s="24">
        <f ca="1">SUMIF(J$3:$CU218,"出库",J219:$CU219)</f>
        <v>0</v>
      </c>
      <c r="H219" s="27">
        <f ca="1" t="shared" si="4"/>
        <v>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spans="1:72">
      <c r="A220" s="10"/>
      <c r="B220" s="10"/>
      <c r="C220" s="10"/>
      <c r="D220" s="10"/>
      <c r="E220" s="24">
        <v>0</v>
      </c>
      <c r="F220" s="26">
        <f ca="1">SUMIF(I$3:$CU218,"入库",I220:$CU220)</f>
        <v>0</v>
      </c>
      <c r="G220" s="24">
        <f ca="1">SUMIF(J$3:$CU219,"出库",J220:$CU220)</f>
        <v>0</v>
      </c>
      <c r="H220" s="27">
        <f ca="1" t="shared" si="4"/>
        <v>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spans="1:72">
      <c r="A221" s="10"/>
      <c r="B221" s="10"/>
      <c r="C221" s="10"/>
      <c r="D221" s="10"/>
      <c r="E221" s="24">
        <v>0</v>
      </c>
      <c r="F221" s="26">
        <f ca="1">SUMIF(I$3:$CU219,"入库",I221:$CU221)</f>
        <v>0</v>
      </c>
      <c r="G221" s="24">
        <f ca="1">SUMIF(J$3:$CU220,"出库",J221:$CU221)</f>
        <v>0</v>
      </c>
      <c r="H221" s="27">
        <f ca="1" t="shared" si="4"/>
        <v>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spans="1:72">
      <c r="A222" s="10"/>
      <c r="B222" s="10"/>
      <c r="C222" s="10"/>
      <c r="D222" s="10"/>
      <c r="E222" s="24">
        <v>0</v>
      </c>
      <c r="F222" s="26">
        <f ca="1">SUMIF(I$3:$CU220,"入库",I222:$CU222)</f>
        <v>0</v>
      </c>
      <c r="G222" s="24">
        <f ca="1">SUMIF(J$3:$CU221,"出库",J222:$CU222)</f>
        <v>0</v>
      </c>
      <c r="H222" s="27">
        <f ca="1" t="shared" si="4"/>
        <v>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spans="1:72">
      <c r="A223" s="10"/>
      <c r="B223" s="10"/>
      <c r="C223" s="10"/>
      <c r="D223" s="10"/>
      <c r="E223" s="24">
        <v>0</v>
      </c>
      <c r="F223" s="26">
        <f ca="1">SUMIF(I$3:$CU221,"入库",I223:$CU223)</f>
        <v>0</v>
      </c>
      <c r="G223" s="24">
        <f ca="1">SUMIF(J$3:$CU222,"出库",J223:$CU223)</f>
        <v>0</v>
      </c>
      <c r="H223" s="27">
        <f ca="1" t="shared" si="4"/>
        <v>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spans="1:72">
      <c r="A224" s="10"/>
      <c r="B224" s="10"/>
      <c r="C224" s="10"/>
      <c r="D224" s="10"/>
      <c r="E224" s="24">
        <v>0</v>
      </c>
      <c r="F224" s="26">
        <f ca="1">SUMIF(I$3:$CU222,"入库",I224:$CU224)</f>
        <v>0</v>
      </c>
      <c r="G224" s="24">
        <f ca="1">SUMIF(J$3:$CU223,"出库",J224:$CU224)</f>
        <v>0</v>
      </c>
      <c r="H224" s="27">
        <f ca="1" t="shared" si="4"/>
        <v>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spans="1:72">
      <c r="A225" s="10"/>
      <c r="B225" s="10"/>
      <c r="C225" s="10"/>
      <c r="D225" s="10"/>
      <c r="E225" s="24">
        <v>0</v>
      </c>
      <c r="F225" s="26">
        <f ca="1">SUMIF(I$3:$CU223,"入库",I225:$CU225)</f>
        <v>0</v>
      </c>
      <c r="G225" s="24">
        <f ca="1">SUMIF(J$3:$CU224,"出库",J225:$CU225)</f>
        <v>0</v>
      </c>
      <c r="H225" s="27">
        <f ca="1" t="shared" si="4"/>
        <v>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spans="1:72">
      <c r="A226" s="10"/>
      <c r="B226" s="10"/>
      <c r="C226" s="10"/>
      <c r="D226" s="10"/>
      <c r="E226" s="24">
        <v>0</v>
      </c>
      <c r="F226" s="26">
        <f ca="1">SUMIF(I$3:$CU224,"入库",I226:$CU226)</f>
        <v>0</v>
      </c>
      <c r="G226" s="24">
        <f ca="1">SUMIF(J$3:$CU225,"出库",J226:$CU226)</f>
        <v>0</v>
      </c>
      <c r="H226" s="27">
        <f ca="1" t="shared" si="4"/>
        <v>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spans="1:72">
      <c r="A227" s="10"/>
      <c r="B227" s="10"/>
      <c r="C227" s="10"/>
      <c r="D227" s="10"/>
      <c r="E227" s="24">
        <v>0</v>
      </c>
      <c r="F227" s="26">
        <f ca="1">SUMIF(I$3:$CU225,"入库",I227:$CU227)</f>
        <v>0</v>
      </c>
      <c r="G227" s="24">
        <f ca="1">SUMIF(J$3:$CU226,"出库",J227:$CU227)</f>
        <v>0</v>
      </c>
      <c r="H227" s="27">
        <f ca="1" t="shared" si="4"/>
        <v>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spans="1:72">
      <c r="A228" s="10"/>
      <c r="B228" s="10"/>
      <c r="C228" s="10"/>
      <c r="D228" s="10"/>
      <c r="E228" s="24">
        <v>0</v>
      </c>
      <c r="F228" s="26">
        <f ca="1">SUMIF(I$3:$CU226,"入库",I228:$CU228)</f>
        <v>0</v>
      </c>
      <c r="G228" s="24">
        <f ca="1">SUMIF(J$3:$CU227,"出库",J228:$CU228)</f>
        <v>0</v>
      </c>
      <c r="H228" s="27">
        <f ca="1" t="shared" si="4"/>
        <v>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spans="1:72">
      <c r="A229" s="10"/>
      <c r="B229" s="10"/>
      <c r="C229" s="10"/>
      <c r="D229" s="10"/>
      <c r="E229" s="24">
        <v>0</v>
      </c>
      <c r="F229" s="26">
        <f ca="1">SUMIF(I$3:$CU227,"入库",I229:$CU229)</f>
        <v>0</v>
      </c>
      <c r="G229" s="24">
        <f ca="1">SUMIF(J$3:$CU228,"出库",J229:$CU229)</f>
        <v>0</v>
      </c>
      <c r="H229" s="27">
        <f ca="1" t="shared" si="4"/>
        <v>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spans="1:72">
      <c r="A230" s="10"/>
      <c r="B230" s="10"/>
      <c r="C230" s="10"/>
      <c r="D230" s="10"/>
      <c r="E230" s="24">
        <v>0</v>
      </c>
      <c r="F230" s="26">
        <f ca="1">SUMIF(I$3:$CU228,"入库",I230:$CU230)</f>
        <v>0</v>
      </c>
      <c r="G230" s="24">
        <f ca="1">SUMIF(J$3:$CU229,"出库",J230:$CU230)</f>
        <v>0</v>
      </c>
      <c r="H230" s="27">
        <f ca="1" t="shared" si="4"/>
        <v>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spans="1:72">
      <c r="A231" s="10"/>
      <c r="B231" s="10"/>
      <c r="C231" s="10"/>
      <c r="D231" s="10"/>
      <c r="E231" s="24">
        <v>0</v>
      </c>
      <c r="F231" s="26">
        <f ca="1">SUMIF(I$3:$CU229,"入库",I231:$CU231)</f>
        <v>0</v>
      </c>
      <c r="G231" s="24">
        <f ca="1">SUMIF(J$3:$CU230,"出库",J231:$CU231)</f>
        <v>0</v>
      </c>
      <c r="H231" s="27">
        <f ca="1" t="shared" si="4"/>
        <v>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spans="1:72">
      <c r="A232" s="10"/>
      <c r="B232" s="10"/>
      <c r="C232" s="10"/>
      <c r="D232" s="10"/>
      <c r="E232" s="24">
        <v>0</v>
      </c>
      <c r="F232" s="26">
        <f ca="1">SUMIF(I$3:$CU230,"入库",I232:$CU232)</f>
        <v>0</v>
      </c>
      <c r="G232" s="24">
        <f ca="1">SUMIF(J$3:$CU231,"出库",J232:$CU232)</f>
        <v>0</v>
      </c>
      <c r="H232" s="27">
        <f ca="1" t="shared" si="4"/>
        <v>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spans="1:72">
      <c r="A233" s="10"/>
      <c r="B233" s="10"/>
      <c r="C233" s="10"/>
      <c r="D233" s="10"/>
      <c r="E233" s="24">
        <v>0</v>
      </c>
      <c r="F233" s="26">
        <f ca="1">SUMIF(I$3:$CU231,"入库",I233:$CU233)</f>
        <v>0</v>
      </c>
      <c r="G233" s="24">
        <f ca="1">SUMIF(J$3:$CU232,"出库",J233:$CU233)</f>
        <v>0</v>
      </c>
      <c r="H233" s="27">
        <f ca="1" t="shared" si="4"/>
        <v>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spans="1:72">
      <c r="A234" s="10"/>
      <c r="B234" s="10"/>
      <c r="C234" s="10"/>
      <c r="D234" s="10"/>
      <c r="E234" s="24">
        <v>0</v>
      </c>
      <c r="F234" s="26">
        <f ca="1">SUMIF(I$3:$CU232,"入库",I234:$CU234)</f>
        <v>0</v>
      </c>
      <c r="G234" s="24">
        <f ca="1">SUMIF(J$3:$CU233,"出库",J234:$CU234)</f>
        <v>0</v>
      </c>
      <c r="H234" s="27">
        <f ca="1" t="shared" si="4"/>
        <v>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spans="1:72">
      <c r="A235" s="10"/>
      <c r="B235" s="10"/>
      <c r="C235" s="10"/>
      <c r="D235" s="10"/>
      <c r="E235" s="24">
        <v>0</v>
      </c>
      <c r="F235" s="26">
        <f ca="1">SUMIF(I$3:$CU233,"入库",I235:$CU235)</f>
        <v>0</v>
      </c>
      <c r="G235" s="24">
        <f ca="1">SUMIF(J$3:$CU234,"出库",J235:$CU235)</f>
        <v>0</v>
      </c>
      <c r="H235" s="27">
        <f ca="1" t="shared" si="4"/>
        <v>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spans="1:72">
      <c r="A236" s="10"/>
      <c r="B236" s="10"/>
      <c r="C236" s="10"/>
      <c r="D236" s="10"/>
      <c r="E236" s="24">
        <v>0</v>
      </c>
      <c r="F236" s="26">
        <f ca="1">SUMIF(I$3:$CU234,"入库",I236:$CU236)</f>
        <v>0</v>
      </c>
      <c r="G236" s="24">
        <f ca="1">SUMIF(J$3:$CU235,"出库",J236:$CU236)</f>
        <v>0</v>
      </c>
      <c r="H236" s="27">
        <f ca="1" t="shared" si="4"/>
        <v>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spans="1:72">
      <c r="A237" s="10"/>
      <c r="B237" s="10"/>
      <c r="C237" s="10"/>
      <c r="D237" s="10"/>
      <c r="E237" s="24">
        <v>0</v>
      </c>
      <c r="F237" s="26">
        <f ca="1">SUMIF(I$3:$CU235,"入库",I237:$CU237)</f>
        <v>0</v>
      </c>
      <c r="G237" s="24">
        <f ca="1">SUMIF(J$3:$CU236,"出库",J237:$CU237)</f>
        <v>0</v>
      </c>
      <c r="H237" s="27">
        <f ca="1" t="shared" si="4"/>
        <v>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spans="1:72">
      <c r="A238" s="10"/>
      <c r="B238" s="10"/>
      <c r="C238" s="10"/>
      <c r="D238" s="10"/>
      <c r="E238" s="24">
        <v>0</v>
      </c>
      <c r="F238" s="26">
        <f ca="1">SUMIF(I$3:$CU236,"入库",I238:$CU238)</f>
        <v>0</v>
      </c>
      <c r="G238" s="24">
        <f ca="1">SUMIF(J$3:$CU237,"出库",J238:$CU238)</f>
        <v>0</v>
      </c>
      <c r="H238" s="27">
        <f ca="1" t="shared" si="4"/>
        <v>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spans="1:72">
      <c r="A239" s="10"/>
      <c r="B239" s="10"/>
      <c r="C239" s="10"/>
      <c r="D239" s="10"/>
      <c r="E239" s="24">
        <v>0</v>
      </c>
      <c r="F239" s="26">
        <f ca="1">SUMIF(I$3:$CU237,"入库",I239:$CU239)</f>
        <v>0</v>
      </c>
      <c r="G239" s="24">
        <f ca="1">SUMIF(J$3:$CU238,"出库",J239:$CU239)</f>
        <v>0</v>
      </c>
      <c r="H239" s="27">
        <f ca="1" t="shared" si="4"/>
        <v>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spans="1:72">
      <c r="A240" s="10"/>
      <c r="B240" s="10"/>
      <c r="C240" s="10"/>
      <c r="D240" s="10"/>
      <c r="E240" s="24">
        <v>0</v>
      </c>
      <c r="F240" s="26">
        <f ca="1">SUMIF(I$3:$CU238,"入库",I240:$CU240)</f>
        <v>0</v>
      </c>
      <c r="G240" s="24">
        <f ca="1">SUMIF(J$3:$CU239,"出库",J240:$CU240)</f>
        <v>0</v>
      </c>
      <c r="H240" s="27">
        <f ca="1" t="shared" si="4"/>
        <v>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spans="1:72">
      <c r="A241" s="10"/>
      <c r="B241" s="10"/>
      <c r="C241" s="10"/>
      <c r="D241" s="10"/>
      <c r="E241" s="24">
        <v>0</v>
      </c>
      <c r="F241" s="26">
        <f ca="1">SUMIF(I$3:$CU239,"入库",I241:$CU241)</f>
        <v>0</v>
      </c>
      <c r="G241" s="24">
        <f ca="1">SUMIF(J$3:$CU240,"出库",J241:$CU241)</f>
        <v>0</v>
      </c>
      <c r="H241" s="27">
        <f ca="1" t="shared" si="4"/>
        <v>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spans="1:72">
      <c r="A242" s="10"/>
      <c r="B242" s="10"/>
      <c r="C242" s="10"/>
      <c r="D242" s="10"/>
      <c r="E242" s="24">
        <v>0</v>
      </c>
      <c r="F242" s="26">
        <f ca="1">SUMIF(I$3:$CU240,"入库",I242:$CU242)</f>
        <v>0</v>
      </c>
      <c r="G242" s="24">
        <f ca="1">SUMIF(J$3:$CU241,"出库",J242:$CU242)</f>
        <v>0</v>
      </c>
      <c r="H242" s="27">
        <f ca="1" t="shared" si="4"/>
        <v>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spans="1:72">
      <c r="A243" s="10"/>
      <c r="B243" s="10"/>
      <c r="C243" s="10"/>
      <c r="D243" s="10"/>
      <c r="E243" s="24">
        <v>0</v>
      </c>
      <c r="F243" s="26">
        <f ca="1">SUMIF(I$3:$CU241,"入库",I243:$CU243)</f>
        <v>0</v>
      </c>
      <c r="G243" s="24">
        <f ca="1">SUMIF(J$3:$CU242,"出库",J243:$CU243)</f>
        <v>0</v>
      </c>
      <c r="H243" s="27">
        <f ca="1" t="shared" si="4"/>
        <v>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spans="1:72">
      <c r="A244" s="10"/>
      <c r="B244" s="10"/>
      <c r="C244" s="10"/>
      <c r="D244" s="10"/>
      <c r="E244" s="24">
        <v>0</v>
      </c>
      <c r="F244" s="26">
        <f ca="1">SUMIF(I$3:$CU242,"入库",I244:$CU244)</f>
        <v>0</v>
      </c>
      <c r="G244" s="24">
        <f ca="1">SUMIF(J$3:$CU243,"出库",J244:$CU244)</f>
        <v>0</v>
      </c>
      <c r="H244" s="27">
        <f ca="1" t="shared" si="4"/>
        <v>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spans="1:72">
      <c r="A245" s="10"/>
      <c r="B245" s="10"/>
      <c r="C245" s="10"/>
      <c r="D245" s="10"/>
      <c r="E245" s="24">
        <v>0</v>
      </c>
      <c r="F245" s="26">
        <f ca="1">SUMIF(I$3:$CU243,"入库",I245:$CU245)</f>
        <v>0</v>
      </c>
      <c r="G245" s="24">
        <f ca="1">SUMIF(J$3:$CU244,"出库",J245:$CU245)</f>
        <v>0</v>
      </c>
      <c r="H245" s="27">
        <f ca="1" t="shared" si="4"/>
        <v>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spans="1:72">
      <c r="A246" s="10"/>
      <c r="B246" s="10"/>
      <c r="C246" s="10"/>
      <c r="D246" s="10"/>
      <c r="E246" s="24">
        <v>0</v>
      </c>
      <c r="F246" s="26">
        <f ca="1">SUMIF(I$3:$CU244,"入库",I246:$CU246)</f>
        <v>0</v>
      </c>
      <c r="G246" s="24">
        <f ca="1">SUMIF(J$3:$CU245,"出库",J246:$CU246)</f>
        <v>0</v>
      </c>
      <c r="H246" s="27">
        <f ca="1" t="shared" si="4"/>
        <v>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spans="1:72">
      <c r="A247" s="10"/>
      <c r="B247" s="10"/>
      <c r="C247" s="10"/>
      <c r="D247" s="10"/>
      <c r="E247" s="24">
        <v>0</v>
      </c>
      <c r="F247" s="26">
        <f ca="1">SUMIF(I$3:$CU245,"入库",I247:$CU247)</f>
        <v>0</v>
      </c>
      <c r="G247" s="24">
        <f ca="1">SUMIF(J$3:$CU246,"出库",J247:$CU247)</f>
        <v>0</v>
      </c>
      <c r="H247" s="27">
        <f ca="1" t="shared" si="4"/>
        <v>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spans="1:72">
      <c r="A248" s="10"/>
      <c r="B248" s="10"/>
      <c r="C248" s="10"/>
      <c r="D248" s="10"/>
      <c r="E248" s="24">
        <v>0</v>
      </c>
      <c r="F248" s="26">
        <f ca="1">SUMIF(I$3:$CU246,"入库",I248:$CU248)</f>
        <v>0</v>
      </c>
      <c r="G248" s="24">
        <f ca="1">SUMIF(J$3:$CU247,"出库",J248:$CU248)</f>
        <v>0</v>
      </c>
      <c r="H248" s="27">
        <f ca="1" t="shared" si="4"/>
        <v>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spans="1:72">
      <c r="A249" s="10"/>
      <c r="B249" s="10"/>
      <c r="C249" s="10"/>
      <c r="D249" s="10"/>
      <c r="E249" s="24">
        <v>0</v>
      </c>
      <c r="F249" s="26">
        <f ca="1">SUMIF(I$3:$CU247,"入库",I249:$CU249)</f>
        <v>0</v>
      </c>
      <c r="G249" s="24">
        <f ca="1">SUMIF(J$3:$CU248,"出库",J249:$CU249)</f>
        <v>0</v>
      </c>
      <c r="H249" s="27">
        <f ca="1" t="shared" si="4"/>
        <v>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spans="1:72">
      <c r="A250" s="10"/>
      <c r="B250" s="10"/>
      <c r="C250" s="10"/>
      <c r="D250" s="10"/>
      <c r="E250" s="24">
        <v>0</v>
      </c>
      <c r="F250" s="26">
        <f ca="1">SUMIF(I$3:$CU248,"入库",I250:$CU250)</f>
        <v>0</v>
      </c>
      <c r="G250" s="24">
        <f ca="1">SUMIF(J$3:$CU249,"出库",J250:$CU250)</f>
        <v>0</v>
      </c>
      <c r="H250" s="27">
        <f ca="1" t="shared" si="4"/>
        <v>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spans="1:72">
      <c r="A251" s="10"/>
      <c r="B251" s="10"/>
      <c r="C251" s="10"/>
      <c r="D251" s="10"/>
      <c r="E251" s="24">
        <v>0</v>
      </c>
      <c r="F251" s="26">
        <f ca="1">SUMIF(I$3:$CU249,"入库",I251:$CU251)</f>
        <v>0</v>
      </c>
      <c r="G251" s="24">
        <f ca="1">SUMIF(J$3:$CU250,"出库",J251:$CU251)</f>
        <v>0</v>
      </c>
      <c r="H251" s="27">
        <f ca="1" t="shared" si="4"/>
        <v>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spans="1:72">
      <c r="A252" s="10"/>
      <c r="B252" s="10"/>
      <c r="C252" s="10"/>
      <c r="D252" s="10"/>
      <c r="E252" s="24">
        <v>0</v>
      </c>
      <c r="F252" s="26">
        <f ca="1">SUMIF(I$3:$CU250,"入库",I252:$CU252)</f>
        <v>0</v>
      </c>
      <c r="G252" s="24">
        <f ca="1">SUMIF(J$3:$CU251,"出库",J252:$CU252)</f>
        <v>0</v>
      </c>
      <c r="H252" s="27">
        <f ca="1" t="shared" si="4"/>
        <v>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spans="1:72">
      <c r="A253" s="10"/>
      <c r="B253" s="10"/>
      <c r="C253" s="10"/>
      <c r="D253" s="10"/>
      <c r="E253" s="24">
        <v>0</v>
      </c>
      <c r="F253" s="26">
        <f ca="1">SUMIF(I$3:$CU251,"入库",I253:$CU253)</f>
        <v>0</v>
      </c>
      <c r="G253" s="24">
        <f ca="1">SUMIF(J$3:$CU252,"出库",J253:$CU253)</f>
        <v>0</v>
      </c>
      <c r="H253" s="27">
        <f ca="1" t="shared" si="4"/>
        <v>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spans="1:72">
      <c r="A254" s="10"/>
      <c r="B254" s="10"/>
      <c r="C254" s="10"/>
      <c r="D254" s="10"/>
      <c r="E254" s="24">
        <v>0</v>
      </c>
      <c r="F254" s="26">
        <f ca="1">SUMIF(I$3:$CU252,"入库",I254:$CU254)</f>
        <v>0</v>
      </c>
      <c r="G254" s="24">
        <f ca="1">SUMIF(J$3:$CU253,"出库",J254:$CU254)</f>
        <v>0</v>
      </c>
      <c r="H254" s="27">
        <f ca="1" t="shared" si="4"/>
        <v>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spans="1:72">
      <c r="A255" s="10"/>
      <c r="B255" s="10"/>
      <c r="C255" s="10"/>
      <c r="D255" s="10"/>
      <c r="E255" s="24">
        <v>0</v>
      </c>
      <c r="F255" s="26">
        <f ca="1">SUMIF(I$3:$CU253,"入库",I255:$CU255)</f>
        <v>0</v>
      </c>
      <c r="G255" s="24">
        <f ca="1">SUMIF(J$3:$CU254,"出库",J255:$CU255)</f>
        <v>0</v>
      </c>
      <c r="H255" s="27">
        <f ca="1" t="shared" si="4"/>
        <v>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spans="1:72">
      <c r="A256" s="10"/>
      <c r="B256" s="10"/>
      <c r="C256" s="10"/>
      <c r="D256" s="10"/>
      <c r="E256" s="24">
        <v>0</v>
      </c>
      <c r="F256" s="26">
        <f ca="1">SUMIF(I$3:$CU254,"入库",I256:$CU256)</f>
        <v>0</v>
      </c>
      <c r="G256" s="24">
        <f ca="1">SUMIF(J$3:$CU255,"出库",J256:$CU256)</f>
        <v>0</v>
      </c>
      <c r="H256" s="27">
        <f ca="1" t="shared" si="4"/>
        <v>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spans="1:72">
      <c r="A257" s="10"/>
      <c r="B257" s="10"/>
      <c r="C257" s="10"/>
      <c r="D257" s="10"/>
      <c r="E257" s="24">
        <v>0</v>
      </c>
      <c r="F257" s="26">
        <f ca="1">SUMIF(I$3:$CU255,"入库",I257:$CU257)</f>
        <v>0</v>
      </c>
      <c r="G257" s="24">
        <f ca="1">SUMIF(J$3:$CU256,"出库",J257:$CU257)</f>
        <v>0</v>
      </c>
      <c r="H257" s="27">
        <f ca="1" t="shared" si="4"/>
        <v>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spans="1:72">
      <c r="A258" s="10"/>
      <c r="B258" s="10"/>
      <c r="C258" s="10"/>
      <c r="D258" s="10"/>
      <c r="E258" s="24">
        <v>0</v>
      </c>
      <c r="F258" s="26">
        <f ca="1">SUMIF(I$3:$CU256,"入库",I258:$CU258)</f>
        <v>0</v>
      </c>
      <c r="G258" s="24">
        <f ca="1">SUMIF(J$3:$CU257,"出库",J258:$CU258)</f>
        <v>0</v>
      </c>
      <c r="H258" s="27">
        <f ca="1" t="shared" si="4"/>
        <v>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spans="1:72">
      <c r="A259" s="10"/>
      <c r="B259" s="10"/>
      <c r="C259" s="10"/>
      <c r="D259" s="10"/>
      <c r="E259" s="24">
        <v>0</v>
      </c>
      <c r="F259" s="26">
        <f ca="1">SUMIF(I$3:$CU257,"入库",I259:$CU259)</f>
        <v>0</v>
      </c>
      <c r="G259" s="24">
        <f ca="1">SUMIF(J$3:$CU258,"出库",J259:$CU259)</f>
        <v>0</v>
      </c>
      <c r="H259" s="27">
        <f ca="1" t="shared" si="4"/>
        <v>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spans="1:72">
      <c r="A260" s="10"/>
      <c r="B260" s="10"/>
      <c r="C260" s="10"/>
      <c r="D260" s="10"/>
      <c r="E260" s="24">
        <v>0</v>
      </c>
      <c r="F260" s="26">
        <f ca="1">SUMIF(I$3:$CU258,"入库",I260:$CU260)</f>
        <v>0</v>
      </c>
      <c r="G260" s="24">
        <f ca="1">SUMIF(J$3:$CU259,"出库",J260:$CU260)</f>
        <v>0</v>
      </c>
      <c r="H260" s="27">
        <f ca="1" t="shared" si="4"/>
        <v>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spans="1:72">
      <c r="A261" s="10"/>
      <c r="B261" s="10"/>
      <c r="C261" s="10"/>
      <c r="D261" s="10"/>
      <c r="E261" s="24">
        <v>0</v>
      </c>
      <c r="F261" s="26">
        <f ca="1">SUMIF(I$3:$CU259,"入库",I261:$CU261)</f>
        <v>0</v>
      </c>
      <c r="G261" s="24">
        <f ca="1">SUMIF(J$3:$CU260,"出库",J261:$CU261)</f>
        <v>0</v>
      </c>
      <c r="H261" s="27">
        <f ca="1" t="shared" si="4"/>
        <v>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spans="1:72">
      <c r="A262" s="10"/>
      <c r="B262" s="10"/>
      <c r="C262" s="10"/>
      <c r="D262" s="10"/>
      <c r="E262" s="24">
        <v>0</v>
      </c>
      <c r="F262" s="26">
        <f ca="1">SUMIF(I$3:$CU260,"入库",I262:$CU262)</f>
        <v>0</v>
      </c>
      <c r="G262" s="24">
        <f ca="1">SUMIF(J$3:$CU261,"出库",J262:$CU262)</f>
        <v>0</v>
      </c>
      <c r="H262" s="27">
        <f ca="1" t="shared" ref="H262:H325" si="5">E262+F262-G262</f>
        <v>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spans="1:72">
      <c r="A263" s="10"/>
      <c r="B263" s="10"/>
      <c r="C263" s="10"/>
      <c r="D263" s="10"/>
      <c r="E263" s="24">
        <v>0</v>
      </c>
      <c r="F263" s="26">
        <f ca="1">SUMIF(I$3:$CU261,"入库",I263:$CU263)</f>
        <v>0</v>
      </c>
      <c r="G263" s="24">
        <f ca="1">SUMIF(J$3:$CU262,"出库",J263:$CU263)</f>
        <v>0</v>
      </c>
      <c r="H263" s="27">
        <f ca="1" t="shared" si="5"/>
        <v>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spans="1:72">
      <c r="A264" s="10"/>
      <c r="B264" s="10"/>
      <c r="C264" s="10"/>
      <c r="D264" s="10"/>
      <c r="E264" s="24">
        <v>0</v>
      </c>
      <c r="F264" s="26">
        <f ca="1">SUMIF(I$3:$CU262,"入库",I264:$CU264)</f>
        <v>0</v>
      </c>
      <c r="G264" s="24">
        <f ca="1">SUMIF(J$3:$CU263,"出库",J264:$CU264)</f>
        <v>0</v>
      </c>
      <c r="H264" s="27">
        <f ca="1" t="shared" si="5"/>
        <v>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spans="1:72">
      <c r="A265" s="10"/>
      <c r="B265" s="10"/>
      <c r="C265" s="10"/>
      <c r="D265" s="10"/>
      <c r="E265" s="24">
        <v>0</v>
      </c>
      <c r="F265" s="26">
        <f ca="1">SUMIF(I$3:$CU263,"入库",I265:$CU265)</f>
        <v>0</v>
      </c>
      <c r="G265" s="24">
        <f ca="1">SUMIF(J$3:$CU264,"出库",J265:$CU265)</f>
        <v>0</v>
      </c>
      <c r="H265" s="27">
        <f ca="1" t="shared" si="5"/>
        <v>0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spans="1:72">
      <c r="A266" s="10"/>
      <c r="B266" s="10"/>
      <c r="C266" s="10"/>
      <c r="D266" s="10"/>
      <c r="E266" s="24">
        <v>0</v>
      </c>
      <c r="F266" s="26">
        <f ca="1">SUMIF(I$3:$CU264,"入库",I266:$CU266)</f>
        <v>0</v>
      </c>
      <c r="G266" s="24">
        <f ca="1">SUMIF(J$3:$CU265,"出库",J266:$CU266)</f>
        <v>0</v>
      </c>
      <c r="H266" s="27">
        <f ca="1" t="shared" si="5"/>
        <v>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spans="1:72">
      <c r="A267" s="10"/>
      <c r="B267" s="10"/>
      <c r="C267" s="10"/>
      <c r="D267" s="10"/>
      <c r="E267" s="24">
        <v>0</v>
      </c>
      <c r="F267" s="26">
        <f ca="1">SUMIF(I$3:$CU265,"入库",I267:$CU267)</f>
        <v>0</v>
      </c>
      <c r="G267" s="24">
        <f ca="1">SUMIF(J$3:$CU266,"出库",J267:$CU267)</f>
        <v>0</v>
      </c>
      <c r="H267" s="27">
        <f ca="1" t="shared" si="5"/>
        <v>0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spans="1:72">
      <c r="A268" s="10"/>
      <c r="B268" s="10"/>
      <c r="C268" s="10"/>
      <c r="D268" s="10"/>
      <c r="E268" s="24">
        <v>0</v>
      </c>
      <c r="F268" s="26">
        <f ca="1">SUMIF(I$3:$CU266,"入库",I268:$CU268)</f>
        <v>0</v>
      </c>
      <c r="G268" s="24">
        <f ca="1">SUMIF(J$3:$CU267,"出库",J268:$CU268)</f>
        <v>0</v>
      </c>
      <c r="H268" s="27">
        <f ca="1" t="shared" si="5"/>
        <v>0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spans="1:72">
      <c r="A269" s="10"/>
      <c r="B269" s="10"/>
      <c r="C269" s="10"/>
      <c r="D269" s="10"/>
      <c r="E269" s="24">
        <v>0</v>
      </c>
      <c r="F269" s="26">
        <f ca="1">SUMIF(I$3:$CU267,"入库",I269:$CU269)</f>
        <v>0</v>
      </c>
      <c r="G269" s="24">
        <f ca="1">SUMIF(J$3:$CU268,"出库",J269:$CU269)</f>
        <v>0</v>
      </c>
      <c r="H269" s="27">
        <f ca="1" t="shared" si="5"/>
        <v>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spans="1:72">
      <c r="A270" s="10"/>
      <c r="B270" s="10"/>
      <c r="C270" s="10"/>
      <c r="D270" s="10"/>
      <c r="E270" s="24">
        <v>0</v>
      </c>
      <c r="F270" s="26">
        <f ca="1">SUMIF(I$3:$CU268,"入库",I270:$CU270)</f>
        <v>0</v>
      </c>
      <c r="G270" s="24">
        <f ca="1">SUMIF(J$3:$CU269,"出库",J270:$CU270)</f>
        <v>0</v>
      </c>
      <c r="H270" s="27">
        <f ca="1" t="shared" si="5"/>
        <v>0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spans="1:72">
      <c r="A271" s="10"/>
      <c r="B271" s="10"/>
      <c r="C271" s="10"/>
      <c r="D271" s="10"/>
      <c r="E271" s="24">
        <v>0</v>
      </c>
      <c r="F271" s="26">
        <f ca="1">SUMIF(I$3:$CU269,"入库",I271:$CU271)</f>
        <v>0</v>
      </c>
      <c r="G271" s="24">
        <f ca="1">SUMIF(J$3:$CU270,"出库",J271:$CU271)</f>
        <v>0</v>
      </c>
      <c r="H271" s="27">
        <f ca="1" t="shared" si="5"/>
        <v>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spans="1:72">
      <c r="A272" s="10"/>
      <c r="B272" s="10"/>
      <c r="C272" s="10"/>
      <c r="D272" s="10"/>
      <c r="E272" s="24">
        <v>0</v>
      </c>
      <c r="F272" s="26">
        <f ca="1">SUMIF(I$3:$CU270,"入库",I272:$CU272)</f>
        <v>0</v>
      </c>
      <c r="G272" s="24">
        <f ca="1">SUMIF(J$3:$CU271,"出库",J272:$CU272)</f>
        <v>0</v>
      </c>
      <c r="H272" s="27">
        <f ca="1" t="shared" si="5"/>
        <v>0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spans="1:72">
      <c r="A273" s="10"/>
      <c r="B273" s="10"/>
      <c r="C273" s="10"/>
      <c r="D273" s="10"/>
      <c r="E273" s="24">
        <v>0</v>
      </c>
      <c r="F273" s="26">
        <f ca="1">SUMIF(I$3:$CU271,"入库",I273:$CU273)</f>
        <v>0</v>
      </c>
      <c r="G273" s="24">
        <f ca="1">SUMIF(J$3:$CU272,"出库",J273:$CU273)</f>
        <v>0</v>
      </c>
      <c r="H273" s="27">
        <f ca="1" t="shared" si="5"/>
        <v>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spans="1:72">
      <c r="A274" s="10"/>
      <c r="B274" s="10"/>
      <c r="C274" s="10"/>
      <c r="D274" s="10"/>
      <c r="E274" s="24">
        <v>0</v>
      </c>
      <c r="F274" s="26">
        <f ca="1">SUMIF(I$3:$CU272,"入库",I274:$CU274)</f>
        <v>0</v>
      </c>
      <c r="G274" s="24">
        <f ca="1">SUMIF(J$3:$CU273,"出库",J274:$CU274)</f>
        <v>0</v>
      </c>
      <c r="H274" s="27">
        <f ca="1" t="shared" si="5"/>
        <v>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spans="1:72">
      <c r="A275" s="10"/>
      <c r="B275" s="10"/>
      <c r="C275" s="10"/>
      <c r="D275" s="10"/>
      <c r="E275" s="24">
        <v>0</v>
      </c>
      <c r="F275" s="26">
        <f ca="1">SUMIF(I$3:$CU273,"入库",I275:$CU275)</f>
        <v>0</v>
      </c>
      <c r="G275" s="24">
        <f ca="1">SUMIF(J$3:$CU274,"出库",J275:$CU275)</f>
        <v>0</v>
      </c>
      <c r="H275" s="27">
        <f ca="1" t="shared" si="5"/>
        <v>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spans="1:72">
      <c r="A276" s="10"/>
      <c r="B276" s="10"/>
      <c r="C276" s="10"/>
      <c r="D276" s="10"/>
      <c r="E276" s="24">
        <v>0</v>
      </c>
      <c r="F276" s="26">
        <f ca="1">SUMIF(I$3:$CU274,"入库",I276:$CU276)</f>
        <v>0</v>
      </c>
      <c r="G276" s="24">
        <f ca="1">SUMIF(J$3:$CU275,"出库",J276:$CU276)</f>
        <v>0</v>
      </c>
      <c r="H276" s="27">
        <f ca="1" t="shared" si="5"/>
        <v>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spans="1:72">
      <c r="A277" s="10"/>
      <c r="B277" s="10"/>
      <c r="C277" s="10"/>
      <c r="D277" s="10"/>
      <c r="E277" s="24">
        <v>0</v>
      </c>
      <c r="F277" s="26">
        <f ca="1">SUMIF(I$3:$CU275,"入库",I277:$CU277)</f>
        <v>0</v>
      </c>
      <c r="G277" s="24">
        <f ca="1">SUMIF(J$3:$CU276,"出库",J277:$CU277)</f>
        <v>0</v>
      </c>
      <c r="H277" s="27">
        <f ca="1" t="shared" si="5"/>
        <v>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spans="1:72">
      <c r="A278" s="10"/>
      <c r="B278" s="10"/>
      <c r="C278" s="10"/>
      <c r="D278" s="10"/>
      <c r="E278" s="24">
        <v>0</v>
      </c>
      <c r="F278" s="26">
        <f ca="1">SUMIF(I$3:$CU276,"入库",I278:$CU278)</f>
        <v>0</v>
      </c>
      <c r="G278" s="24">
        <f ca="1">SUMIF(J$3:$CU277,"出库",J278:$CU278)</f>
        <v>0</v>
      </c>
      <c r="H278" s="27">
        <f ca="1" t="shared" si="5"/>
        <v>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spans="1:72">
      <c r="A279" s="10"/>
      <c r="B279" s="10"/>
      <c r="C279" s="10"/>
      <c r="D279" s="10"/>
      <c r="E279" s="24">
        <v>0</v>
      </c>
      <c r="F279" s="26">
        <f ca="1">SUMIF(I$3:$CU277,"入库",I279:$CU279)</f>
        <v>0</v>
      </c>
      <c r="G279" s="24">
        <f ca="1">SUMIF(J$3:$CU278,"出库",J279:$CU279)</f>
        <v>0</v>
      </c>
      <c r="H279" s="27">
        <f ca="1" t="shared" si="5"/>
        <v>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spans="1:72">
      <c r="A280" s="10"/>
      <c r="B280" s="10"/>
      <c r="C280" s="10"/>
      <c r="D280" s="10"/>
      <c r="E280" s="24">
        <v>0</v>
      </c>
      <c r="F280" s="26">
        <f ca="1">SUMIF(I$3:$CU278,"入库",I280:$CU280)</f>
        <v>0</v>
      </c>
      <c r="G280" s="24">
        <f ca="1">SUMIF(J$3:$CU279,"出库",J280:$CU280)</f>
        <v>0</v>
      </c>
      <c r="H280" s="27">
        <f ca="1" t="shared" si="5"/>
        <v>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spans="1:72">
      <c r="A281" s="10"/>
      <c r="B281" s="10"/>
      <c r="C281" s="10"/>
      <c r="D281" s="10"/>
      <c r="E281" s="24">
        <v>0</v>
      </c>
      <c r="F281" s="26">
        <f ca="1">SUMIF(I$3:$CU279,"入库",I281:$CU281)</f>
        <v>0</v>
      </c>
      <c r="G281" s="24">
        <f ca="1">SUMIF(J$3:$CU280,"出库",J281:$CU281)</f>
        <v>0</v>
      </c>
      <c r="H281" s="27">
        <f ca="1" t="shared" si="5"/>
        <v>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spans="1:72">
      <c r="A282" s="10"/>
      <c r="B282" s="10"/>
      <c r="C282" s="10"/>
      <c r="D282" s="10"/>
      <c r="E282" s="24">
        <v>0</v>
      </c>
      <c r="F282" s="26">
        <f ca="1">SUMIF(I$3:$CU280,"入库",I282:$CU282)</f>
        <v>0</v>
      </c>
      <c r="G282" s="24">
        <f ca="1">SUMIF(J$3:$CU281,"出库",J282:$CU282)</f>
        <v>0</v>
      </c>
      <c r="H282" s="27">
        <f ca="1" t="shared" si="5"/>
        <v>0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spans="1:72">
      <c r="A283" s="10"/>
      <c r="B283" s="10"/>
      <c r="C283" s="10"/>
      <c r="D283" s="10"/>
      <c r="E283" s="24">
        <v>0</v>
      </c>
      <c r="F283" s="26">
        <f ca="1">SUMIF(I$3:$CU281,"入库",I283:$CU283)</f>
        <v>0</v>
      </c>
      <c r="G283" s="24">
        <f ca="1">SUMIF(J$3:$CU282,"出库",J283:$CU283)</f>
        <v>0</v>
      </c>
      <c r="H283" s="27">
        <f ca="1" t="shared" si="5"/>
        <v>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spans="1:72">
      <c r="A284" s="10"/>
      <c r="B284" s="10"/>
      <c r="C284" s="10"/>
      <c r="D284" s="10"/>
      <c r="E284" s="24">
        <v>0</v>
      </c>
      <c r="F284" s="26">
        <f ca="1">SUMIF(I$3:$CU282,"入库",I284:$CU284)</f>
        <v>0</v>
      </c>
      <c r="G284" s="24">
        <f ca="1">SUMIF(J$3:$CU283,"出库",J284:$CU284)</f>
        <v>0</v>
      </c>
      <c r="H284" s="27">
        <f ca="1" t="shared" si="5"/>
        <v>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spans="1:72">
      <c r="A285" s="10"/>
      <c r="B285" s="10"/>
      <c r="C285" s="10"/>
      <c r="D285" s="10"/>
      <c r="E285" s="24">
        <v>0</v>
      </c>
      <c r="F285" s="26">
        <f ca="1">SUMIF(I$3:$CU283,"入库",I285:$CU285)</f>
        <v>0</v>
      </c>
      <c r="G285" s="24">
        <f ca="1">SUMIF(J$3:$CU284,"出库",J285:$CU285)</f>
        <v>0</v>
      </c>
      <c r="H285" s="27">
        <f ca="1" t="shared" si="5"/>
        <v>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spans="1:72">
      <c r="A286" s="10"/>
      <c r="B286" s="10"/>
      <c r="C286" s="10"/>
      <c r="D286" s="10"/>
      <c r="E286" s="24">
        <v>0</v>
      </c>
      <c r="F286" s="26">
        <f ca="1">SUMIF(I$3:$CU284,"入库",I286:$CU286)</f>
        <v>0</v>
      </c>
      <c r="G286" s="24">
        <f ca="1">SUMIF(J$3:$CU285,"出库",J286:$CU286)</f>
        <v>0</v>
      </c>
      <c r="H286" s="27">
        <f ca="1" t="shared" si="5"/>
        <v>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spans="1:72">
      <c r="A287" s="10"/>
      <c r="B287" s="10"/>
      <c r="C287" s="10"/>
      <c r="D287" s="10"/>
      <c r="E287" s="24">
        <v>0</v>
      </c>
      <c r="F287" s="26">
        <f ca="1">SUMIF(I$3:$CU285,"入库",I287:$CU287)</f>
        <v>0</v>
      </c>
      <c r="G287" s="24">
        <f ca="1">SUMIF(J$3:$CU286,"出库",J287:$CU287)</f>
        <v>0</v>
      </c>
      <c r="H287" s="27">
        <f ca="1" t="shared" si="5"/>
        <v>0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spans="1:72">
      <c r="A288" s="10"/>
      <c r="B288" s="10"/>
      <c r="C288" s="10"/>
      <c r="D288" s="10"/>
      <c r="E288" s="24">
        <v>0</v>
      </c>
      <c r="F288" s="26">
        <f ca="1">SUMIF(I$3:$CU286,"入库",I288:$CU288)</f>
        <v>0</v>
      </c>
      <c r="G288" s="24">
        <f ca="1">SUMIF(J$3:$CU287,"出库",J288:$CU288)</f>
        <v>0</v>
      </c>
      <c r="H288" s="27">
        <f ca="1" t="shared" si="5"/>
        <v>0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spans="1:72">
      <c r="A289" s="10"/>
      <c r="B289" s="10"/>
      <c r="C289" s="10"/>
      <c r="D289" s="10"/>
      <c r="E289" s="24">
        <v>0</v>
      </c>
      <c r="F289" s="26">
        <f ca="1">SUMIF(I$3:$CU287,"入库",I289:$CU289)</f>
        <v>0</v>
      </c>
      <c r="G289" s="24">
        <f ca="1">SUMIF(J$3:$CU288,"出库",J289:$CU289)</f>
        <v>0</v>
      </c>
      <c r="H289" s="27">
        <f ca="1" t="shared" si="5"/>
        <v>0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spans="1:72">
      <c r="A290" s="10"/>
      <c r="B290" s="10"/>
      <c r="C290" s="10"/>
      <c r="D290" s="10"/>
      <c r="E290" s="24">
        <v>0</v>
      </c>
      <c r="F290" s="26">
        <f ca="1">SUMIF(I$3:$CU288,"入库",I290:$CU290)</f>
        <v>0</v>
      </c>
      <c r="G290" s="24">
        <f ca="1">SUMIF(J$3:$CU289,"出库",J290:$CU290)</f>
        <v>0</v>
      </c>
      <c r="H290" s="27">
        <f ca="1" t="shared" si="5"/>
        <v>0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spans="1:72">
      <c r="A291" s="10"/>
      <c r="B291" s="10"/>
      <c r="C291" s="10"/>
      <c r="D291" s="10"/>
      <c r="E291" s="24">
        <v>0</v>
      </c>
      <c r="F291" s="26">
        <f ca="1">SUMIF(I$3:$CU289,"入库",I291:$CU291)</f>
        <v>0</v>
      </c>
      <c r="G291" s="24">
        <f ca="1">SUMIF(J$3:$CU290,"出库",J291:$CU291)</f>
        <v>0</v>
      </c>
      <c r="H291" s="27">
        <f ca="1" t="shared" si="5"/>
        <v>0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spans="1:72">
      <c r="A292" s="10"/>
      <c r="B292" s="10"/>
      <c r="C292" s="10"/>
      <c r="D292" s="10"/>
      <c r="E292" s="24">
        <v>0</v>
      </c>
      <c r="F292" s="26">
        <f ca="1">SUMIF(I$3:$CU290,"入库",I292:$CU292)</f>
        <v>0</v>
      </c>
      <c r="G292" s="24">
        <f ca="1">SUMIF(J$3:$CU291,"出库",J292:$CU292)</f>
        <v>0</v>
      </c>
      <c r="H292" s="27">
        <f ca="1" t="shared" si="5"/>
        <v>0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spans="1:72">
      <c r="A293" s="10"/>
      <c r="B293" s="10"/>
      <c r="C293" s="10"/>
      <c r="D293" s="10"/>
      <c r="E293" s="24">
        <v>0</v>
      </c>
      <c r="F293" s="26">
        <f ca="1">SUMIF(I$3:$CU291,"入库",I293:$CU293)</f>
        <v>0</v>
      </c>
      <c r="G293" s="24">
        <f ca="1">SUMIF(J$3:$CU292,"出库",J293:$CU293)</f>
        <v>0</v>
      </c>
      <c r="H293" s="27">
        <f ca="1" t="shared" si="5"/>
        <v>0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spans="1:72">
      <c r="A294" s="10"/>
      <c r="B294" s="10"/>
      <c r="C294" s="10"/>
      <c r="D294" s="10"/>
      <c r="E294" s="24">
        <v>0</v>
      </c>
      <c r="F294" s="26">
        <f ca="1">SUMIF(I$3:$CU292,"入库",I294:$CU294)</f>
        <v>0</v>
      </c>
      <c r="G294" s="24">
        <f ca="1">SUMIF(J$3:$CU293,"出库",J294:$CU294)</f>
        <v>0</v>
      </c>
      <c r="H294" s="27">
        <f ca="1" t="shared" si="5"/>
        <v>0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spans="1:72">
      <c r="A295" s="10"/>
      <c r="B295" s="10"/>
      <c r="C295" s="10"/>
      <c r="D295" s="10"/>
      <c r="E295" s="24">
        <v>0</v>
      </c>
      <c r="F295" s="26">
        <f ca="1">SUMIF(I$3:$CU293,"入库",I295:$CU295)</f>
        <v>0</v>
      </c>
      <c r="G295" s="24">
        <f ca="1">SUMIF(J$3:$CU294,"出库",J295:$CU295)</f>
        <v>0</v>
      </c>
      <c r="H295" s="27">
        <f ca="1" t="shared" si="5"/>
        <v>0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spans="1:72">
      <c r="A296" s="10"/>
      <c r="B296" s="10"/>
      <c r="C296" s="10"/>
      <c r="D296" s="10"/>
      <c r="E296" s="24">
        <v>0</v>
      </c>
      <c r="F296" s="26">
        <f ca="1">SUMIF(I$3:$CU294,"入库",I296:$CU296)</f>
        <v>0</v>
      </c>
      <c r="G296" s="24">
        <f ca="1">SUMIF(J$3:$CU295,"出库",J296:$CU296)</f>
        <v>0</v>
      </c>
      <c r="H296" s="27">
        <f ca="1" t="shared" si="5"/>
        <v>0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spans="1:72">
      <c r="A297" s="10"/>
      <c r="B297" s="10"/>
      <c r="C297" s="10"/>
      <c r="D297" s="10"/>
      <c r="E297" s="24">
        <v>0</v>
      </c>
      <c r="F297" s="26">
        <f ca="1">SUMIF(I$3:$CU295,"入库",I297:$CU297)</f>
        <v>0</v>
      </c>
      <c r="G297" s="24">
        <f ca="1">SUMIF(J$3:$CU296,"出库",J297:$CU297)</f>
        <v>0</v>
      </c>
      <c r="H297" s="27">
        <f ca="1" t="shared" si="5"/>
        <v>0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spans="1:72">
      <c r="A298" s="10"/>
      <c r="B298" s="10"/>
      <c r="C298" s="10"/>
      <c r="D298" s="10"/>
      <c r="E298" s="24">
        <v>0</v>
      </c>
      <c r="F298" s="26">
        <f ca="1">SUMIF(I$3:$CU296,"入库",I298:$CU298)</f>
        <v>0</v>
      </c>
      <c r="G298" s="24">
        <f ca="1">SUMIF(J$3:$CU297,"出库",J298:$CU298)</f>
        <v>0</v>
      </c>
      <c r="H298" s="27">
        <f ca="1" t="shared" si="5"/>
        <v>0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spans="1:72">
      <c r="A299" s="10"/>
      <c r="B299" s="10"/>
      <c r="C299" s="10"/>
      <c r="D299" s="10"/>
      <c r="E299" s="24">
        <v>0</v>
      </c>
      <c r="F299" s="26">
        <f ca="1">SUMIF(I$3:$CU297,"入库",I299:$CU299)</f>
        <v>0</v>
      </c>
      <c r="G299" s="24">
        <f ca="1">SUMIF(J$3:$CU298,"出库",J299:$CU299)</f>
        <v>0</v>
      </c>
      <c r="H299" s="27">
        <f ca="1" t="shared" si="5"/>
        <v>0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spans="1:72">
      <c r="A300" s="10"/>
      <c r="B300" s="10"/>
      <c r="C300" s="10"/>
      <c r="D300" s="10"/>
      <c r="E300" s="24">
        <v>0</v>
      </c>
      <c r="F300" s="26">
        <f ca="1">SUMIF(I$3:$CU298,"入库",I300:$CU300)</f>
        <v>0</v>
      </c>
      <c r="G300" s="24">
        <f ca="1">SUMIF(J$3:$CU299,"出库",J300:$CU300)</f>
        <v>0</v>
      </c>
      <c r="H300" s="27">
        <f ca="1" t="shared" si="5"/>
        <v>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spans="1:72">
      <c r="A301" s="10"/>
      <c r="B301" s="10"/>
      <c r="C301" s="10"/>
      <c r="D301" s="10"/>
      <c r="E301" s="24">
        <v>0</v>
      </c>
      <c r="F301" s="26">
        <f ca="1">SUMIF(I$3:$CU299,"入库",I301:$CU301)</f>
        <v>0</v>
      </c>
      <c r="G301" s="24">
        <f ca="1">SUMIF(J$3:$CU300,"出库",J301:$CU301)</f>
        <v>0</v>
      </c>
      <c r="H301" s="27">
        <f ca="1" t="shared" si="5"/>
        <v>0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spans="1:72">
      <c r="A302" s="10"/>
      <c r="B302" s="10"/>
      <c r="C302" s="10"/>
      <c r="D302" s="10"/>
      <c r="E302" s="24">
        <v>0</v>
      </c>
      <c r="F302" s="26">
        <f ca="1">SUMIF(I$3:$CU300,"入库",I302:$CU302)</f>
        <v>0</v>
      </c>
      <c r="G302" s="24">
        <f ca="1">SUMIF(J$3:$CU301,"出库",J302:$CU302)</f>
        <v>0</v>
      </c>
      <c r="H302" s="27">
        <f ca="1" t="shared" si="5"/>
        <v>0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spans="1:72">
      <c r="A303" s="10"/>
      <c r="B303" s="10"/>
      <c r="C303" s="10"/>
      <c r="D303" s="10"/>
      <c r="E303" s="24">
        <v>0</v>
      </c>
      <c r="F303" s="26">
        <f ca="1">SUMIF(I$3:$CU301,"入库",I303:$CU303)</f>
        <v>0</v>
      </c>
      <c r="G303" s="24">
        <f ca="1">SUMIF(J$3:$CU302,"出库",J303:$CU303)</f>
        <v>0</v>
      </c>
      <c r="H303" s="27">
        <f ca="1" t="shared" si="5"/>
        <v>0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spans="1:72">
      <c r="A304" s="10"/>
      <c r="B304" s="10"/>
      <c r="C304" s="10"/>
      <c r="D304" s="10"/>
      <c r="E304" s="24">
        <v>0</v>
      </c>
      <c r="F304" s="26">
        <f ca="1">SUMIF(I$3:$CU302,"入库",I304:$CU304)</f>
        <v>0</v>
      </c>
      <c r="G304" s="24">
        <f ca="1">SUMIF(J$3:$CU303,"出库",J304:$CU304)</f>
        <v>0</v>
      </c>
      <c r="H304" s="27">
        <f ca="1" t="shared" si="5"/>
        <v>0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spans="1:72">
      <c r="A305" s="10"/>
      <c r="B305" s="10"/>
      <c r="C305" s="10"/>
      <c r="D305" s="10"/>
      <c r="E305" s="24">
        <v>0</v>
      </c>
      <c r="F305" s="26">
        <f ca="1">SUMIF(I$3:$CU303,"入库",I305:$CU305)</f>
        <v>0</v>
      </c>
      <c r="G305" s="24">
        <f ca="1">SUMIF(J$3:$CU304,"出库",J305:$CU305)</f>
        <v>0</v>
      </c>
      <c r="H305" s="27">
        <f ca="1" t="shared" si="5"/>
        <v>0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spans="1:72">
      <c r="A306" s="10"/>
      <c r="B306" s="10"/>
      <c r="C306" s="10"/>
      <c r="D306" s="10"/>
      <c r="E306" s="24">
        <v>0</v>
      </c>
      <c r="F306" s="26">
        <f ca="1">SUMIF(I$3:$CU304,"入库",I306:$CU306)</f>
        <v>0</v>
      </c>
      <c r="G306" s="24">
        <f ca="1">SUMIF(J$3:$CU305,"出库",J306:$CU306)</f>
        <v>0</v>
      </c>
      <c r="H306" s="27">
        <f ca="1" t="shared" si="5"/>
        <v>0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spans="1:72">
      <c r="A307" s="10"/>
      <c r="B307" s="10"/>
      <c r="C307" s="10"/>
      <c r="D307" s="10"/>
      <c r="E307" s="24">
        <v>0</v>
      </c>
      <c r="F307" s="26">
        <f ca="1">SUMIF(I$3:$CU305,"入库",I307:$CU307)</f>
        <v>0</v>
      </c>
      <c r="G307" s="24">
        <f ca="1">SUMIF(J$3:$CU306,"出库",J307:$CU307)</f>
        <v>0</v>
      </c>
      <c r="H307" s="27">
        <f ca="1" t="shared" si="5"/>
        <v>0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spans="1:72">
      <c r="A308" s="10"/>
      <c r="B308" s="10"/>
      <c r="C308" s="10"/>
      <c r="D308" s="10"/>
      <c r="E308" s="24">
        <v>0</v>
      </c>
      <c r="F308" s="26">
        <f ca="1">SUMIF(I$3:$CU306,"入库",I308:$CU308)</f>
        <v>0</v>
      </c>
      <c r="G308" s="24">
        <f ca="1">SUMIF(J$3:$CU307,"出库",J308:$CU308)</f>
        <v>0</v>
      </c>
      <c r="H308" s="27">
        <f ca="1" t="shared" si="5"/>
        <v>0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spans="1:72">
      <c r="A309" s="10"/>
      <c r="B309" s="10"/>
      <c r="C309" s="10"/>
      <c r="D309" s="10"/>
      <c r="E309" s="24">
        <v>0</v>
      </c>
      <c r="F309" s="26">
        <f ca="1">SUMIF(I$3:$CU307,"入库",I309:$CU309)</f>
        <v>0</v>
      </c>
      <c r="G309" s="24">
        <f ca="1">SUMIF(J$3:$CU308,"出库",J309:$CU309)</f>
        <v>0</v>
      </c>
      <c r="H309" s="27">
        <f ca="1" t="shared" si="5"/>
        <v>0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spans="1:72">
      <c r="A310" s="10"/>
      <c r="B310" s="10"/>
      <c r="C310" s="10"/>
      <c r="D310" s="10"/>
      <c r="E310" s="24">
        <v>0</v>
      </c>
      <c r="F310" s="26">
        <f ca="1">SUMIF(I$3:$CU308,"入库",I310:$CU310)</f>
        <v>0</v>
      </c>
      <c r="G310" s="24">
        <f ca="1">SUMIF(J$3:$CU309,"出库",J310:$CU310)</f>
        <v>0</v>
      </c>
      <c r="H310" s="27">
        <f ca="1" t="shared" si="5"/>
        <v>0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spans="1:72">
      <c r="A311" s="10"/>
      <c r="B311" s="10"/>
      <c r="C311" s="10"/>
      <c r="D311" s="10"/>
      <c r="E311" s="24">
        <v>0</v>
      </c>
      <c r="F311" s="26">
        <f ca="1">SUMIF(I$3:$CU309,"入库",I311:$CU311)</f>
        <v>0</v>
      </c>
      <c r="G311" s="24">
        <f ca="1">SUMIF(J$3:$CU310,"出库",J311:$CU311)</f>
        <v>0</v>
      </c>
      <c r="H311" s="27">
        <f ca="1" t="shared" si="5"/>
        <v>0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spans="1:72">
      <c r="A312" s="10"/>
      <c r="B312" s="10"/>
      <c r="C312" s="10"/>
      <c r="D312" s="10"/>
      <c r="E312" s="24">
        <v>0</v>
      </c>
      <c r="F312" s="26">
        <f ca="1">SUMIF(I$3:$CU310,"入库",I312:$CU312)</f>
        <v>0</v>
      </c>
      <c r="G312" s="24">
        <f ca="1">SUMIF(J$3:$CU311,"出库",J312:$CU312)</f>
        <v>0</v>
      </c>
      <c r="H312" s="27">
        <f ca="1" t="shared" si="5"/>
        <v>0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spans="1:72">
      <c r="A313" s="10"/>
      <c r="B313" s="10"/>
      <c r="C313" s="10"/>
      <c r="D313" s="10"/>
      <c r="E313" s="24">
        <v>0</v>
      </c>
      <c r="F313" s="26">
        <f ca="1">SUMIF(I$3:$CU311,"入库",I313:$CU313)</f>
        <v>0</v>
      </c>
      <c r="G313" s="24">
        <f ca="1">SUMIF(J$3:$CU312,"出库",J313:$CU313)</f>
        <v>0</v>
      </c>
      <c r="H313" s="27">
        <f ca="1" t="shared" si="5"/>
        <v>0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spans="1:72">
      <c r="A314" s="10"/>
      <c r="B314" s="10"/>
      <c r="C314" s="10"/>
      <c r="D314" s="10"/>
      <c r="E314" s="24">
        <v>0</v>
      </c>
      <c r="F314" s="26">
        <f ca="1">SUMIF(I$3:$CU312,"入库",I314:$CU314)</f>
        <v>0</v>
      </c>
      <c r="G314" s="24">
        <f ca="1">SUMIF(J$3:$CU313,"出库",J314:$CU314)</f>
        <v>0</v>
      </c>
      <c r="H314" s="27">
        <f ca="1" t="shared" si="5"/>
        <v>0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spans="1:72">
      <c r="A315" s="10"/>
      <c r="B315" s="10"/>
      <c r="C315" s="10"/>
      <c r="D315" s="10"/>
      <c r="E315" s="24">
        <v>0</v>
      </c>
      <c r="F315" s="26">
        <f ca="1">SUMIF(I$3:$CU313,"入库",I315:$CU315)</f>
        <v>0</v>
      </c>
      <c r="G315" s="24">
        <f ca="1">SUMIF(J$3:$CU314,"出库",J315:$CU315)</f>
        <v>0</v>
      </c>
      <c r="H315" s="27">
        <f ca="1" t="shared" si="5"/>
        <v>0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spans="1:72">
      <c r="A316" s="10"/>
      <c r="B316" s="10"/>
      <c r="C316" s="10"/>
      <c r="D316" s="10"/>
      <c r="E316" s="24">
        <v>0</v>
      </c>
      <c r="F316" s="26">
        <f ca="1">SUMIF(I$3:$CU314,"入库",I316:$CU316)</f>
        <v>0</v>
      </c>
      <c r="G316" s="24">
        <f ca="1">SUMIF(J$3:$CU315,"出库",J316:$CU316)</f>
        <v>0</v>
      </c>
      <c r="H316" s="27">
        <f ca="1" t="shared" si="5"/>
        <v>0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spans="1:72">
      <c r="A317" s="10"/>
      <c r="B317" s="10"/>
      <c r="C317" s="10"/>
      <c r="D317" s="10"/>
      <c r="E317" s="24">
        <v>0</v>
      </c>
      <c r="F317" s="26">
        <f ca="1">SUMIF(I$3:$CU315,"入库",I317:$CU317)</f>
        <v>0</v>
      </c>
      <c r="G317" s="24">
        <f ca="1">SUMIF(J$3:$CU316,"出库",J317:$CU317)</f>
        <v>0</v>
      </c>
      <c r="H317" s="27">
        <f ca="1" t="shared" si="5"/>
        <v>0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spans="1:72">
      <c r="A318" s="10"/>
      <c r="B318" s="10"/>
      <c r="C318" s="10"/>
      <c r="D318" s="10"/>
      <c r="E318" s="24">
        <v>0</v>
      </c>
      <c r="F318" s="26">
        <f ca="1">SUMIF(I$3:$CU316,"入库",I318:$CU318)</f>
        <v>0</v>
      </c>
      <c r="G318" s="24">
        <f ca="1">SUMIF(J$3:$CU317,"出库",J318:$CU318)</f>
        <v>0</v>
      </c>
      <c r="H318" s="27">
        <f ca="1" t="shared" si="5"/>
        <v>0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spans="1:72">
      <c r="A319" s="10"/>
      <c r="B319" s="10"/>
      <c r="C319" s="10"/>
      <c r="D319" s="10"/>
      <c r="E319" s="24">
        <v>0</v>
      </c>
      <c r="F319" s="26">
        <f ca="1">SUMIF(I$3:$CU317,"入库",I319:$CU319)</f>
        <v>0</v>
      </c>
      <c r="G319" s="24">
        <f ca="1">SUMIF(J$3:$CU318,"出库",J319:$CU319)</f>
        <v>0</v>
      </c>
      <c r="H319" s="27">
        <f ca="1" t="shared" si="5"/>
        <v>0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spans="1:72">
      <c r="A320" s="10"/>
      <c r="B320" s="10"/>
      <c r="C320" s="10"/>
      <c r="D320" s="10"/>
      <c r="E320" s="24">
        <v>0</v>
      </c>
      <c r="F320" s="26">
        <f ca="1">SUMIF(I$3:$CU318,"入库",I320:$CU320)</f>
        <v>0</v>
      </c>
      <c r="G320" s="24">
        <f ca="1">SUMIF(J$3:$CU319,"出库",J320:$CU320)</f>
        <v>0</v>
      </c>
      <c r="H320" s="27">
        <f ca="1" t="shared" si="5"/>
        <v>0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spans="1:72">
      <c r="A321" s="10"/>
      <c r="B321" s="10"/>
      <c r="C321" s="10"/>
      <c r="D321" s="10"/>
      <c r="E321" s="24">
        <v>0</v>
      </c>
      <c r="F321" s="26">
        <f ca="1">SUMIF(I$3:$CU319,"入库",I321:$CU321)</f>
        <v>0</v>
      </c>
      <c r="G321" s="24">
        <f ca="1">SUMIF(J$3:$CU320,"出库",J321:$CU321)</f>
        <v>0</v>
      </c>
      <c r="H321" s="27">
        <f ca="1" t="shared" si="5"/>
        <v>0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spans="1:72">
      <c r="A322" s="10"/>
      <c r="B322" s="10"/>
      <c r="C322" s="10"/>
      <c r="D322" s="10"/>
      <c r="E322" s="24">
        <v>0</v>
      </c>
      <c r="F322" s="26">
        <f ca="1">SUMIF(I$3:$CU320,"入库",I322:$CU322)</f>
        <v>0</v>
      </c>
      <c r="G322" s="24">
        <f ca="1">SUMIF(J$3:$CU321,"出库",J322:$CU322)</f>
        <v>0</v>
      </c>
      <c r="H322" s="27">
        <f ca="1" t="shared" si="5"/>
        <v>0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spans="1:72">
      <c r="A323" s="10"/>
      <c r="B323" s="10"/>
      <c r="C323" s="10"/>
      <c r="D323" s="10"/>
      <c r="E323" s="24">
        <v>0</v>
      </c>
      <c r="F323" s="26">
        <f ca="1">SUMIF(I$3:$CU321,"入库",I323:$CU323)</f>
        <v>0</v>
      </c>
      <c r="G323" s="24">
        <f ca="1">SUMIF(J$3:$CU322,"出库",J323:$CU323)</f>
        <v>0</v>
      </c>
      <c r="H323" s="27">
        <f ca="1" t="shared" si="5"/>
        <v>0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spans="1:72">
      <c r="A324" s="10"/>
      <c r="B324" s="10"/>
      <c r="C324" s="10"/>
      <c r="D324" s="10"/>
      <c r="E324" s="24">
        <v>0</v>
      </c>
      <c r="F324" s="26">
        <f ca="1">SUMIF(I$3:$CU322,"入库",I324:$CU324)</f>
        <v>0</v>
      </c>
      <c r="G324" s="24">
        <f ca="1">SUMIF(J$3:$CU323,"出库",J324:$CU324)</f>
        <v>0</v>
      </c>
      <c r="H324" s="27">
        <f ca="1" t="shared" si="5"/>
        <v>0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spans="1:72">
      <c r="A325" s="10"/>
      <c r="B325" s="10"/>
      <c r="C325" s="10"/>
      <c r="D325" s="10"/>
      <c r="E325" s="24">
        <v>0</v>
      </c>
      <c r="F325" s="26">
        <f ca="1">SUMIF(I$3:$CU323,"入库",I325:$CU325)</f>
        <v>0</v>
      </c>
      <c r="G325" s="24">
        <f ca="1">SUMIF(J$3:$CU324,"出库",J325:$CU325)</f>
        <v>0</v>
      </c>
      <c r="H325" s="27">
        <f ca="1" t="shared" si="5"/>
        <v>0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spans="1:72">
      <c r="A326" s="10"/>
      <c r="B326" s="10"/>
      <c r="C326" s="10"/>
      <c r="D326" s="10"/>
      <c r="E326" s="24">
        <v>0</v>
      </c>
      <c r="F326" s="26">
        <f ca="1">SUMIF(I$3:$CU324,"入库",I326:$CU326)</f>
        <v>0</v>
      </c>
      <c r="G326" s="24">
        <f ca="1">SUMIF(J$3:$CU325,"出库",J326:$CU326)</f>
        <v>0</v>
      </c>
      <c r="H326" s="27">
        <f ca="1" t="shared" ref="H326:H389" si="6">E326+F326-G326</f>
        <v>0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spans="1:72">
      <c r="A327" s="10"/>
      <c r="B327" s="10"/>
      <c r="C327" s="10"/>
      <c r="D327" s="10"/>
      <c r="E327" s="24">
        <v>0</v>
      </c>
      <c r="F327" s="26">
        <f ca="1">SUMIF(I$3:$CU325,"入库",I327:$CU327)</f>
        <v>0</v>
      </c>
      <c r="G327" s="24">
        <f ca="1">SUMIF(J$3:$CU326,"出库",J327:$CU327)</f>
        <v>0</v>
      </c>
      <c r="H327" s="27">
        <f ca="1" t="shared" si="6"/>
        <v>0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spans="1:72">
      <c r="A328" s="10"/>
      <c r="B328" s="10"/>
      <c r="C328" s="10"/>
      <c r="D328" s="10"/>
      <c r="E328" s="24">
        <v>0</v>
      </c>
      <c r="F328" s="26">
        <f ca="1">SUMIF(I$3:$CU326,"入库",I328:$CU328)</f>
        <v>0</v>
      </c>
      <c r="G328" s="24">
        <f ca="1">SUMIF(J$3:$CU327,"出库",J328:$CU328)</f>
        <v>0</v>
      </c>
      <c r="H328" s="27">
        <f ca="1" t="shared" si="6"/>
        <v>0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spans="1:72">
      <c r="A329" s="10"/>
      <c r="B329" s="10"/>
      <c r="C329" s="10"/>
      <c r="D329" s="10"/>
      <c r="E329" s="24">
        <v>0</v>
      </c>
      <c r="F329" s="26">
        <f ca="1">SUMIF(I$3:$CU327,"入库",I329:$CU329)</f>
        <v>0</v>
      </c>
      <c r="G329" s="24">
        <f ca="1">SUMIF(J$3:$CU328,"出库",J329:$CU329)</f>
        <v>0</v>
      </c>
      <c r="H329" s="27">
        <f ca="1" t="shared" si="6"/>
        <v>0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spans="1:72">
      <c r="A330" s="10"/>
      <c r="B330" s="10"/>
      <c r="C330" s="10"/>
      <c r="D330" s="10"/>
      <c r="E330" s="24">
        <v>0</v>
      </c>
      <c r="F330" s="26">
        <f ca="1">SUMIF(I$3:$CU328,"入库",I330:$CU330)</f>
        <v>0</v>
      </c>
      <c r="G330" s="24">
        <f ca="1">SUMIF(J$3:$CU329,"出库",J330:$CU330)</f>
        <v>0</v>
      </c>
      <c r="H330" s="27">
        <f ca="1" t="shared" si="6"/>
        <v>0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spans="1:72">
      <c r="A331" s="10"/>
      <c r="B331" s="10"/>
      <c r="C331" s="10"/>
      <c r="D331" s="10"/>
      <c r="E331" s="24">
        <v>0</v>
      </c>
      <c r="F331" s="26">
        <f ca="1">SUMIF(I$3:$CU329,"入库",I331:$CU331)</f>
        <v>0</v>
      </c>
      <c r="G331" s="24">
        <f ca="1">SUMIF(J$3:$CU330,"出库",J331:$CU331)</f>
        <v>0</v>
      </c>
      <c r="H331" s="27">
        <f ca="1" t="shared" si="6"/>
        <v>0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spans="1:72">
      <c r="A332" s="10"/>
      <c r="B332" s="10"/>
      <c r="C332" s="10"/>
      <c r="D332" s="10"/>
      <c r="E332" s="24">
        <v>0</v>
      </c>
      <c r="F332" s="26">
        <f ca="1">SUMIF(I$3:$CU330,"入库",I332:$CU332)</f>
        <v>0</v>
      </c>
      <c r="G332" s="24">
        <f ca="1">SUMIF(J$3:$CU331,"出库",J332:$CU332)</f>
        <v>0</v>
      </c>
      <c r="H332" s="27">
        <f ca="1" t="shared" si="6"/>
        <v>0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spans="1:72">
      <c r="A333" s="10"/>
      <c r="B333" s="10"/>
      <c r="C333" s="10"/>
      <c r="D333" s="10"/>
      <c r="E333" s="24">
        <v>0</v>
      </c>
      <c r="F333" s="26">
        <f ca="1">SUMIF(I$3:$CU331,"入库",I333:$CU333)</f>
        <v>0</v>
      </c>
      <c r="G333" s="24">
        <f ca="1">SUMIF(J$3:$CU332,"出库",J333:$CU333)</f>
        <v>0</v>
      </c>
      <c r="H333" s="27">
        <f ca="1" t="shared" si="6"/>
        <v>0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spans="1:72">
      <c r="A334" s="10"/>
      <c r="B334" s="10"/>
      <c r="C334" s="10"/>
      <c r="D334" s="10"/>
      <c r="E334" s="24">
        <v>0</v>
      </c>
      <c r="F334" s="26">
        <f ca="1">SUMIF(I$3:$CU332,"入库",I334:$CU334)</f>
        <v>0</v>
      </c>
      <c r="G334" s="24">
        <f ca="1">SUMIF(J$3:$CU333,"出库",J334:$CU334)</f>
        <v>0</v>
      </c>
      <c r="H334" s="27">
        <f ca="1" t="shared" si="6"/>
        <v>0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spans="1:72">
      <c r="A335" s="10"/>
      <c r="B335" s="10"/>
      <c r="C335" s="10"/>
      <c r="D335" s="10"/>
      <c r="E335" s="24">
        <v>0</v>
      </c>
      <c r="F335" s="26">
        <f ca="1">SUMIF(I$3:$CU333,"入库",I335:$CU335)</f>
        <v>0</v>
      </c>
      <c r="G335" s="24">
        <f ca="1">SUMIF(J$3:$CU334,"出库",J335:$CU335)</f>
        <v>0</v>
      </c>
      <c r="H335" s="27">
        <f ca="1" t="shared" si="6"/>
        <v>0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spans="1:72">
      <c r="A336" s="10"/>
      <c r="B336" s="10"/>
      <c r="C336" s="10"/>
      <c r="D336" s="10"/>
      <c r="E336" s="24">
        <v>0</v>
      </c>
      <c r="F336" s="26">
        <f ca="1">SUMIF(I$3:$CU334,"入库",I336:$CU336)</f>
        <v>0</v>
      </c>
      <c r="G336" s="24">
        <f ca="1">SUMIF(J$3:$CU335,"出库",J336:$CU336)</f>
        <v>0</v>
      </c>
      <c r="H336" s="27">
        <f ca="1" t="shared" si="6"/>
        <v>0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spans="1:72">
      <c r="A337" s="10"/>
      <c r="B337" s="10"/>
      <c r="C337" s="10"/>
      <c r="D337" s="10"/>
      <c r="E337" s="24">
        <v>0</v>
      </c>
      <c r="F337" s="26">
        <f ca="1">SUMIF(I$3:$CU335,"入库",I337:$CU337)</f>
        <v>0</v>
      </c>
      <c r="G337" s="24">
        <f ca="1">SUMIF(J$3:$CU336,"出库",J337:$CU337)</f>
        <v>0</v>
      </c>
      <c r="H337" s="27">
        <f ca="1" t="shared" si="6"/>
        <v>0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spans="1:72">
      <c r="A338" s="10"/>
      <c r="B338" s="10"/>
      <c r="C338" s="10"/>
      <c r="D338" s="10"/>
      <c r="E338" s="24">
        <v>0</v>
      </c>
      <c r="F338" s="26">
        <f ca="1">SUMIF(I$3:$CU336,"入库",I338:$CU338)</f>
        <v>0</v>
      </c>
      <c r="G338" s="24">
        <f ca="1">SUMIF(J$3:$CU337,"出库",J338:$CU338)</f>
        <v>0</v>
      </c>
      <c r="H338" s="27">
        <f ca="1" t="shared" si="6"/>
        <v>0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spans="1:72">
      <c r="A339" s="10"/>
      <c r="B339" s="10"/>
      <c r="C339" s="10"/>
      <c r="D339" s="10"/>
      <c r="E339" s="24">
        <v>0</v>
      </c>
      <c r="F339" s="26">
        <f ca="1">SUMIF(I$3:$CU337,"入库",I339:$CU339)</f>
        <v>0</v>
      </c>
      <c r="G339" s="24">
        <f ca="1">SUMIF(J$3:$CU338,"出库",J339:$CU339)</f>
        <v>0</v>
      </c>
      <c r="H339" s="27">
        <f ca="1" t="shared" si="6"/>
        <v>0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spans="1:72">
      <c r="A340" s="10"/>
      <c r="B340" s="10"/>
      <c r="C340" s="10"/>
      <c r="D340" s="10"/>
      <c r="E340" s="24">
        <v>0</v>
      </c>
      <c r="F340" s="26">
        <f ca="1">SUMIF(I$3:$CU338,"入库",I340:$CU340)</f>
        <v>0</v>
      </c>
      <c r="G340" s="24">
        <f ca="1">SUMIF(J$3:$CU339,"出库",J340:$CU340)</f>
        <v>0</v>
      </c>
      <c r="H340" s="27">
        <f ca="1" t="shared" si="6"/>
        <v>0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spans="1:72">
      <c r="A341" s="10"/>
      <c r="B341" s="10"/>
      <c r="C341" s="10"/>
      <c r="D341" s="10"/>
      <c r="E341" s="24">
        <v>0</v>
      </c>
      <c r="F341" s="26">
        <f ca="1">SUMIF(I$3:$CU339,"入库",I341:$CU341)</f>
        <v>0</v>
      </c>
      <c r="G341" s="24">
        <f ca="1">SUMIF(J$3:$CU340,"出库",J341:$CU341)</f>
        <v>0</v>
      </c>
      <c r="H341" s="27">
        <f ca="1" t="shared" si="6"/>
        <v>0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spans="1:72">
      <c r="A342" s="10"/>
      <c r="B342" s="10"/>
      <c r="C342" s="10"/>
      <c r="D342" s="10"/>
      <c r="E342" s="24">
        <v>0</v>
      </c>
      <c r="F342" s="26">
        <f ca="1">SUMIF(I$3:$CU340,"入库",I342:$CU342)</f>
        <v>0</v>
      </c>
      <c r="G342" s="24">
        <f ca="1">SUMIF(J$3:$CU341,"出库",J342:$CU342)</f>
        <v>0</v>
      </c>
      <c r="H342" s="27">
        <f ca="1" t="shared" si="6"/>
        <v>0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spans="1:72">
      <c r="A343" s="10"/>
      <c r="B343" s="10"/>
      <c r="C343" s="10"/>
      <c r="D343" s="10"/>
      <c r="E343" s="24">
        <v>0</v>
      </c>
      <c r="F343" s="26">
        <f ca="1">SUMIF(I$3:$CU341,"入库",I343:$CU343)</f>
        <v>0</v>
      </c>
      <c r="G343" s="24">
        <f ca="1">SUMIF(J$3:$CU342,"出库",J343:$CU343)</f>
        <v>0</v>
      </c>
      <c r="H343" s="27">
        <f ca="1" t="shared" si="6"/>
        <v>0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spans="1:72">
      <c r="A344" s="10"/>
      <c r="B344" s="10"/>
      <c r="C344" s="10"/>
      <c r="D344" s="10"/>
      <c r="E344" s="24">
        <v>0</v>
      </c>
      <c r="F344" s="26">
        <f ca="1">SUMIF(I$3:$CU342,"入库",I344:$CU344)</f>
        <v>0</v>
      </c>
      <c r="G344" s="24">
        <f ca="1">SUMIF(J$3:$CU343,"出库",J344:$CU344)</f>
        <v>0</v>
      </c>
      <c r="H344" s="27">
        <f ca="1" t="shared" si="6"/>
        <v>0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spans="1:72">
      <c r="A345" s="10"/>
      <c r="B345" s="10"/>
      <c r="C345" s="10"/>
      <c r="D345" s="10"/>
      <c r="E345" s="24">
        <v>0</v>
      </c>
      <c r="F345" s="26">
        <f ca="1">SUMIF(I$3:$CU343,"入库",I345:$CU345)</f>
        <v>0</v>
      </c>
      <c r="G345" s="24">
        <f ca="1">SUMIF(J$3:$CU344,"出库",J345:$CU345)</f>
        <v>0</v>
      </c>
      <c r="H345" s="27">
        <f ca="1" t="shared" si="6"/>
        <v>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spans="1:72">
      <c r="A346" s="10"/>
      <c r="B346" s="10"/>
      <c r="C346" s="10"/>
      <c r="D346" s="10"/>
      <c r="E346" s="24">
        <v>0</v>
      </c>
      <c r="F346" s="26">
        <f ca="1">SUMIF(I$3:$CU344,"入库",I346:$CU346)</f>
        <v>0</v>
      </c>
      <c r="G346" s="24">
        <f ca="1">SUMIF(J$3:$CU345,"出库",J346:$CU346)</f>
        <v>0</v>
      </c>
      <c r="H346" s="27">
        <f ca="1" t="shared" si="6"/>
        <v>0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spans="1:72">
      <c r="A347" s="10"/>
      <c r="B347" s="10"/>
      <c r="C347" s="10"/>
      <c r="D347" s="10"/>
      <c r="E347" s="24">
        <v>0</v>
      </c>
      <c r="F347" s="26">
        <f ca="1">SUMIF(I$3:$CU345,"入库",I347:$CU347)</f>
        <v>0</v>
      </c>
      <c r="G347" s="24">
        <f ca="1">SUMIF(J$3:$CU346,"出库",J347:$CU347)</f>
        <v>0</v>
      </c>
      <c r="H347" s="27">
        <f ca="1" t="shared" si="6"/>
        <v>0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spans="1:72">
      <c r="A348" s="10"/>
      <c r="B348" s="10"/>
      <c r="C348" s="10"/>
      <c r="D348" s="10"/>
      <c r="E348" s="24">
        <v>0</v>
      </c>
      <c r="F348" s="26">
        <f ca="1">SUMIF(I$3:$CU346,"入库",I348:$CU348)</f>
        <v>0</v>
      </c>
      <c r="G348" s="24">
        <f ca="1">SUMIF(J$3:$CU347,"出库",J348:$CU348)</f>
        <v>0</v>
      </c>
      <c r="H348" s="27">
        <f ca="1" t="shared" si="6"/>
        <v>0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spans="1:72">
      <c r="A349" s="10"/>
      <c r="B349" s="10"/>
      <c r="C349" s="10"/>
      <c r="D349" s="10"/>
      <c r="E349" s="24">
        <v>0</v>
      </c>
      <c r="F349" s="26">
        <f ca="1">SUMIF(I$3:$CU347,"入库",I349:$CU349)</f>
        <v>0</v>
      </c>
      <c r="G349" s="24">
        <f ca="1">SUMIF(J$3:$CU348,"出库",J349:$CU349)</f>
        <v>0</v>
      </c>
      <c r="H349" s="27">
        <f ca="1" t="shared" si="6"/>
        <v>0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spans="1:72">
      <c r="A350" s="10"/>
      <c r="B350" s="10"/>
      <c r="C350" s="10"/>
      <c r="D350" s="10"/>
      <c r="E350" s="24">
        <v>0</v>
      </c>
      <c r="F350" s="26">
        <f ca="1">SUMIF(I$3:$CU348,"入库",I350:$CU350)</f>
        <v>0</v>
      </c>
      <c r="G350" s="24">
        <f ca="1">SUMIF(J$3:$CU349,"出库",J350:$CU350)</f>
        <v>0</v>
      </c>
      <c r="H350" s="27">
        <f ca="1" t="shared" si="6"/>
        <v>0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spans="1:72">
      <c r="A351" s="10"/>
      <c r="B351" s="10"/>
      <c r="C351" s="10"/>
      <c r="D351" s="10"/>
      <c r="E351" s="24">
        <v>0</v>
      </c>
      <c r="F351" s="26">
        <f ca="1">SUMIF(I$3:$CU349,"入库",I351:$CU351)</f>
        <v>0</v>
      </c>
      <c r="G351" s="24">
        <f ca="1">SUMIF(J$3:$CU350,"出库",J351:$CU351)</f>
        <v>0</v>
      </c>
      <c r="H351" s="27">
        <f ca="1" t="shared" si="6"/>
        <v>0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spans="1:72">
      <c r="A352" s="10"/>
      <c r="B352" s="10"/>
      <c r="C352" s="10"/>
      <c r="D352" s="10"/>
      <c r="E352" s="24">
        <v>0</v>
      </c>
      <c r="F352" s="26">
        <f ca="1">SUMIF(I$3:$CU350,"入库",I352:$CU352)</f>
        <v>0</v>
      </c>
      <c r="G352" s="24">
        <f ca="1">SUMIF(J$3:$CU351,"出库",J352:$CU352)</f>
        <v>0</v>
      </c>
      <c r="H352" s="27">
        <f ca="1" t="shared" si="6"/>
        <v>0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spans="1:72">
      <c r="A353" s="10"/>
      <c r="B353" s="10"/>
      <c r="C353" s="10"/>
      <c r="D353" s="10"/>
      <c r="E353" s="24">
        <v>0</v>
      </c>
      <c r="F353" s="26">
        <f ca="1">SUMIF(I$3:$CU351,"入库",I353:$CU353)</f>
        <v>0</v>
      </c>
      <c r="G353" s="24">
        <f ca="1">SUMIF(J$3:$CU352,"出库",J353:$CU353)</f>
        <v>0</v>
      </c>
      <c r="H353" s="27">
        <f ca="1" t="shared" si="6"/>
        <v>0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spans="1:72">
      <c r="A354" s="10"/>
      <c r="B354" s="10"/>
      <c r="C354" s="10"/>
      <c r="D354" s="10"/>
      <c r="E354" s="24">
        <v>0</v>
      </c>
      <c r="F354" s="26">
        <f ca="1">SUMIF(I$3:$CU352,"入库",I354:$CU354)</f>
        <v>0</v>
      </c>
      <c r="G354" s="24">
        <f ca="1">SUMIF(J$3:$CU353,"出库",J354:$CU354)</f>
        <v>0</v>
      </c>
      <c r="H354" s="27">
        <f ca="1" t="shared" si="6"/>
        <v>0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spans="1:72">
      <c r="A355" s="10"/>
      <c r="B355" s="10"/>
      <c r="C355" s="10"/>
      <c r="D355" s="10"/>
      <c r="E355" s="24">
        <v>0</v>
      </c>
      <c r="F355" s="26">
        <f ca="1">SUMIF(I$3:$CU353,"入库",I355:$CU355)</f>
        <v>0</v>
      </c>
      <c r="G355" s="24">
        <f ca="1">SUMIF(J$3:$CU354,"出库",J355:$CU355)</f>
        <v>0</v>
      </c>
      <c r="H355" s="27">
        <f ca="1" t="shared" si="6"/>
        <v>0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spans="1:72">
      <c r="A356" s="10"/>
      <c r="B356" s="10"/>
      <c r="C356" s="10"/>
      <c r="D356" s="10"/>
      <c r="E356" s="24">
        <v>0</v>
      </c>
      <c r="F356" s="26">
        <f ca="1">SUMIF(I$3:$CU354,"入库",I356:$CU356)</f>
        <v>0</v>
      </c>
      <c r="G356" s="24">
        <f ca="1">SUMIF(J$3:$CU355,"出库",J356:$CU356)</f>
        <v>0</v>
      </c>
      <c r="H356" s="27">
        <f ca="1" t="shared" si="6"/>
        <v>0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spans="1:72">
      <c r="A357" s="10"/>
      <c r="B357" s="10"/>
      <c r="C357" s="10"/>
      <c r="D357" s="10"/>
      <c r="E357" s="24">
        <v>0</v>
      </c>
      <c r="F357" s="26">
        <f ca="1">SUMIF(I$3:$CU355,"入库",I357:$CU357)</f>
        <v>0</v>
      </c>
      <c r="G357" s="24">
        <f ca="1">SUMIF(J$3:$CU356,"出库",J357:$CU357)</f>
        <v>0</v>
      </c>
      <c r="H357" s="27">
        <f ca="1" t="shared" si="6"/>
        <v>0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spans="1:72">
      <c r="A358" s="10"/>
      <c r="B358" s="10"/>
      <c r="C358" s="10"/>
      <c r="D358" s="10"/>
      <c r="E358" s="24">
        <v>0</v>
      </c>
      <c r="F358" s="26">
        <f ca="1">SUMIF(I$3:$CU356,"入库",I358:$CU358)</f>
        <v>0</v>
      </c>
      <c r="G358" s="24">
        <f ca="1">SUMIF(J$3:$CU357,"出库",J358:$CU358)</f>
        <v>0</v>
      </c>
      <c r="H358" s="27">
        <f ca="1" t="shared" si="6"/>
        <v>0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spans="1:72">
      <c r="A359" s="10"/>
      <c r="B359" s="10"/>
      <c r="C359" s="10"/>
      <c r="D359" s="10"/>
      <c r="E359" s="24">
        <v>0</v>
      </c>
      <c r="F359" s="26">
        <f ca="1">SUMIF(I$3:$CU357,"入库",I359:$CU359)</f>
        <v>0</v>
      </c>
      <c r="G359" s="24">
        <f ca="1">SUMIF(J$3:$CU358,"出库",J359:$CU359)</f>
        <v>0</v>
      </c>
      <c r="H359" s="27">
        <f ca="1" t="shared" si="6"/>
        <v>0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spans="1:72">
      <c r="A360" s="10"/>
      <c r="B360" s="10"/>
      <c r="C360" s="10"/>
      <c r="D360" s="10"/>
      <c r="E360" s="24">
        <v>0</v>
      </c>
      <c r="F360" s="26">
        <f ca="1">SUMIF(I$3:$CU358,"入库",I360:$CU360)</f>
        <v>0</v>
      </c>
      <c r="G360" s="24">
        <f ca="1">SUMIF(J$3:$CU359,"出库",J360:$CU360)</f>
        <v>0</v>
      </c>
      <c r="H360" s="27">
        <f ca="1" t="shared" si="6"/>
        <v>0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spans="1:72">
      <c r="A361" s="10"/>
      <c r="B361" s="10"/>
      <c r="C361" s="10"/>
      <c r="D361" s="10"/>
      <c r="E361" s="24">
        <v>0</v>
      </c>
      <c r="F361" s="26">
        <f ca="1">SUMIF(I$3:$CU359,"入库",I361:$CU361)</f>
        <v>0</v>
      </c>
      <c r="G361" s="24">
        <f ca="1">SUMIF(J$3:$CU360,"出库",J361:$CU361)</f>
        <v>0</v>
      </c>
      <c r="H361" s="27">
        <f ca="1" t="shared" si="6"/>
        <v>0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spans="1:72">
      <c r="A362" s="10"/>
      <c r="B362" s="10"/>
      <c r="C362" s="10"/>
      <c r="D362" s="10"/>
      <c r="E362" s="24">
        <v>0</v>
      </c>
      <c r="F362" s="26">
        <f ca="1">SUMIF(I$3:$CU360,"入库",I362:$CU362)</f>
        <v>0</v>
      </c>
      <c r="G362" s="24">
        <f ca="1">SUMIF(J$3:$CU361,"出库",J362:$CU362)</f>
        <v>0</v>
      </c>
      <c r="H362" s="27">
        <f ca="1" t="shared" si="6"/>
        <v>0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spans="1:72">
      <c r="A363" s="10"/>
      <c r="B363" s="10"/>
      <c r="C363" s="10"/>
      <c r="D363" s="10"/>
      <c r="E363" s="24">
        <v>0</v>
      </c>
      <c r="F363" s="26">
        <f ca="1">SUMIF(I$3:$CU361,"入库",I363:$CU363)</f>
        <v>0</v>
      </c>
      <c r="G363" s="24">
        <f ca="1">SUMIF(J$3:$CU362,"出库",J363:$CU363)</f>
        <v>0</v>
      </c>
      <c r="H363" s="27">
        <f ca="1" t="shared" si="6"/>
        <v>0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spans="1:72">
      <c r="A364" s="10"/>
      <c r="B364" s="10"/>
      <c r="C364" s="10"/>
      <c r="D364" s="10"/>
      <c r="E364" s="24">
        <v>0</v>
      </c>
      <c r="F364" s="26">
        <f ca="1">SUMIF(I$3:$CU362,"入库",I364:$CU364)</f>
        <v>0</v>
      </c>
      <c r="G364" s="24">
        <f ca="1">SUMIF(J$3:$CU363,"出库",J364:$CU364)</f>
        <v>0</v>
      </c>
      <c r="H364" s="27">
        <f ca="1" t="shared" si="6"/>
        <v>0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spans="1:72">
      <c r="A365" s="10"/>
      <c r="B365" s="10"/>
      <c r="C365" s="10"/>
      <c r="D365" s="10"/>
      <c r="E365" s="24">
        <v>0</v>
      </c>
      <c r="F365" s="26">
        <f ca="1">SUMIF(I$3:$CU363,"入库",I365:$CU365)</f>
        <v>0</v>
      </c>
      <c r="G365" s="24">
        <f ca="1">SUMIF(J$3:$CU364,"出库",J365:$CU365)</f>
        <v>0</v>
      </c>
      <c r="H365" s="27">
        <f ca="1" t="shared" si="6"/>
        <v>0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spans="1:72">
      <c r="A366" s="10"/>
      <c r="B366" s="10"/>
      <c r="C366" s="10"/>
      <c r="D366" s="10"/>
      <c r="E366" s="24">
        <v>0</v>
      </c>
      <c r="F366" s="26">
        <f ca="1">SUMIF(I$3:$CU364,"入库",I366:$CU366)</f>
        <v>0</v>
      </c>
      <c r="G366" s="24">
        <f ca="1">SUMIF(J$3:$CU365,"出库",J366:$CU366)</f>
        <v>0</v>
      </c>
      <c r="H366" s="27">
        <f ca="1" t="shared" si="6"/>
        <v>0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spans="1:72">
      <c r="A367" s="10"/>
      <c r="B367" s="10"/>
      <c r="C367" s="10"/>
      <c r="D367" s="10"/>
      <c r="E367" s="24">
        <v>0</v>
      </c>
      <c r="F367" s="26">
        <f ca="1">SUMIF(I$3:$CU365,"入库",I367:$CU367)</f>
        <v>0</v>
      </c>
      <c r="G367" s="24">
        <f ca="1">SUMIF(J$3:$CU366,"出库",J367:$CU367)</f>
        <v>0</v>
      </c>
      <c r="H367" s="27">
        <f ca="1" t="shared" si="6"/>
        <v>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spans="1:72">
      <c r="A368" s="10"/>
      <c r="B368" s="10"/>
      <c r="C368" s="10"/>
      <c r="D368" s="10"/>
      <c r="E368" s="24">
        <v>0</v>
      </c>
      <c r="F368" s="26">
        <f ca="1">SUMIF(I$3:$CU366,"入库",I368:$CU368)</f>
        <v>0</v>
      </c>
      <c r="G368" s="24">
        <f ca="1">SUMIF(J$3:$CU367,"出库",J368:$CU368)</f>
        <v>0</v>
      </c>
      <c r="H368" s="27">
        <f ca="1" t="shared" si="6"/>
        <v>0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spans="1:72">
      <c r="A369" s="10"/>
      <c r="B369" s="10"/>
      <c r="C369" s="10"/>
      <c r="D369" s="10"/>
      <c r="E369" s="24">
        <v>0</v>
      </c>
      <c r="F369" s="26">
        <f ca="1">SUMIF(I$3:$CU367,"入库",I369:$CU369)</f>
        <v>0</v>
      </c>
      <c r="G369" s="24">
        <f ca="1">SUMIF(J$3:$CU368,"出库",J369:$CU369)</f>
        <v>0</v>
      </c>
      <c r="H369" s="27">
        <f ca="1" t="shared" si="6"/>
        <v>0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spans="1:72">
      <c r="A370" s="10"/>
      <c r="B370" s="10"/>
      <c r="C370" s="10"/>
      <c r="D370" s="10"/>
      <c r="E370" s="24">
        <v>0</v>
      </c>
      <c r="F370" s="26">
        <f ca="1">SUMIF(I$3:$CU368,"入库",I370:$CU370)</f>
        <v>0</v>
      </c>
      <c r="G370" s="24">
        <f ca="1">SUMIF(J$3:$CU369,"出库",J370:$CU370)</f>
        <v>0</v>
      </c>
      <c r="H370" s="27">
        <f ca="1" t="shared" si="6"/>
        <v>0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spans="1:72">
      <c r="A371" s="10"/>
      <c r="B371" s="10"/>
      <c r="C371" s="10"/>
      <c r="D371" s="10"/>
      <c r="E371" s="24">
        <v>0</v>
      </c>
      <c r="F371" s="26">
        <f ca="1">SUMIF(I$3:$CU369,"入库",I371:$CU371)</f>
        <v>0</v>
      </c>
      <c r="G371" s="24">
        <f ca="1">SUMIF(J$3:$CU370,"出库",J371:$CU371)</f>
        <v>0</v>
      </c>
      <c r="H371" s="27">
        <f ca="1" t="shared" si="6"/>
        <v>0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spans="1:72">
      <c r="A372" s="10"/>
      <c r="B372" s="10"/>
      <c r="C372" s="10"/>
      <c r="D372" s="10"/>
      <c r="E372" s="24">
        <v>0</v>
      </c>
      <c r="F372" s="26">
        <f ca="1">SUMIF(I$3:$CU370,"入库",I372:$CU372)</f>
        <v>0</v>
      </c>
      <c r="G372" s="24">
        <f ca="1">SUMIF(J$3:$CU371,"出库",J372:$CU372)</f>
        <v>0</v>
      </c>
      <c r="H372" s="27">
        <f ca="1" t="shared" si="6"/>
        <v>0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spans="1:72">
      <c r="A373" s="10"/>
      <c r="B373" s="10"/>
      <c r="C373" s="10"/>
      <c r="D373" s="10"/>
      <c r="E373" s="24">
        <v>0</v>
      </c>
      <c r="F373" s="26">
        <f ca="1">SUMIF(I$3:$CU371,"入库",I373:$CU373)</f>
        <v>0</v>
      </c>
      <c r="G373" s="24">
        <f ca="1">SUMIF(J$3:$CU372,"出库",J373:$CU373)</f>
        <v>0</v>
      </c>
      <c r="H373" s="27">
        <f ca="1" t="shared" si="6"/>
        <v>0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spans="1:72">
      <c r="A374" s="10"/>
      <c r="B374" s="10"/>
      <c r="C374" s="10"/>
      <c r="D374" s="10"/>
      <c r="E374" s="24">
        <v>0</v>
      </c>
      <c r="F374" s="26">
        <f ca="1">SUMIF(I$3:$CU372,"入库",I374:$CU374)</f>
        <v>0</v>
      </c>
      <c r="G374" s="24">
        <f ca="1">SUMIF(J$3:$CU373,"出库",J374:$CU374)</f>
        <v>0</v>
      </c>
      <c r="H374" s="27">
        <f ca="1" t="shared" si="6"/>
        <v>0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spans="1:72">
      <c r="A375" s="10"/>
      <c r="B375" s="10"/>
      <c r="C375" s="10"/>
      <c r="D375" s="10"/>
      <c r="E375" s="24">
        <v>0</v>
      </c>
      <c r="F375" s="26">
        <f ca="1">SUMIF(I$3:$CU373,"入库",I375:$CU375)</f>
        <v>0</v>
      </c>
      <c r="G375" s="24">
        <f ca="1">SUMIF(J$3:$CU374,"出库",J375:$CU375)</f>
        <v>0</v>
      </c>
      <c r="H375" s="27">
        <f ca="1" t="shared" si="6"/>
        <v>0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spans="1:72">
      <c r="A376" s="10"/>
      <c r="B376" s="10"/>
      <c r="C376" s="10"/>
      <c r="D376" s="10"/>
      <c r="E376" s="24">
        <v>0</v>
      </c>
      <c r="F376" s="26">
        <f ca="1">SUMIF(I$3:$CU374,"入库",I376:$CU376)</f>
        <v>0</v>
      </c>
      <c r="G376" s="24">
        <f ca="1">SUMIF(J$3:$CU375,"出库",J376:$CU376)</f>
        <v>0</v>
      </c>
      <c r="H376" s="27">
        <f ca="1" t="shared" si="6"/>
        <v>0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spans="1:72">
      <c r="A377" s="10"/>
      <c r="B377" s="10"/>
      <c r="C377" s="10"/>
      <c r="D377" s="10"/>
      <c r="E377" s="24">
        <v>0</v>
      </c>
      <c r="F377" s="26">
        <f ca="1">SUMIF(I$3:$CU375,"入库",I377:$CU377)</f>
        <v>0</v>
      </c>
      <c r="G377" s="24">
        <f ca="1">SUMIF(J$3:$CU376,"出库",J377:$CU377)</f>
        <v>0</v>
      </c>
      <c r="H377" s="27">
        <f ca="1" t="shared" si="6"/>
        <v>0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spans="1:72">
      <c r="A378" s="10"/>
      <c r="B378" s="10"/>
      <c r="C378" s="10"/>
      <c r="D378" s="10"/>
      <c r="E378" s="24">
        <v>0</v>
      </c>
      <c r="F378" s="26">
        <f ca="1">SUMIF(I$3:$CU376,"入库",I378:$CU378)</f>
        <v>0</v>
      </c>
      <c r="G378" s="24">
        <f ca="1">SUMIF(J$3:$CU377,"出库",J378:$CU378)</f>
        <v>0</v>
      </c>
      <c r="H378" s="27">
        <f ca="1" t="shared" si="6"/>
        <v>0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spans="1:72">
      <c r="A379" s="10"/>
      <c r="B379" s="10"/>
      <c r="C379" s="10"/>
      <c r="D379" s="10"/>
      <c r="E379" s="24">
        <v>0</v>
      </c>
      <c r="F379" s="26">
        <f ca="1">SUMIF(I$3:$CU377,"入库",I379:$CU379)</f>
        <v>0</v>
      </c>
      <c r="G379" s="24">
        <f ca="1">SUMIF(J$3:$CU378,"出库",J379:$CU379)</f>
        <v>0</v>
      </c>
      <c r="H379" s="27">
        <f ca="1" t="shared" si="6"/>
        <v>0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spans="1:72">
      <c r="A380" s="10"/>
      <c r="B380" s="10"/>
      <c r="C380" s="10"/>
      <c r="D380" s="10"/>
      <c r="E380" s="24">
        <v>0</v>
      </c>
      <c r="F380" s="26">
        <f ca="1">SUMIF(I$3:$CU378,"入库",I380:$CU380)</f>
        <v>0</v>
      </c>
      <c r="G380" s="24">
        <f ca="1">SUMIF(J$3:$CU379,"出库",J380:$CU380)</f>
        <v>0</v>
      </c>
      <c r="H380" s="27">
        <f ca="1" t="shared" si="6"/>
        <v>0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spans="1:72">
      <c r="A381" s="10"/>
      <c r="B381" s="10"/>
      <c r="C381" s="10"/>
      <c r="D381" s="10"/>
      <c r="E381" s="24">
        <v>0</v>
      </c>
      <c r="F381" s="26">
        <f ca="1">SUMIF(I$3:$CU379,"入库",I381:$CU381)</f>
        <v>0</v>
      </c>
      <c r="G381" s="24">
        <f ca="1">SUMIF(J$3:$CU380,"出库",J381:$CU381)</f>
        <v>0</v>
      </c>
      <c r="H381" s="27">
        <f ca="1" t="shared" si="6"/>
        <v>0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spans="1:72">
      <c r="A382" s="10"/>
      <c r="B382" s="10"/>
      <c r="C382" s="10"/>
      <c r="D382" s="10"/>
      <c r="E382" s="24">
        <v>0</v>
      </c>
      <c r="F382" s="26">
        <f ca="1">SUMIF(I$3:$CU380,"入库",I382:$CU382)</f>
        <v>0</v>
      </c>
      <c r="G382" s="24">
        <f ca="1">SUMIF(J$3:$CU381,"出库",J382:$CU382)</f>
        <v>0</v>
      </c>
      <c r="H382" s="27">
        <f ca="1" t="shared" si="6"/>
        <v>0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spans="1:72">
      <c r="A383" s="10"/>
      <c r="B383" s="10"/>
      <c r="C383" s="10"/>
      <c r="D383" s="10"/>
      <c r="E383" s="24">
        <v>0</v>
      </c>
      <c r="F383" s="26">
        <f ca="1">SUMIF(I$3:$CU381,"入库",I383:$CU383)</f>
        <v>0</v>
      </c>
      <c r="G383" s="24">
        <f ca="1">SUMIF(J$3:$CU382,"出库",J383:$CU383)</f>
        <v>0</v>
      </c>
      <c r="H383" s="27">
        <f ca="1" t="shared" si="6"/>
        <v>0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spans="1:72">
      <c r="A384" s="10"/>
      <c r="B384" s="10"/>
      <c r="C384" s="10"/>
      <c r="D384" s="10"/>
      <c r="E384" s="24">
        <v>0</v>
      </c>
      <c r="F384" s="26">
        <f ca="1">SUMIF(I$3:$CU382,"入库",I384:$CU384)</f>
        <v>0</v>
      </c>
      <c r="G384" s="24">
        <f ca="1">SUMIF(J$3:$CU383,"出库",J384:$CU384)</f>
        <v>0</v>
      </c>
      <c r="H384" s="27">
        <f ca="1" t="shared" si="6"/>
        <v>0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spans="1:72">
      <c r="A385" s="10"/>
      <c r="B385" s="10"/>
      <c r="C385" s="10"/>
      <c r="D385" s="10"/>
      <c r="E385" s="24">
        <v>0</v>
      </c>
      <c r="F385" s="26">
        <f ca="1">SUMIF(I$3:$CU383,"入库",I385:$CU385)</f>
        <v>0</v>
      </c>
      <c r="G385" s="24">
        <f ca="1">SUMIF(J$3:$CU384,"出库",J385:$CU385)</f>
        <v>0</v>
      </c>
      <c r="H385" s="27">
        <f ca="1" t="shared" si="6"/>
        <v>0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spans="1:72">
      <c r="A386" s="10"/>
      <c r="B386" s="10"/>
      <c r="C386" s="10"/>
      <c r="D386" s="10"/>
      <c r="E386" s="24">
        <v>0</v>
      </c>
      <c r="F386" s="26">
        <f ca="1">SUMIF(I$3:$CU384,"入库",I386:$CU386)</f>
        <v>0</v>
      </c>
      <c r="G386" s="24">
        <f ca="1">SUMIF(J$3:$CU385,"出库",J386:$CU386)</f>
        <v>0</v>
      </c>
      <c r="H386" s="27">
        <f ca="1" t="shared" si="6"/>
        <v>0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spans="1:72">
      <c r="A387" s="10"/>
      <c r="B387" s="10"/>
      <c r="C387" s="10"/>
      <c r="D387" s="10"/>
      <c r="E387" s="24">
        <v>0</v>
      </c>
      <c r="F387" s="26">
        <f ca="1">SUMIF(I$3:$CU385,"入库",I387:$CU387)</f>
        <v>0</v>
      </c>
      <c r="G387" s="24">
        <f ca="1">SUMIF(J$3:$CU386,"出库",J387:$CU387)</f>
        <v>0</v>
      </c>
      <c r="H387" s="27">
        <f ca="1" t="shared" si="6"/>
        <v>0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spans="1:72">
      <c r="A388" s="10"/>
      <c r="B388" s="10"/>
      <c r="C388" s="10"/>
      <c r="D388" s="10"/>
      <c r="E388" s="24">
        <v>0</v>
      </c>
      <c r="F388" s="26">
        <f ca="1">SUMIF(I$3:$CU386,"入库",I388:$CU388)</f>
        <v>0</v>
      </c>
      <c r="G388" s="24">
        <f ca="1">SUMIF(J$3:$CU387,"出库",J388:$CU388)</f>
        <v>0</v>
      </c>
      <c r="H388" s="27">
        <f ca="1" t="shared" si="6"/>
        <v>0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spans="1:72">
      <c r="A389" s="10"/>
      <c r="B389" s="10"/>
      <c r="C389" s="10"/>
      <c r="D389" s="10"/>
      <c r="E389" s="24">
        <v>0</v>
      </c>
      <c r="F389" s="26">
        <f ca="1">SUMIF(I$3:$CU387,"入库",I389:$CU389)</f>
        <v>0</v>
      </c>
      <c r="G389" s="24">
        <f ca="1">SUMIF(J$3:$CU388,"出库",J389:$CU389)</f>
        <v>0</v>
      </c>
      <c r="H389" s="27">
        <f ca="1" t="shared" si="6"/>
        <v>0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spans="1:72">
      <c r="A390" s="10"/>
      <c r="B390" s="10"/>
      <c r="C390" s="10"/>
      <c r="D390" s="10"/>
      <c r="E390" s="24">
        <v>0</v>
      </c>
      <c r="F390" s="26">
        <f ca="1">SUMIF(I$3:$CU388,"入库",I390:$CU390)</f>
        <v>0</v>
      </c>
      <c r="G390" s="24">
        <f ca="1">SUMIF(J$3:$CU389,"出库",J390:$CU390)</f>
        <v>0</v>
      </c>
      <c r="H390" s="27">
        <f ca="1" t="shared" ref="H390:H453" si="7">E390+F390-G390</f>
        <v>0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spans="1:72">
      <c r="A391" s="10"/>
      <c r="B391" s="10"/>
      <c r="C391" s="10"/>
      <c r="D391" s="10"/>
      <c r="E391" s="24">
        <v>0</v>
      </c>
      <c r="F391" s="26">
        <f ca="1">SUMIF(I$3:$CU389,"入库",I391:$CU391)</f>
        <v>0</v>
      </c>
      <c r="G391" s="24">
        <f ca="1">SUMIF(J$3:$CU390,"出库",J391:$CU391)</f>
        <v>0</v>
      </c>
      <c r="H391" s="27">
        <f ca="1" t="shared" si="7"/>
        <v>0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spans="1:72">
      <c r="A392" s="10"/>
      <c r="B392" s="10"/>
      <c r="C392" s="10"/>
      <c r="D392" s="10"/>
      <c r="E392" s="24">
        <v>0</v>
      </c>
      <c r="F392" s="26">
        <f ca="1">SUMIF(I$3:$CU390,"入库",I392:$CU392)</f>
        <v>0</v>
      </c>
      <c r="G392" s="24">
        <f ca="1">SUMIF(J$3:$CU391,"出库",J392:$CU392)</f>
        <v>0</v>
      </c>
      <c r="H392" s="27">
        <f ca="1" t="shared" si="7"/>
        <v>0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spans="1:72">
      <c r="A393" s="10"/>
      <c r="B393" s="10"/>
      <c r="C393" s="10"/>
      <c r="D393" s="10"/>
      <c r="E393" s="24">
        <v>0</v>
      </c>
      <c r="F393" s="26">
        <f ca="1">SUMIF(I$3:$CU391,"入库",I393:$CU393)</f>
        <v>0</v>
      </c>
      <c r="G393" s="24">
        <f ca="1">SUMIF(J$3:$CU392,"出库",J393:$CU393)</f>
        <v>0</v>
      </c>
      <c r="H393" s="27">
        <f ca="1" t="shared" si="7"/>
        <v>0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spans="1:72">
      <c r="A394" s="10"/>
      <c r="B394" s="10"/>
      <c r="C394" s="10"/>
      <c r="D394" s="10"/>
      <c r="E394" s="24">
        <v>0</v>
      </c>
      <c r="F394" s="26">
        <f ca="1">SUMIF(I$3:$CU392,"入库",I394:$CU394)</f>
        <v>0</v>
      </c>
      <c r="G394" s="24">
        <f ca="1">SUMIF(J$3:$CU393,"出库",J394:$CU394)</f>
        <v>0</v>
      </c>
      <c r="H394" s="27">
        <f ca="1" t="shared" si="7"/>
        <v>0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spans="1:72">
      <c r="A395" s="10"/>
      <c r="B395" s="10"/>
      <c r="C395" s="10"/>
      <c r="D395" s="10"/>
      <c r="E395" s="24">
        <v>0</v>
      </c>
      <c r="F395" s="26">
        <f ca="1">SUMIF(I$3:$CU393,"入库",I395:$CU395)</f>
        <v>0</v>
      </c>
      <c r="G395" s="24">
        <f ca="1">SUMIF(J$3:$CU394,"出库",J395:$CU395)</f>
        <v>0</v>
      </c>
      <c r="H395" s="27">
        <f ca="1" t="shared" si="7"/>
        <v>0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spans="1:72">
      <c r="A396" s="10"/>
      <c r="B396" s="10"/>
      <c r="C396" s="10"/>
      <c r="D396" s="10"/>
      <c r="E396" s="24">
        <v>0</v>
      </c>
      <c r="F396" s="26">
        <f ca="1">SUMIF(I$3:$CU394,"入库",I396:$CU396)</f>
        <v>0</v>
      </c>
      <c r="G396" s="24">
        <f ca="1">SUMIF(J$3:$CU395,"出库",J396:$CU396)</f>
        <v>0</v>
      </c>
      <c r="H396" s="27">
        <f ca="1" t="shared" si="7"/>
        <v>0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spans="1:72">
      <c r="A397" s="10"/>
      <c r="B397" s="10"/>
      <c r="C397" s="10"/>
      <c r="D397" s="10"/>
      <c r="E397" s="24">
        <v>0</v>
      </c>
      <c r="F397" s="26">
        <f ca="1">SUMIF(I$3:$CU395,"入库",I397:$CU397)</f>
        <v>0</v>
      </c>
      <c r="G397" s="24">
        <f ca="1">SUMIF(J$3:$CU396,"出库",J397:$CU397)</f>
        <v>0</v>
      </c>
      <c r="H397" s="27">
        <f ca="1" t="shared" si="7"/>
        <v>0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spans="1:72">
      <c r="A398" s="10"/>
      <c r="B398" s="10"/>
      <c r="C398" s="10"/>
      <c r="D398" s="10"/>
      <c r="E398" s="24">
        <v>0</v>
      </c>
      <c r="F398" s="26">
        <f ca="1">SUMIF(I$3:$CU396,"入库",I398:$CU398)</f>
        <v>0</v>
      </c>
      <c r="G398" s="24">
        <f ca="1">SUMIF(J$3:$CU397,"出库",J398:$CU398)</f>
        <v>0</v>
      </c>
      <c r="H398" s="27">
        <f ca="1" t="shared" si="7"/>
        <v>0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spans="1:72">
      <c r="A399" s="10"/>
      <c r="B399" s="10"/>
      <c r="C399" s="10"/>
      <c r="D399" s="10"/>
      <c r="E399" s="24">
        <v>0</v>
      </c>
      <c r="F399" s="26">
        <f ca="1">SUMIF(I$3:$CU397,"入库",I399:$CU399)</f>
        <v>0</v>
      </c>
      <c r="G399" s="24">
        <f ca="1">SUMIF(J$3:$CU398,"出库",J399:$CU399)</f>
        <v>0</v>
      </c>
      <c r="H399" s="27">
        <f ca="1" t="shared" si="7"/>
        <v>0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spans="1:72">
      <c r="A400" s="10"/>
      <c r="B400" s="10"/>
      <c r="C400" s="10"/>
      <c r="D400" s="10"/>
      <c r="E400" s="24">
        <v>0</v>
      </c>
      <c r="F400" s="26">
        <f ca="1">SUMIF(I$3:$CU398,"入库",I400:$CU400)</f>
        <v>0</v>
      </c>
      <c r="G400" s="24">
        <f ca="1">SUMIF(J$3:$CU399,"出库",J400:$CU400)</f>
        <v>0</v>
      </c>
      <c r="H400" s="27">
        <f ca="1" t="shared" si="7"/>
        <v>0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spans="1:72">
      <c r="A401" s="10"/>
      <c r="B401" s="10"/>
      <c r="C401" s="10"/>
      <c r="D401" s="10"/>
      <c r="E401" s="24">
        <v>0</v>
      </c>
      <c r="F401" s="26">
        <f ca="1">SUMIF(I$3:$CU399,"入库",I401:$CU401)</f>
        <v>0</v>
      </c>
      <c r="G401" s="24">
        <f ca="1">SUMIF(J$3:$CU400,"出库",J401:$CU401)</f>
        <v>0</v>
      </c>
      <c r="H401" s="27">
        <f ca="1" t="shared" si="7"/>
        <v>0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spans="1:72">
      <c r="A402" s="10"/>
      <c r="B402" s="10"/>
      <c r="C402" s="10"/>
      <c r="D402" s="10"/>
      <c r="E402" s="24">
        <v>0</v>
      </c>
      <c r="F402" s="26">
        <f ca="1">SUMIF(I$3:$CU400,"入库",I402:$CU402)</f>
        <v>0</v>
      </c>
      <c r="G402" s="24">
        <f ca="1">SUMIF(J$3:$CU401,"出库",J402:$CU402)</f>
        <v>0</v>
      </c>
      <c r="H402" s="27">
        <f ca="1" t="shared" si="7"/>
        <v>0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spans="1:72">
      <c r="A403" s="10"/>
      <c r="B403" s="10"/>
      <c r="C403" s="10"/>
      <c r="D403" s="10"/>
      <c r="E403" s="24">
        <v>0</v>
      </c>
      <c r="F403" s="26">
        <f ca="1">SUMIF(I$3:$CU401,"入库",I403:$CU403)</f>
        <v>0</v>
      </c>
      <c r="G403" s="24">
        <f ca="1">SUMIF(J$3:$CU402,"出库",J403:$CU403)</f>
        <v>0</v>
      </c>
      <c r="H403" s="27">
        <f ca="1" t="shared" si="7"/>
        <v>0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spans="1:72">
      <c r="A404" s="10"/>
      <c r="B404" s="10"/>
      <c r="C404" s="10"/>
      <c r="D404" s="10"/>
      <c r="E404" s="24">
        <v>0</v>
      </c>
      <c r="F404" s="26">
        <f ca="1">SUMIF(I$3:$CU402,"入库",I404:$CU404)</f>
        <v>0</v>
      </c>
      <c r="G404" s="24">
        <f ca="1">SUMIF(J$3:$CU403,"出库",J404:$CU404)</f>
        <v>0</v>
      </c>
      <c r="H404" s="27">
        <f ca="1" t="shared" si="7"/>
        <v>0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spans="1:72">
      <c r="A405" s="10"/>
      <c r="B405" s="10"/>
      <c r="C405" s="10"/>
      <c r="D405" s="10"/>
      <c r="E405" s="24">
        <v>0</v>
      </c>
      <c r="F405" s="26">
        <f ca="1">SUMIF(I$3:$CU403,"入库",I405:$CU405)</f>
        <v>0</v>
      </c>
      <c r="G405" s="24">
        <f ca="1">SUMIF(J$3:$CU404,"出库",J405:$CU405)</f>
        <v>0</v>
      </c>
      <c r="H405" s="27">
        <f ca="1" t="shared" si="7"/>
        <v>0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spans="1:72">
      <c r="A406" s="10"/>
      <c r="B406" s="10"/>
      <c r="C406" s="10"/>
      <c r="D406" s="10"/>
      <c r="E406" s="24">
        <v>0</v>
      </c>
      <c r="F406" s="26">
        <f ca="1">SUMIF(I$3:$CU404,"入库",I406:$CU406)</f>
        <v>0</v>
      </c>
      <c r="G406" s="24">
        <f ca="1">SUMIF(J$3:$CU405,"出库",J406:$CU406)</f>
        <v>0</v>
      </c>
      <c r="H406" s="27">
        <f ca="1" t="shared" si="7"/>
        <v>0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spans="1:72">
      <c r="A407" s="10"/>
      <c r="B407" s="10"/>
      <c r="C407" s="10"/>
      <c r="D407" s="10"/>
      <c r="E407" s="24">
        <v>0</v>
      </c>
      <c r="F407" s="26">
        <f ca="1">SUMIF(I$3:$CU405,"入库",I407:$CU407)</f>
        <v>0</v>
      </c>
      <c r="G407" s="24">
        <f ca="1">SUMIF(J$3:$CU406,"出库",J407:$CU407)</f>
        <v>0</v>
      </c>
      <c r="H407" s="27">
        <f ca="1" t="shared" si="7"/>
        <v>0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spans="1:72">
      <c r="A408" s="10"/>
      <c r="B408" s="10"/>
      <c r="C408" s="10"/>
      <c r="D408" s="10"/>
      <c r="E408" s="24">
        <v>0</v>
      </c>
      <c r="F408" s="26">
        <f ca="1">SUMIF(I$3:$CU406,"入库",I408:$CU408)</f>
        <v>0</v>
      </c>
      <c r="G408" s="24">
        <f ca="1">SUMIF(J$3:$CU407,"出库",J408:$CU408)</f>
        <v>0</v>
      </c>
      <c r="H408" s="27">
        <f ca="1" t="shared" si="7"/>
        <v>0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spans="1:72">
      <c r="A409" s="10"/>
      <c r="B409" s="10"/>
      <c r="C409" s="10"/>
      <c r="D409" s="10"/>
      <c r="E409" s="24">
        <v>0</v>
      </c>
      <c r="F409" s="26">
        <f ca="1">SUMIF(I$3:$CU407,"入库",I409:$CU409)</f>
        <v>0</v>
      </c>
      <c r="G409" s="24">
        <f ca="1">SUMIF(J$3:$CU408,"出库",J409:$CU409)</f>
        <v>0</v>
      </c>
      <c r="H409" s="27">
        <f ca="1" t="shared" si="7"/>
        <v>0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spans="1:72">
      <c r="A410" s="10"/>
      <c r="B410" s="10"/>
      <c r="C410" s="10"/>
      <c r="D410" s="10"/>
      <c r="E410" s="24">
        <v>0</v>
      </c>
      <c r="F410" s="26">
        <f ca="1">SUMIF(I$3:$CU408,"入库",I410:$CU410)</f>
        <v>0</v>
      </c>
      <c r="G410" s="24">
        <f ca="1">SUMIF(J$3:$CU409,"出库",J410:$CU410)</f>
        <v>0</v>
      </c>
      <c r="H410" s="27">
        <f ca="1" t="shared" si="7"/>
        <v>0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spans="1:72">
      <c r="A411" s="10"/>
      <c r="B411" s="10"/>
      <c r="C411" s="10"/>
      <c r="D411" s="10"/>
      <c r="E411" s="24">
        <v>0</v>
      </c>
      <c r="F411" s="26">
        <f ca="1">SUMIF(I$3:$CU409,"入库",I411:$CU411)</f>
        <v>0</v>
      </c>
      <c r="G411" s="24">
        <f ca="1">SUMIF(J$3:$CU410,"出库",J411:$CU411)</f>
        <v>0</v>
      </c>
      <c r="H411" s="27">
        <f ca="1" t="shared" si="7"/>
        <v>0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spans="1:72">
      <c r="A412" s="10"/>
      <c r="B412" s="10"/>
      <c r="C412" s="10"/>
      <c r="D412" s="10"/>
      <c r="E412" s="24">
        <v>0</v>
      </c>
      <c r="F412" s="26">
        <f ca="1">SUMIF(I$3:$CU410,"入库",I412:$CU412)</f>
        <v>0</v>
      </c>
      <c r="G412" s="24">
        <f ca="1">SUMIF(J$3:$CU411,"出库",J412:$CU412)</f>
        <v>0</v>
      </c>
      <c r="H412" s="27">
        <f ca="1" t="shared" si="7"/>
        <v>0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spans="1:72">
      <c r="A413" s="10"/>
      <c r="B413" s="10"/>
      <c r="C413" s="10"/>
      <c r="D413" s="10"/>
      <c r="E413" s="24">
        <v>0</v>
      </c>
      <c r="F413" s="26">
        <f ca="1">SUMIF(I$3:$CU411,"入库",I413:$CU413)</f>
        <v>0</v>
      </c>
      <c r="G413" s="24">
        <f ca="1">SUMIF(J$3:$CU412,"出库",J413:$CU413)</f>
        <v>0</v>
      </c>
      <c r="H413" s="27">
        <f ca="1" t="shared" si="7"/>
        <v>0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spans="1:72">
      <c r="A414" s="10"/>
      <c r="B414" s="10"/>
      <c r="C414" s="10"/>
      <c r="D414" s="10"/>
      <c r="E414" s="24">
        <v>0</v>
      </c>
      <c r="F414" s="26">
        <f ca="1">SUMIF(I$3:$CU412,"入库",I414:$CU414)</f>
        <v>0</v>
      </c>
      <c r="G414" s="24">
        <f ca="1">SUMIF(J$3:$CU413,"出库",J414:$CU414)</f>
        <v>0</v>
      </c>
      <c r="H414" s="27">
        <f ca="1" t="shared" si="7"/>
        <v>0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spans="1:72">
      <c r="A415" s="10"/>
      <c r="B415" s="10"/>
      <c r="C415" s="10"/>
      <c r="D415" s="10"/>
      <c r="E415" s="24">
        <v>0</v>
      </c>
      <c r="F415" s="26">
        <f ca="1">SUMIF(I$3:$CU413,"入库",I415:$CU415)</f>
        <v>0</v>
      </c>
      <c r="G415" s="24">
        <f ca="1">SUMIF(J$3:$CU414,"出库",J415:$CU415)</f>
        <v>0</v>
      </c>
      <c r="H415" s="27">
        <f ca="1" t="shared" si="7"/>
        <v>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spans="1:72">
      <c r="A416" s="10"/>
      <c r="B416" s="10"/>
      <c r="C416" s="10"/>
      <c r="D416" s="10"/>
      <c r="E416" s="24">
        <v>0</v>
      </c>
      <c r="F416" s="26">
        <f ca="1">SUMIF(I$3:$CU414,"入库",I416:$CU416)</f>
        <v>0</v>
      </c>
      <c r="G416" s="24">
        <f ca="1">SUMIF(J$3:$CU415,"出库",J416:$CU416)</f>
        <v>0</v>
      </c>
      <c r="H416" s="27">
        <f ca="1" t="shared" si="7"/>
        <v>0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spans="1:72">
      <c r="A417" s="10"/>
      <c r="B417" s="10"/>
      <c r="C417" s="10"/>
      <c r="D417" s="10"/>
      <c r="E417" s="24">
        <v>0</v>
      </c>
      <c r="F417" s="26">
        <f ca="1">SUMIF(I$3:$CU415,"入库",I417:$CU417)</f>
        <v>0</v>
      </c>
      <c r="G417" s="24">
        <f ca="1">SUMIF(J$3:$CU416,"出库",J417:$CU417)</f>
        <v>0</v>
      </c>
      <c r="H417" s="27">
        <f ca="1" t="shared" si="7"/>
        <v>0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spans="1:72">
      <c r="A418" s="10"/>
      <c r="B418" s="10"/>
      <c r="C418" s="10"/>
      <c r="D418" s="10"/>
      <c r="E418" s="24">
        <v>0</v>
      </c>
      <c r="F418" s="26">
        <f ca="1">SUMIF(I$3:$CU416,"入库",I418:$CU418)</f>
        <v>0</v>
      </c>
      <c r="G418" s="24">
        <f ca="1">SUMIF(J$3:$CU417,"出库",J418:$CU418)</f>
        <v>0</v>
      </c>
      <c r="H418" s="27">
        <f ca="1" t="shared" si="7"/>
        <v>0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spans="1:72">
      <c r="A419" s="10"/>
      <c r="B419" s="10"/>
      <c r="C419" s="10"/>
      <c r="D419" s="10"/>
      <c r="E419" s="24">
        <v>0</v>
      </c>
      <c r="F419" s="26">
        <f ca="1">SUMIF(I$3:$CU417,"入库",I419:$CU419)</f>
        <v>0</v>
      </c>
      <c r="G419" s="24">
        <f ca="1">SUMIF(J$3:$CU418,"出库",J419:$CU419)</f>
        <v>0</v>
      </c>
      <c r="H419" s="27">
        <f ca="1" t="shared" si="7"/>
        <v>0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spans="1:72">
      <c r="A420" s="10"/>
      <c r="B420" s="10"/>
      <c r="C420" s="10"/>
      <c r="D420" s="10"/>
      <c r="E420" s="24">
        <v>0</v>
      </c>
      <c r="F420" s="26">
        <f ca="1">SUMIF(I$3:$CU418,"入库",I420:$CU420)</f>
        <v>0</v>
      </c>
      <c r="G420" s="24">
        <f ca="1">SUMIF(J$3:$CU419,"出库",J420:$CU420)</f>
        <v>0</v>
      </c>
      <c r="H420" s="27">
        <f ca="1" t="shared" si="7"/>
        <v>0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spans="1:72">
      <c r="A421" s="10"/>
      <c r="B421" s="10"/>
      <c r="C421" s="10"/>
      <c r="D421" s="10"/>
      <c r="E421" s="24">
        <v>0</v>
      </c>
      <c r="F421" s="26">
        <f ca="1">SUMIF(I$3:$CU419,"入库",I421:$CU421)</f>
        <v>0</v>
      </c>
      <c r="G421" s="24">
        <f ca="1">SUMIF(J$3:$CU420,"出库",J421:$CU421)</f>
        <v>0</v>
      </c>
      <c r="H421" s="27">
        <f ca="1" t="shared" si="7"/>
        <v>0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spans="1:72">
      <c r="A422" s="10"/>
      <c r="B422" s="10"/>
      <c r="C422" s="10"/>
      <c r="D422" s="10"/>
      <c r="E422" s="24">
        <v>0</v>
      </c>
      <c r="F422" s="26">
        <f ca="1">SUMIF(I$3:$CU420,"入库",I422:$CU422)</f>
        <v>0</v>
      </c>
      <c r="G422" s="24">
        <f ca="1">SUMIF(J$3:$CU421,"出库",J422:$CU422)</f>
        <v>0</v>
      </c>
      <c r="H422" s="27">
        <f ca="1" t="shared" si="7"/>
        <v>0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spans="1:72">
      <c r="A423" s="10"/>
      <c r="B423" s="10"/>
      <c r="C423" s="10"/>
      <c r="D423" s="10"/>
      <c r="E423" s="24">
        <v>0</v>
      </c>
      <c r="F423" s="26">
        <f ca="1">SUMIF(I$3:$CU421,"入库",I423:$CU423)</f>
        <v>0</v>
      </c>
      <c r="G423" s="24">
        <f ca="1">SUMIF(J$3:$CU422,"出库",J423:$CU423)</f>
        <v>0</v>
      </c>
      <c r="H423" s="27">
        <f ca="1" t="shared" si="7"/>
        <v>0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spans="1:72">
      <c r="A424" s="10"/>
      <c r="B424" s="10"/>
      <c r="C424" s="10"/>
      <c r="D424" s="10"/>
      <c r="E424" s="24">
        <v>0</v>
      </c>
      <c r="F424" s="26">
        <f ca="1">SUMIF(I$3:$CU422,"入库",I424:$CU424)</f>
        <v>0</v>
      </c>
      <c r="G424" s="24">
        <f ca="1">SUMIF(J$3:$CU423,"出库",J424:$CU424)</f>
        <v>0</v>
      </c>
      <c r="H424" s="27">
        <f ca="1" t="shared" si="7"/>
        <v>0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spans="1:72">
      <c r="A425" s="10"/>
      <c r="B425" s="10"/>
      <c r="C425" s="10"/>
      <c r="D425" s="10"/>
      <c r="E425" s="24">
        <v>0</v>
      </c>
      <c r="F425" s="26">
        <f ca="1">SUMIF(I$3:$CU423,"入库",I425:$CU425)</f>
        <v>0</v>
      </c>
      <c r="G425" s="24">
        <f ca="1">SUMIF(J$3:$CU424,"出库",J425:$CU425)</f>
        <v>0</v>
      </c>
      <c r="H425" s="27">
        <f ca="1" t="shared" si="7"/>
        <v>0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spans="1:72">
      <c r="A426" s="10"/>
      <c r="B426" s="10"/>
      <c r="C426" s="10"/>
      <c r="D426" s="10"/>
      <c r="E426" s="24">
        <v>0</v>
      </c>
      <c r="F426" s="26">
        <f ca="1">SUMIF(I$3:$CU424,"入库",I426:$CU426)</f>
        <v>0</v>
      </c>
      <c r="G426" s="24">
        <f ca="1">SUMIF(J$3:$CU425,"出库",J426:$CU426)</f>
        <v>0</v>
      </c>
      <c r="H426" s="27">
        <f ca="1" t="shared" si="7"/>
        <v>0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spans="1:72">
      <c r="A427" s="10"/>
      <c r="B427" s="10"/>
      <c r="C427" s="10"/>
      <c r="D427" s="10"/>
      <c r="E427" s="24">
        <v>0</v>
      </c>
      <c r="F427" s="26">
        <f ca="1">SUMIF(I$3:$CU425,"入库",I427:$CU427)</f>
        <v>0</v>
      </c>
      <c r="G427" s="24">
        <f ca="1">SUMIF(J$3:$CU426,"出库",J427:$CU427)</f>
        <v>0</v>
      </c>
      <c r="H427" s="27">
        <f ca="1" t="shared" si="7"/>
        <v>0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spans="1:72">
      <c r="A428" s="10"/>
      <c r="B428" s="10"/>
      <c r="C428" s="10"/>
      <c r="D428" s="10"/>
      <c r="E428" s="24">
        <v>0</v>
      </c>
      <c r="F428" s="26">
        <f ca="1">SUMIF(I$3:$CU426,"入库",I428:$CU428)</f>
        <v>0</v>
      </c>
      <c r="G428" s="24">
        <f ca="1">SUMIF(J$3:$CU427,"出库",J428:$CU428)</f>
        <v>0</v>
      </c>
      <c r="H428" s="27">
        <f ca="1" t="shared" si="7"/>
        <v>0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spans="1:72">
      <c r="A429" s="10"/>
      <c r="B429" s="10"/>
      <c r="C429" s="10"/>
      <c r="D429" s="10"/>
      <c r="E429" s="24">
        <v>0</v>
      </c>
      <c r="F429" s="26">
        <f ca="1">SUMIF(I$3:$CU427,"入库",I429:$CU429)</f>
        <v>0</v>
      </c>
      <c r="G429" s="24">
        <f ca="1">SUMIF(J$3:$CU428,"出库",J429:$CU429)</f>
        <v>0</v>
      </c>
      <c r="H429" s="27">
        <f ca="1" t="shared" si="7"/>
        <v>0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spans="1:72">
      <c r="A430" s="10"/>
      <c r="B430" s="10"/>
      <c r="C430" s="10"/>
      <c r="D430" s="10"/>
      <c r="E430" s="24">
        <v>0</v>
      </c>
      <c r="F430" s="26">
        <f ca="1">SUMIF(I$3:$CU428,"入库",I430:$CU430)</f>
        <v>0</v>
      </c>
      <c r="G430" s="24">
        <f ca="1">SUMIF(J$3:$CU429,"出库",J430:$CU430)</f>
        <v>0</v>
      </c>
      <c r="H430" s="27">
        <f ca="1" t="shared" si="7"/>
        <v>0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spans="1:72">
      <c r="A431" s="10"/>
      <c r="B431" s="10"/>
      <c r="C431" s="10"/>
      <c r="D431" s="10"/>
      <c r="E431" s="24">
        <v>0</v>
      </c>
      <c r="F431" s="26">
        <f ca="1">SUMIF(I$3:$CU429,"入库",I431:$CU431)</f>
        <v>0</v>
      </c>
      <c r="G431" s="24">
        <f ca="1">SUMIF(J$3:$CU430,"出库",J431:$CU431)</f>
        <v>0</v>
      </c>
      <c r="H431" s="27">
        <f ca="1" t="shared" si="7"/>
        <v>0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spans="1:72">
      <c r="A432" s="10"/>
      <c r="B432" s="10"/>
      <c r="C432" s="10"/>
      <c r="D432" s="10"/>
      <c r="E432" s="24">
        <v>0</v>
      </c>
      <c r="F432" s="26">
        <f ca="1">SUMIF(I$3:$CU430,"入库",I432:$CU432)</f>
        <v>0</v>
      </c>
      <c r="G432" s="24">
        <f ca="1">SUMIF(J$3:$CU431,"出库",J432:$CU432)</f>
        <v>0</v>
      </c>
      <c r="H432" s="27">
        <f ca="1" t="shared" si="7"/>
        <v>0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spans="1:72">
      <c r="A433" s="10"/>
      <c r="B433" s="10"/>
      <c r="C433" s="10"/>
      <c r="D433" s="10"/>
      <c r="E433" s="24">
        <v>0</v>
      </c>
      <c r="F433" s="26">
        <f ca="1">SUMIF(I$3:$CU431,"入库",I433:$CU433)</f>
        <v>0</v>
      </c>
      <c r="G433" s="24">
        <f ca="1">SUMIF(J$3:$CU432,"出库",J433:$CU433)</f>
        <v>0</v>
      </c>
      <c r="H433" s="27">
        <f ca="1" t="shared" si="7"/>
        <v>0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spans="1:72">
      <c r="A434" s="10"/>
      <c r="B434" s="10"/>
      <c r="C434" s="10"/>
      <c r="D434" s="10"/>
      <c r="E434" s="24">
        <v>0</v>
      </c>
      <c r="F434" s="26">
        <f ca="1">SUMIF(I$3:$CU432,"入库",I434:$CU434)</f>
        <v>0</v>
      </c>
      <c r="G434" s="24">
        <f ca="1">SUMIF(J$3:$CU433,"出库",J434:$CU434)</f>
        <v>0</v>
      </c>
      <c r="H434" s="27">
        <f ca="1" t="shared" si="7"/>
        <v>0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spans="1:72">
      <c r="A435" s="10"/>
      <c r="B435" s="10"/>
      <c r="C435" s="10"/>
      <c r="D435" s="10"/>
      <c r="E435" s="24">
        <v>0</v>
      </c>
      <c r="F435" s="26">
        <f ca="1">SUMIF(I$3:$CU433,"入库",I435:$CU435)</f>
        <v>0</v>
      </c>
      <c r="G435" s="24">
        <f ca="1">SUMIF(J$3:$CU434,"出库",J435:$CU435)</f>
        <v>0</v>
      </c>
      <c r="H435" s="27">
        <f ca="1" t="shared" si="7"/>
        <v>0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spans="1:72">
      <c r="A436" s="10"/>
      <c r="B436" s="10"/>
      <c r="C436" s="10"/>
      <c r="D436" s="10"/>
      <c r="E436" s="24">
        <v>0</v>
      </c>
      <c r="F436" s="26">
        <f ca="1">SUMIF(I$3:$CU434,"入库",I436:$CU436)</f>
        <v>0</v>
      </c>
      <c r="G436" s="24">
        <f ca="1">SUMIF(J$3:$CU435,"出库",J436:$CU436)</f>
        <v>0</v>
      </c>
      <c r="H436" s="27">
        <f ca="1" t="shared" si="7"/>
        <v>0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spans="1:72">
      <c r="A437" s="10"/>
      <c r="B437" s="10"/>
      <c r="C437" s="10"/>
      <c r="D437" s="10"/>
      <c r="E437" s="24">
        <v>0</v>
      </c>
      <c r="F437" s="26">
        <f ca="1">SUMIF(I$3:$CU435,"入库",I437:$CU437)</f>
        <v>0</v>
      </c>
      <c r="G437" s="24">
        <f ca="1">SUMIF(J$3:$CU436,"出库",J437:$CU437)</f>
        <v>0</v>
      </c>
      <c r="H437" s="27">
        <f ca="1" t="shared" si="7"/>
        <v>0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spans="1:72">
      <c r="A438" s="10"/>
      <c r="B438" s="10"/>
      <c r="C438" s="10"/>
      <c r="D438" s="10"/>
      <c r="E438" s="24">
        <v>0</v>
      </c>
      <c r="F438" s="26">
        <f ca="1">SUMIF(I$3:$CU436,"入库",I438:$CU438)</f>
        <v>0</v>
      </c>
      <c r="G438" s="24">
        <f ca="1">SUMIF(J$3:$CU437,"出库",J438:$CU438)</f>
        <v>0</v>
      </c>
      <c r="H438" s="27">
        <f ca="1" t="shared" si="7"/>
        <v>0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spans="1:72">
      <c r="A439" s="10"/>
      <c r="B439" s="10"/>
      <c r="C439" s="10"/>
      <c r="D439" s="10"/>
      <c r="E439" s="24">
        <v>0</v>
      </c>
      <c r="F439" s="26">
        <f ca="1">SUMIF(I$3:$CU437,"入库",I439:$CU439)</f>
        <v>0</v>
      </c>
      <c r="G439" s="24">
        <f ca="1">SUMIF(J$3:$CU438,"出库",J439:$CU439)</f>
        <v>0</v>
      </c>
      <c r="H439" s="27">
        <f ca="1" t="shared" si="7"/>
        <v>0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spans="1:72">
      <c r="A440" s="10"/>
      <c r="B440" s="10"/>
      <c r="C440" s="10"/>
      <c r="D440" s="10"/>
      <c r="E440" s="24">
        <v>0</v>
      </c>
      <c r="F440" s="26">
        <f ca="1">SUMIF(I$3:$CU438,"入库",I440:$CU440)</f>
        <v>0</v>
      </c>
      <c r="G440" s="24">
        <f ca="1">SUMIF(J$3:$CU439,"出库",J440:$CU440)</f>
        <v>0</v>
      </c>
      <c r="H440" s="27">
        <f ca="1" t="shared" si="7"/>
        <v>0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spans="1:72">
      <c r="A441" s="10"/>
      <c r="B441" s="10"/>
      <c r="C441" s="10"/>
      <c r="D441" s="10"/>
      <c r="E441" s="24">
        <v>0</v>
      </c>
      <c r="F441" s="26">
        <f ca="1">SUMIF(I$3:$CU439,"入库",I441:$CU441)</f>
        <v>0</v>
      </c>
      <c r="G441" s="24">
        <f ca="1">SUMIF(J$3:$CU440,"出库",J441:$CU441)</f>
        <v>0</v>
      </c>
      <c r="H441" s="27">
        <f ca="1" t="shared" si="7"/>
        <v>0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spans="1:72">
      <c r="A442" s="10"/>
      <c r="B442" s="10"/>
      <c r="C442" s="10"/>
      <c r="D442" s="10"/>
      <c r="E442" s="24">
        <v>0</v>
      </c>
      <c r="F442" s="26">
        <f ca="1">SUMIF(I$3:$CU440,"入库",I442:$CU442)</f>
        <v>0</v>
      </c>
      <c r="G442" s="24">
        <f ca="1">SUMIF(J$3:$CU441,"出库",J442:$CU442)</f>
        <v>0</v>
      </c>
      <c r="H442" s="27">
        <f ca="1" t="shared" si="7"/>
        <v>0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spans="1:72">
      <c r="A443" s="10"/>
      <c r="B443" s="10"/>
      <c r="C443" s="10"/>
      <c r="D443" s="10"/>
      <c r="E443" s="24">
        <v>0</v>
      </c>
      <c r="F443" s="26">
        <f ca="1">SUMIF(I$3:$CU441,"入库",I443:$CU443)</f>
        <v>0</v>
      </c>
      <c r="G443" s="24">
        <f ca="1">SUMIF(J$3:$CU442,"出库",J443:$CU443)</f>
        <v>0</v>
      </c>
      <c r="H443" s="27">
        <f ca="1" t="shared" si="7"/>
        <v>0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spans="1:72">
      <c r="A444" s="10"/>
      <c r="B444" s="10"/>
      <c r="C444" s="10"/>
      <c r="D444" s="10"/>
      <c r="E444" s="24">
        <v>0</v>
      </c>
      <c r="F444" s="26">
        <f ca="1">SUMIF(I$3:$CU442,"入库",I444:$CU444)</f>
        <v>0</v>
      </c>
      <c r="G444" s="24">
        <f ca="1">SUMIF(J$3:$CU443,"出库",J444:$CU444)</f>
        <v>0</v>
      </c>
      <c r="H444" s="27">
        <f ca="1" t="shared" si="7"/>
        <v>0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spans="1:72">
      <c r="A445" s="10"/>
      <c r="B445" s="10"/>
      <c r="C445" s="10"/>
      <c r="D445" s="10"/>
      <c r="E445" s="24">
        <v>0</v>
      </c>
      <c r="F445" s="26">
        <f ca="1">SUMIF(I$3:$CU443,"入库",I445:$CU445)</f>
        <v>0</v>
      </c>
      <c r="G445" s="24">
        <f ca="1">SUMIF(J$3:$CU444,"出库",J445:$CU445)</f>
        <v>0</v>
      </c>
      <c r="H445" s="27">
        <f ca="1" t="shared" si="7"/>
        <v>0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spans="1:72">
      <c r="A446" s="10"/>
      <c r="B446" s="10"/>
      <c r="C446" s="10"/>
      <c r="D446" s="10"/>
      <c r="E446" s="24">
        <v>0</v>
      </c>
      <c r="F446" s="26">
        <f ca="1">SUMIF(I$3:$CU444,"入库",I446:$CU446)</f>
        <v>0</v>
      </c>
      <c r="G446" s="24">
        <f ca="1">SUMIF(J$3:$CU445,"出库",J446:$CU446)</f>
        <v>0</v>
      </c>
      <c r="H446" s="27">
        <f ca="1" t="shared" si="7"/>
        <v>0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spans="1:72">
      <c r="A447" s="10"/>
      <c r="B447" s="10"/>
      <c r="C447" s="10"/>
      <c r="D447" s="10"/>
      <c r="E447" s="24">
        <v>0</v>
      </c>
      <c r="F447" s="26">
        <f ca="1">SUMIF(I$3:$CU445,"入库",I447:$CU447)</f>
        <v>0</v>
      </c>
      <c r="G447" s="24">
        <f ca="1">SUMIF(J$3:$CU446,"出库",J447:$CU447)</f>
        <v>0</v>
      </c>
      <c r="H447" s="27">
        <f ca="1" t="shared" si="7"/>
        <v>0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spans="1:72">
      <c r="A448" s="10"/>
      <c r="B448" s="10"/>
      <c r="C448" s="10"/>
      <c r="D448" s="10"/>
      <c r="E448" s="24">
        <v>0</v>
      </c>
      <c r="F448" s="26">
        <f ca="1">SUMIF(I$3:$CU446,"入库",I448:$CU448)</f>
        <v>0</v>
      </c>
      <c r="G448" s="24">
        <f ca="1">SUMIF(J$3:$CU447,"出库",J448:$CU448)</f>
        <v>0</v>
      </c>
      <c r="H448" s="27">
        <f ca="1" t="shared" si="7"/>
        <v>0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spans="1:72">
      <c r="A449" s="10"/>
      <c r="B449" s="10"/>
      <c r="C449" s="10"/>
      <c r="D449" s="10"/>
      <c r="E449" s="24">
        <v>0</v>
      </c>
      <c r="F449" s="26">
        <f ca="1">SUMIF(I$3:$CU447,"入库",I449:$CU449)</f>
        <v>0</v>
      </c>
      <c r="G449" s="24">
        <f ca="1">SUMIF(J$3:$CU448,"出库",J449:$CU449)</f>
        <v>0</v>
      </c>
      <c r="H449" s="27">
        <f ca="1" t="shared" si="7"/>
        <v>0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spans="1:72">
      <c r="A450" s="10"/>
      <c r="B450" s="10"/>
      <c r="C450" s="10"/>
      <c r="D450" s="10"/>
      <c r="E450" s="24">
        <v>0</v>
      </c>
      <c r="F450" s="26">
        <f ca="1">SUMIF(I$3:$CU448,"入库",I450:$CU450)</f>
        <v>0</v>
      </c>
      <c r="G450" s="24">
        <f ca="1">SUMIF(J$3:$CU449,"出库",J450:$CU450)</f>
        <v>0</v>
      </c>
      <c r="H450" s="27">
        <f ca="1" t="shared" si="7"/>
        <v>0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spans="1:72">
      <c r="A451" s="10"/>
      <c r="B451" s="10"/>
      <c r="C451" s="10"/>
      <c r="D451" s="10"/>
      <c r="E451" s="24">
        <v>0</v>
      </c>
      <c r="F451" s="26">
        <f ca="1">SUMIF(I$3:$CU449,"入库",I451:$CU451)</f>
        <v>0</v>
      </c>
      <c r="G451" s="24">
        <f ca="1">SUMIF(J$3:$CU450,"出库",J451:$CU451)</f>
        <v>0</v>
      </c>
      <c r="H451" s="27">
        <f ca="1" t="shared" si="7"/>
        <v>0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spans="1:72">
      <c r="A452" s="10"/>
      <c r="B452" s="10"/>
      <c r="C452" s="10"/>
      <c r="D452" s="10"/>
      <c r="E452" s="24">
        <v>0</v>
      </c>
      <c r="F452" s="26">
        <f ca="1">SUMIF(I$3:$CU450,"入库",I452:$CU452)</f>
        <v>0</v>
      </c>
      <c r="G452" s="24">
        <f ca="1">SUMIF(J$3:$CU451,"出库",J452:$CU452)</f>
        <v>0</v>
      </c>
      <c r="H452" s="27">
        <f ca="1" t="shared" si="7"/>
        <v>0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spans="1:72">
      <c r="A453" s="10"/>
      <c r="B453" s="10"/>
      <c r="C453" s="10"/>
      <c r="D453" s="10"/>
      <c r="E453" s="24">
        <v>0</v>
      </c>
      <c r="F453" s="26">
        <f ca="1">SUMIF(I$3:$CU451,"入库",I453:$CU453)</f>
        <v>0</v>
      </c>
      <c r="G453" s="24">
        <f ca="1">SUMIF(J$3:$CU452,"出库",J453:$CU453)</f>
        <v>0</v>
      </c>
      <c r="H453" s="27">
        <f ca="1" t="shared" si="7"/>
        <v>0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spans="1:72">
      <c r="A454" s="10"/>
      <c r="B454" s="10"/>
      <c r="C454" s="10"/>
      <c r="D454" s="10"/>
      <c r="E454" s="24">
        <v>0</v>
      </c>
      <c r="F454" s="26">
        <f ca="1">SUMIF(I$3:$CU452,"入库",I454:$CU454)</f>
        <v>0</v>
      </c>
      <c r="G454" s="24">
        <f ca="1">SUMIF(J$3:$CU453,"出库",J454:$CU454)</f>
        <v>0</v>
      </c>
      <c r="H454" s="27">
        <f ca="1" t="shared" ref="H454:H517" si="8">E454+F454-G454</f>
        <v>0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spans="1:72">
      <c r="A455" s="10"/>
      <c r="B455" s="10"/>
      <c r="C455" s="10"/>
      <c r="D455" s="10"/>
      <c r="E455" s="24">
        <v>0</v>
      </c>
      <c r="F455" s="26">
        <f ca="1">SUMIF(I$3:$CU453,"入库",I455:$CU455)</f>
        <v>0</v>
      </c>
      <c r="G455" s="24">
        <f ca="1">SUMIF(J$3:$CU454,"出库",J455:$CU455)</f>
        <v>0</v>
      </c>
      <c r="H455" s="27">
        <f ca="1" t="shared" si="8"/>
        <v>0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spans="1:72">
      <c r="A456" s="10"/>
      <c r="B456" s="10"/>
      <c r="C456" s="10"/>
      <c r="D456" s="10"/>
      <c r="E456" s="24">
        <v>0</v>
      </c>
      <c r="F456" s="26">
        <f ca="1">SUMIF(I$3:$CU454,"入库",I456:$CU456)</f>
        <v>0</v>
      </c>
      <c r="G456" s="24">
        <f ca="1">SUMIF(J$3:$CU455,"出库",J456:$CU456)</f>
        <v>0</v>
      </c>
      <c r="H456" s="27">
        <f ca="1" t="shared" si="8"/>
        <v>0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spans="1:72">
      <c r="A457" s="10"/>
      <c r="B457" s="10"/>
      <c r="C457" s="10"/>
      <c r="D457" s="10"/>
      <c r="E457" s="24">
        <v>0</v>
      </c>
      <c r="F457" s="26">
        <f ca="1">SUMIF(I$3:$CU455,"入库",I457:$CU457)</f>
        <v>0</v>
      </c>
      <c r="G457" s="24">
        <f ca="1">SUMIF(J$3:$CU456,"出库",J457:$CU457)</f>
        <v>0</v>
      </c>
      <c r="H457" s="27">
        <f ca="1" t="shared" si="8"/>
        <v>0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spans="1:72">
      <c r="A458" s="10"/>
      <c r="B458" s="10"/>
      <c r="C458" s="10"/>
      <c r="D458" s="10"/>
      <c r="E458" s="24">
        <v>0</v>
      </c>
      <c r="F458" s="26">
        <f ca="1">SUMIF(I$3:$CU456,"入库",I458:$CU458)</f>
        <v>0</v>
      </c>
      <c r="G458" s="24">
        <f ca="1">SUMIF(J$3:$CU457,"出库",J458:$CU458)</f>
        <v>0</v>
      </c>
      <c r="H458" s="27">
        <f ca="1" t="shared" si="8"/>
        <v>0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spans="1:72">
      <c r="A459" s="10"/>
      <c r="B459" s="10"/>
      <c r="C459" s="10"/>
      <c r="D459" s="10"/>
      <c r="E459" s="24">
        <v>0</v>
      </c>
      <c r="F459" s="26">
        <f ca="1">SUMIF(I$3:$CU457,"入库",I459:$CU459)</f>
        <v>0</v>
      </c>
      <c r="G459" s="24">
        <f ca="1">SUMIF(J$3:$CU458,"出库",J459:$CU459)</f>
        <v>0</v>
      </c>
      <c r="H459" s="27">
        <f ca="1" t="shared" si="8"/>
        <v>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spans="1:72">
      <c r="A460" s="10"/>
      <c r="B460" s="10"/>
      <c r="C460" s="10"/>
      <c r="D460" s="10"/>
      <c r="E460" s="24">
        <v>0</v>
      </c>
      <c r="F460" s="26">
        <f ca="1">SUMIF(I$3:$CU458,"入库",I460:$CU460)</f>
        <v>0</v>
      </c>
      <c r="G460" s="24">
        <f ca="1">SUMIF(J$3:$CU459,"出库",J460:$CU460)</f>
        <v>0</v>
      </c>
      <c r="H460" s="27">
        <f ca="1" t="shared" si="8"/>
        <v>0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spans="1:72">
      <c r="A461" s="10"/>
      <c r="B461" s="10"/>
      <c r="C461" s="10"/>
      <c r="D461" s="10"/>
      <c r="E461" s="24">
        <v>0</v>
      </c>
      <c r="F461" s="26">
        <f ca="1">SUMIF(I$3:$CU459,"入库",I461:$CU461)</f>
        <v>0</v>
      </c>
      <c r="G461" s="24">
        <f ca="1">SUMIF(J$3:$CU460,"出库",J461:$CU461)</f>
        <v>0</v>
      </c>
      <c r="H461" s="27">
        <f ca="1" t="shared" si="8"/>
        <v>0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spans="1:72">
      <c r="A462" s="10"/>
      <c r="B462" s="10"/>
      <c r="C462" s="10"/>
      <c r="D462" s="10"/>
      <c r="E462" s="24">
        <v>0</v>
      </c>
      <c r="F462" s="26">
        <f ca="1">SUMIF(I$3:$CU460,"入库",I462:$CU462)</f>
        <v>0</v>
      </c>
      <c r="G462" s="24">
        <f ca="1">SUMIF(J$3:$CU461,"出库",J462:$CU462)</f>
        <v>0</v>
      </c>
      <c r="H462" s="27">
        <f ca="1" t="shared" si="8"/>
        <v>0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spans="1:72">
      <c r="A463" s="10"/>
      <c r="B463" s="10"/>
      <c r="C463" s="10"/>
      <c r="D463" s="10"/>
      <c r="E463" s="24">
        <v>0</v>
      </c>
      <c r="F463" s="26">
        <f ca="1">SUMIF(I$3:$CU461,"入库",I463:$CU463)</f>
        <v>0</v>
      </c>
      <c r="G463" s="24">
        <f ca="1">SUMIF(J$3:$CU462,"出库",J463:$CU463)</f>
        <v>0</v>
      </c>
      <c r="H463" s="27">
        <f ca="1" t="shared" si="8"/>
        <v>0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spans="1:72">
      <c r="A464" s="10"/>
      <c r="B464" s="10"/>
      <c r="C464" s="10"/>
      <c r="D464" s="10"/>
      <c r="E464" s="24">
        <v>0</v>
      </c>
      <c r="F464" s="26">
        <f ca="1">SUMIF(I$3:$CU462,"入库",I464:$CU464)</f>
        <v>0</v>
      </c>
      <c r="G464" s="24">
        <f ca="1">SUMIF(J$3:$CU463,"出库",J464:$CU464)</f>
        <v>0</v>
      </c>
      <c r="H464" s="27">
        <f ca="1" t="shared" si="8"/>
        <v>0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spans="1:72">
      <c r="A465" s="10"/>
      <c r="B465" s="10"/>
      <c r="C465" s="10"/>
      <c r="D465" s="10"/>
      <c r="E465" s="24">
        <v>0</v>
      </c>
      <c r="F465" s="26">
        <f ca="1">SUMIF(I$3:$CU463,"入库",I465:$CU465)</f>
        <v>0</v>
      </c>
      <c r="G465" s="24">
        <f ca="1">SUMIF(J$3:$CU464,"出库",J465:$CU465)</f>
        <v>0</v>
      </c>
      <c r="H465" s="27">
        <f ca="1" t="shared" si="8"/>
        <v>0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spans="1:72">
      <c r="A466" s="10"/>
      <c r="B466" s="10"/>
      <c r="C466" s="10"/>
      <c r="D466" s="10"/>
      <c r="E466" s="24">
        <v>0</v>
      </c>
      <c r="F466" s="26">
        <f ca="1">SUMIF(I$3:$CU464,"入库",I466:$CU466)</f>
        <v>0</v>
      </c>
      <c r="G466" s="24">
        <f ca="1">SUMIF(J$3:$CU465,"出库",J466:$CU466)</f>
        <v>0</v>
      </c>
      <c r="H466" s="27">
        <f ca="1" t="shared" si="8"/>
        <v>0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spans="1:72">
      <c r="A467" s="10"/>
      <c r="B467" s="10"/>
      <c r="C467" s="10"/>
      <c r="D467" s="10"/>
      <c r="E467" s="24">
        <v>0</v>
      </c>
      <c r="F467" s="26">
        <f ca="1">SUMIF(I$3:$CU465,"入库",I467:$CU467)</f>
        <v>0</v>
      </c>
      <c r="G467" s="24">
        <f ca="1">SUMIF(J$3:$CU466,"出库",J467:$CU467)</f>
        <v>0</v>
      </c>
      <c r="H467" s="27">
        <f ca="1" t="shared" si="8"/>
        <v>0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spans="1:72">
      <c r="A468" s="10"/>
      <c r="B468" s="10"/>
      <c r="C468" s="10"/>
      <c r="D468" s="10"/>
      <c r="E468" s="24">
        <v>0</v>
      </c>
      <c r="F468" s="26">
        <f ca="1">SUMIF(I$3:$CU466,"入库",I468:$CU468)</f>
        <v>0</v>
      </c>
      <c r="G468" s="24">
        <f ca="1">SUMIF(J$3:$CU467,"出库",J468:$CU468)</f>
        <v>0</v>
      </c>
      <c r="H468" s="27">
        <f ca="1" t="shared" si="8"/>
        <v>0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spans="1:72">
      <c r="A469" s="10"/>
      <c r="B469" s="10"/>
      <c r="C469" s="10"/>
      <c r="D469" s="10"/>
      <c r="E469" s="24">
        <v>0</v>
      </c>
      <c r="F469" s="26">
        <f ca="1">SUMIF(I$3:$CU467,"入库",I469:$CU469)</f>
        <v>0</v>
      </c>
      <c r="G469" s="24">
        <f ca="1">SUMIF(J$3:$CU468,"出库",J469:$CU469)</f>
        <v>0</v>
      </c>
      <c r="H469" s="27">
        <f ca="1" t="shared" si="8"/>
        <v>0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spans="1:72">
      <c r="A470" s="10"/>
      <c r="B470" s="10"/>
      <c r="C470" s="10"/>
      <c r="D470" s="10"/>
      <c r="E470" s="24">
        <v>0</v>
      </c>
      <c r="F470" s="26">
        <f ca="1">SUMIF(I$3:$CU468,"入库",I470:$CU470)</f>
        <v>0</v>
      </c>
      <c r="G470" s="24">
        <f ca="1">SUMIF(J$3:$CU469,"出库",J470:$CU470)</f>
        <v>0</v>
      </c>
      <c r="H470" s="27">
        <f ca="1" t="shared" si="8"/>
        <v>0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spans="1:72">
      <c r="A471" s="10"/>
      <c r="B471" s="10"/>
      <c r="C471" s="10"/>
      <c r="D471" s="10"/>
      <c r="E471" s="24">
        <v>0</v>
      </c>
      <c r="F471" s="26">
        <f ca="1">SUMIF(I$3:$CU469,"入库",I471:$CU471)</f>
        <v>0</v>
      </c>
      <c r="G471" s="24">
        <f ca="1">SUMIF(J$3:$CU470,"出库",J471:$CU471)</f>
        <v>0</v>
      </c>
      <c r="H471" s="27">
        <f ca="1" t="shared" si="8"/>
        <v>0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spans="1:72">
      <c r="A472" s="10"/>
      <c r="B472" s="10"/>
      <c r="C472" s="10"/>
      <c r="D472" s="10"/>
      <c r="E472" s="24">
        <v>0</v>
      </c>
      <c r="F472" s="26">
        <f ca="1">SUMIF(I$3:$CU470,"入库",I472:$CU472)</f>
        <v>0</v>
      </c>
      <c r="G472" s="24">
        <f ca="1">SUMIF(J$3:$CU471,"出库",J472:$CU472)</f>
        <v>0</v>
      </c>
      <c r="H472" s="27">
        <f ca="1" t="shared" si="8"/>
        <v>0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spans="1:72">
      <c r="A473" s="10"/>
      <c r="B473" s="10"/>
      <c r="C473" s="10"/>
      <c r="D473" s="10"/>
      <c r="E473" s="24">
        <v>0</v>
      </c>
      <c r="F473" s="26">
        <f ca="1">SUMIF(I$3:$CU471,"入库",I473:$CU473)</f>
        <v>0</v>
      </c>
      <c r="G473" s="24">
        <f ca="1">SUMIF(J$3:$CU472,"出库",J473:$CU473)</f>
        <v>0</v>
      </c>
      <c r="H473" s="27">
        <f ca="1" t="shared" si="8"/>
        <v>0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spans="1:72">
      <c r="A474" s="10"/>
      <c r="B474" s="10"/>
      <c r="C474" s="10"/>
      <c r="D474" s="10"/>
      <c r="E474" s="24">
        <v>0</v>
      </c>
      <c r="F474" s="26">
        <f ca="1">SUMIF(I$3:$CU472,"入库",I474:$CU474)</f>
        <v>0</v>
      </c>
      <c r="G474" s="24">
        <f ca="1">SUMIF(J$3:$CU473,"出库",J474:$CU474)</f>
        <v>0</v>
      </c>
      <c r="H474" s="27">
        <f ca="1" t="shared" si="8"/>
        <v>0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spans="1:72">
      <c r="A475" s="10"/>
      <c r="B475" s="10"/>
      <c r="C475" s="10"/>
      <c r="D475" s="10"/>
      <c r="E475" s="24">
        <v>0</v>
      </c>
      <c r="F475" s="26">
        <f ca="1">SUMIF(I$3:$CU473,"入库",I475:$CU475)</f>
        <v>0</v>
      </c>
      <c r="G475" s="24">
        <f ca="1">SUMIF(J$3:$CU474,"出库",J475:$CU475)</f>
        <v>0</v>
      </c>
      <c r="H475" s="27">
        <f ca="1" t="shared" si="8"/>
        <v>0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spans="1:72">
      <c r="A476" s="10"/>
      <c r="B476" s="10"/>
      <c r="C476" s="10"/>
      <c r="D476" s="10"/>
      <c r="E476" s="24">
        <v>0</v>
      </c>
      <c r="F476" s="26">
        <f ca="1">SUMIF(I$3:$CU474,"入库",I476:$CU476)</f>
        <v>0</v>
      </c>
      <c r="G476" s="24">
        <f ca="1">SUMIF(J$3:$CU475,"出库",J476:$CU476)</f>
        <v>0</v>
      </c>
      <c r="H476" s="27">
        <f ca="1" t="shared" si="8"/>
        <v>0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spans="1:72">
      <c r="A477" s="10"/>
      <c r="B477" s="10"/>
      <c r="C477" s="10"/>
      <c r="D477" s="10"/>
      <c r="E477" s="24">
        <v>0</v>
      </c>
      <c r="F477" s="26">
        <f ca="1">SUMIF(I$3:$CU475,"入库",I477:$CU477)</f>
        <v>0</v>
      </c>
      <c r="G477" s="24">
        <f ca="1">SUMIF(J$3:$CU476,"出库",J477:$CU477)</f>
        <v>0</v>
      </c>
      <c r="H477" s="27">
        <f ca="1" t="shared" si="8"/>
        <v>0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spans="1:72">
      <c r="A478" s="10"/>
      <c r="B478" s="10"/>
      <c r="C478" s="10"/>
      <c r="D478" s="10"/>
      <c r="E478" s="24">
        <v>0</v>
      </c>
      <c r="F478" s="26">
        <f ca="1">SUMIF(I$3:$CU476,"入库",I478:$CU478)</f>
        <v>0</v>
      </c>
      <c r="G478" s="24">
        <f ca="1">SUMIF(J$3:$CU477,"出库",J478:$CU478)</f>
        <v>0</v>
      </c>
      <c r="H478" s="27">
        <f ca="1" t="shared" si="8"/>
        <v>0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spans="1:72">
      <c r="A479" s="10"/>
      <c r="B479" s="10"/>
      <c r="C479" s="10"/>
      <c r="D479" s="10"/>
      <c r="E479" s="24">
        <v>0</v>
      </c>
      <c r="F479" s="26">
        <f ca="1">SUMIF(I$3:$CU477,"入库",I479:$CU479)</f>
        <v>0</v>
      </c>
      <c r="G479" s="24">
        <f ca="1">SUMIF(J$3:$CU478,"出库",J479:$CU479)</f>
        <v>0</v>
      </c>
      <c r="H479" s="27">
        <f ca="1" t="shared" si="8"/>
        <v>0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spans="1:72">
      <c r="A480" s="10"/>
      <c r="B480" s="10"/>
      <c r="C480" s="10"/>
      <c r="D480" s="10"/>
      <c r="E480" s="24">
        <v>0</v>
      </c>
      <c r="F480" s="26">
        <f ca="1">SUMIF(I$3:$CU478,"入库",I480:$CU480)</f>
        <v>0</v>
      </c>
      <c r="G480" s="24">
        <f ca="1">SUMIF(J$3:$CU479,"出库",J480:$CU480)</f>
        <v>0</v>
      </c>
      <c r="H480" s="27">
        <f ca="1" t="shared" si="8"/>
        <v>0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spans="1:72">
      <c r="A481" s="10"/>
      <c r="B481" s="10"/>
      <c r="C481" s="10"/>
      <c r="D481" s="10"/>
      <c r="E481" s="24">
        <v>0</v>
      </c>
      <c r="F481" s="26">
        <f ca="1">SUMIF(I$3:$CU479,"入库",I481:$CU481)</f>
        <v>0</v>
      </c>
      <c r="G481" s="24">
        <f ca="1">SUMIF(J$3:$CU480,"出库",J481:$CU481)</f>
        <v>0</v>
      </c>
      <c r="H481" s="27">
        <f ca="1" t="shared" si="8"/>
        <v>0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spans="1:72">
      <c r="A482" s="10"/>
      <c r="B482" s="10"/>
      <c r="C482" s="10"/>
      <c r="D482" s="10"/>
      <c r="E482" s="24">
        <v>0</v>
      </c>
      <c r="F482" s="26">
        <f ca="1">SUMIF(I$3:$CU480,"入库",I482:$CU482)</f>
        <v>0</v>
      </c>
      <c r="G482" s="24">
        <f ca="1">SUMIF(J$3:$CU481,"出库",J482:$CU482)</f>
        <v>0</v>
      </c>
      <c r="H482" s="27">
        <f ca="1" t="shared" si="8"/>
        <v>0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spans="1:72">
      <c r="A483" s="10"/>
      <c r="B483" s="10"/>
      <c r="C483" s="10"/>
      <c r="D483" s="10"/>
      <c r="E483" s="24">
        <v>0</v>
      </c>
      <c r="F483" s="26">
        <f ca="1">SUMIF(I$3:$CU481,"入库",I483:$CU483)</f>
        <v>0</v>
      </c>
      <c r="G483" s="24">
        <f ca="1">SUMIF(J$3:$CU482,"出库",J483:$CU483)</f>
        <v>0</v>
      </c>
      <c r="H483" s="27">
        <f ca="1" t="shared" si="8"/>
        <v>0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spans="1:72">
      <c r="A484" s="10"/>
      <c r="B484" s="10"/>
      <c r="C484" s="10"/>
      <c r="D484" s="10"/>
      <c r="E484" s="24">
        <v>0</v>
      </c>
      <c r="F484" s="26">
        <f ca="1">SUMIF(I$3:$CU482,"入库",I484:$CU484)</f>
        <v>0</v>
      </c>
      <c r="G484" s="24">
        <f ca="1">SUMIF(J$3:$CU483,"出库",J484:$CU484)</f>
        <v>0</v>
      </c>
      <c r="H484" s="27">
        <f ca="1" t="shared" si="8"/>
        <v>0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spans="1:72">
      <c r="A485" s="10"/>
      <c r="B485" s="10"/>
      <c r="C485" s="10"/>
      <c r="D485" s="10"/>
      <c r="E485" s="24">
        <v>0</v>
      </c>
      <c r="F485" s="26">
        <f ca="1">SUMIF(I$3:$CU483,"入库",I485:$CU485)</f>
        <v>0</v>
      </c>
      <c r="G485" s="24">
        <f ca="1">SUMIF(J$3:$CU484,"出库",J485:$CU485)</f>
        <v>0</v>
      </c>
      <c r="H485" s="27">
        <f ca="1" t="shared" si="8"/>
        <v>0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spans="1:72">
      <c r="A486" s="10"/>
      <c r="B486" s="10"/>
      <c r="C486" s="10"/>
      <c r="D486" s="10"/>
      <c r="E486" s="24">
        <v>0</v>
      </c>
      <c r="F486" s="26">
        <f ca="1">SUMIF(I$3:$CU484,"入库",I486:$CU486)</f>
        <v>0</v>
      </c>
      <c r="G486" s="24">
        <f ca="1">SUMIF(J$3:$CU485,"出库",J486:$CU486)</f>
        <v>0</v>
      </c>
      <c r="H486" s="27">
        <f ca="1" t="shared" si="8"/>
        <v>0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spans="1:72">
      <c r="A487" s="10"/>
      <c r="B487" s="10"/>
      <c r="C487" s="10"/>
      <c r="D487" s="10"/>
      <c r="E487" s="24">
        <v>0</v>
      </c>
      <c r="F487" s="26">
        <f ca="1">SUMIF(I$3:$CU485,"入库",I487:$CU487)</f>
        <v>0</v>
      </c>
      <c r="G487" s="24">
        <f ca="1">SUMIF(J$3:$CU486,"出库",J487:$CU487)</f>
        <v>0</v>
      </c>
      <c r="H487" s="27">
        <f ca="1" t="shared" si="8"/>
        <v>0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spans="1:72">
      <c r="A488" s="10"/>
      <c r="B488" s="10"/>
      <c r="C488" s="10"/>
      <c r="D488" s="10"/>
      <c r="E488" s="24">
        <v>0</v>
      </c>
      <c r="F488" s="26">
        <f ca="1">SUMIF(I$3:$CU486,"入库",I488:$CU488)</f>
        <v>0</v>
      </c>
      <c r="G488" s="24">
        <f ca="1">SUMIF(J$3:$CU487,"出库",J488:$CU488)</f>
        <v>0</v>
      </c>
      <c r="H488" s="27">
        <f ca="1" t="shared" si="8"/>
        <v>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spans="1:72">
      <c r="A489" s="10"/>
      <c r="B489" s="10"/>
      <c r="C489" s="10"/>
      <c r="D489" s="10"/>
      <c r="E489" s="24">
        <v>0</v>
      </c>
      <c r="F489" s="26">
        <f ca="1">SUMIF(I$3:$CU487,"入库",I489:$CU489)</f>
        <v>0</v>
      </c>
      <c r="G489" s="24">
        <f ca="1">SUMIF(J$3:$CU488,"出库",J489:$CU489)</f>
        <v>0</v>
      </c>
      <c r="H489" s="27">
        <f ca="1" t="shared" si="8"/>
        <v>0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spans="1:72">
      <c r="A490" s="10"/>
      <c r="B490" s="10"/>
      <c r="C490" s="10"/>
      <c r="D490" s="10"/>
      <c r="E490" s="24">
        <v>0</v>
      </c>
      <c r="F490" s="26">
        <f ca="1">SUMIF(I$3:$CU488,"入库",I490:$CU490)</f>
        <v>0</v>
      </c>
      <c r="G490" s="24">
        <f ca="1">SUMIF(J$3:$CU489,"出库",J490:$CU490)</f>
        <v>0</v>
      </c>
      <c r="H490" s="27">
        <f ca="1" t="shared" si="8"/>
        <v>0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spans="1:72">
      <c r="A491" s="10"/>
      <c r="B491" s="10"/>
      <c r="C491" s="10"/>
      <c r="D491" s="10"/>
      <c r="E491" s="24">
        <v>0</v>
      </c>
      <c r="F491" s="26">
        <f ca="1">SUMIF(I$3:$CU489,"入库",I491:$CU491)</f>
        <v>0</v>
      </c>
      <c r="G491" s="24">
        <f ca="1">SUMIF(J$3:$CU490,"出库",J491:$CU491)</f>
        <v>0</v>
      </c>
      <c r="H491" s="27">
        <f ca="1" t="shared" si="8"/>
        <v>0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spans="1:72">
      <c r="A492" s="10"/>
      <c r="B492" s="10"/>
      <c r="C492" s="10"/>
      <c r="D492" s="10"/>
      <c r="E492" s="24">
        <v>0</v>
      </c>
      <c r="F492" s="26">
        <f ca="1">SUMIF(I$3:$CU490,"入库",I492:$CU492)</f>
        <v>0</v>
      </c>
      <c r="G492" s="24">
        <f ca="1">SUMIF(J$3:$CU491,"出库",J492:$CU492)</f>
        <v>0</v>
      </c>
      <c r="H492" s="27">
        <f ca="1" t="shared" si="8"/>
        <v>0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spans="1:72">
      <c r="A493" s="10"/>
      <c r="B493" s="10"/>
      <c r="C493" s="10"/>
      <c r="D493" s="10"/>
      <c r="E493" s="24">
        <v>0</v>
      </c>
      <c r="F493" s="26">
        <f ca="1">SUMIF(I$3:$CU491,"入库",I493:$CU493)</f>
        <v>0</v>
      </c>
      <c r="G493" s="24">
        <f ca="1">SUMIF(J$3:$CU492,"出库",J493:$CU493)</f>
        <v>0</v>
      </c>
      <c r="H493" s="27">
        <f ca="1" t="shared" si="8"/>
        <v>0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spans="1:72">
      <c r="A494" s="10"/>
      <c r="B494" s="10"/>
      <c r="C494" s="10"/>
      <c r="D494" s="10"/>
      <c r="E494" s="24">
        <v>0</v>
      </c>
      <c r="F494" s="26">
        <f ca="1">SUMIF(I$3:$CU492,"入库",I494:$CU494)</f>
        <v>0</v>
      </c>
      <c r="G494" s="24">
        <f ca="1">SUMIF(J$3:$CU493,"出库",J494:$CU494)</f>
        <v>0</v>
      </c>
      <c r="H494" s="27">
        <f ca="1" t="shared" si="8"/>
        <v>0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spans="1:72">
      <c r="A495" s="10"/>
      <c r="B495" s="10"/>
      <c r="C495" s="10"/>
      <c r="D495" s="10"/>
      <c r="E495" s="24">
        <v>0</v>
      </c>
      <c r="F495" s="26">
        <f ca="1">SUMIF(I$3:$CU493,"入库",I495:$CU495)</f>
        <v>0</v>
      </c>
      <c r="G495" s="24">
        <f ca="1">SUMIF(J$3:$CU494,"出库",J495:$CU495)</f>
        <v>0</v>
      </c>
      <c r="H495" s="27">
        <f ca="1" t="shared" si="8"/>
        <v>0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spans="1:72">
      <c r="A496" s="10"/>
      <c r="B496" s="10"/>
      <c r="C496" s="10"/>
      <c r="D496" s="10"/>
      <c r="E496" s="24">
        <v>0</v>
      </c>
      <c r="F496" s="26">
        <f ca="1">SUMIF(I$3:$CU494,"入库",I496:$CU496)</f>
        <v>0</v>
      </c>
      <c r="G496" s="24">
        <f ca="1">SUMIF(J$3:$CU495,"出库",J496:$CU496)</f>
        <v>0</v>
      </c>
      <c r="H496" s="27">
        <f ca="1" t="shared" si="8"/>
        <v>0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spans="1:72">
      <c r="A497" s="10"/>
      <c r="B497" s="10"/>
      <c r="C497" s="10"/>
      <c r="D497" s="10"/>
      <c r="E497" s="24">
        <v>0</v>
      </c>
      <c r="F497" s="26">
        <f ca="1">SUMIF(I$3:$CU495,"入库",I497:$CU497)</f>
        <v>0</v>
      </c>
      <c r="G497" s="24">
        <f ca="1">SUMIF(J$3:$CU496,"出库",J497:$CU497)</f>
        <v>0</v>
      </c>
      <c r="H497" s="27">
        <f ca="1" t="shared" si="8"/>
        <v>0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spans="1:72">
      <c r="A498" s="10"/>
      <c r="B498" s="10"/>
      <c r="C498" s="10"/>
      <c r="D498" s="10"/>
      <c r="E498" s="24">
        <v>0</v>
      </c>
      <c r="F498" s="26">
        <f ca="1">SUMIF(I$3:$CU496,"入库",I498:$CU498)</f>
        <v>0</v>
      </c>
      <c r="G498" s="24">
        <f ca="1">SUMIF(J$3:$CU497,"出库",J498:$CU498)</f>
        <v>0</v>
      </c>
      <c r="H498" s="27">
        <f ca="1" t="shared" si="8"/>
        <v>0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spans="1:72">
      <c r="A499" s="10"/>
      <c r="B499" s="10"/>
      <c r="C499" s="10"/>
      <c r="D499" s="10"/>
      <c r="E499" s="24">
        <v>0</v>
      </c>
      <c r="F499" s="26">
        <f ca="1">SUMIF(I$3:$CU497,"入库",I499:$CU499)</f>
        <v>0</v>
      </c>
      <c r="G499" s="24">
        <f ca="1">SUMIF(J$3:$CU498,"出库",J499:$CU499)</f>
        <v>0</v>
      </c>
      <c r="H499" s="27">
        <f ca="1" t="shared" si="8"/>
        <v>0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spans="1:72">
      <c r="A500" s="10"/>
      <c r="B500" s="10"/>
      <c r="C500" s="10"/>
      <c r="D500" s="10"/>
      <c r="E500" s="24">
        <v>0</v>
      </c>
      <c r="F500" s="26">
        <f ca="1">SUMIF(I$3:$CU498,"入库",I500:$CU500)</f>
        <v>0</v>
      </c>
      <c r="G500" s="24">
        <f ca="1">SUMIF(J$3:$CU499,"出库",J500:$CU500)</f>
        <v>0</v>
      </c>
      <c r="H500" s="27">
        <f ca="1" t="shared" si="8"/>
        <v>0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spans="1:72">
      <c r="A501" s="10"/>
      <c r="B501" s="10"/>
      <c r="C501" s="10"/>
      <c r="D501" s="10"/>
      <c r="E501" s="24">
        <v>0</v>
      </c>
      <c r="F501" s="26">
        <f ca="1">SUMIF(I$3:$CU499,"入库",I501:$CU501)</f>
        <v>0</v>
      </c>
      <c r="G501" s="24">
        <f ca="1">SUMIF(J$3:$CU500,"出库",J501:$CU501)</f>
        <v>0</v>
      </c>
      <c r="H501" s="27">
        <f ca="1" t="shared" si="8"/>
        <v>0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spans="1:72">
      <c r="A502" s="10"/>
      <c r="B502" s="10"/>
      <c r="C502" s="10"/>
      <c r="D502" s="10"/>
      <c r="E502" s="24">
        <v>0</v>
      </c>
      <c r="F502" s="26">
        <f ca="1">SUMIF(I$3:$CU500,"入库",I502:$CU502)</f>
        <v>0</v>
      </c>
      <c r="G502" s="24">
        <f ca="1">SUMIF(J$3:$CU501,"出库",J502:$CU502)</f>
        <v>0</v>
      </c>
      <c r="H502" s="27">
        <f ca="1" t="shared" si="8"/>
        <v>0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spans="1:72">
      <c r="A503" s="10"/>
      <c r="B503" s="10"/>
      <c r="C503" s="10"/>
      <c r="D503" s="10"/>
      <c r="E503" s="24">
        <v>0</v>
      </c>
      <c r="F503" s="26">
        <f ca="1">SUMIF(I$3:$CU501,"入库",I503:$CU503)</f>
        <v>0</v>
      </c>
      <c r="G503" s="24">
        <f ca="1">SUMIF(J$3:$CU502,"出库",J503:$CU503)</f>
        <v>0</v>
      </c>
      <c r="H503" s="27">
        <f ca="1" t="shared" si="8"/>
        <v>0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spans="1:72">
      <c r="A504" s="10"/>
      <c r="B504" s="10"/>
      <c r="C504" s="10"/>
      <c r="D504" s="10"/>
      <c r="E504" s="24">
        <v>0</v>
      </c>
      <c r="F504" s="26">
        <f ca="1">SUMIF(I$3:$CU502,"入库",I504:$CU504)</f>
        <v>0</v>
      </c>
      <c r="G504" s="24">
        <f ca="1">SUMIF(J$3:$CU503,"出库",J504:$CU504)</f>
        <v>0</v>
      </c>
      <c r="H504" s="27">
        <f ca="1" t="shared" si="8"/>
        <v>0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spans="1:72">
      <c r="A505" s="10"/>
      <c r="B505" s="10"/>
      <c r="C505" s="10"/>
      <c r="D505" s="10"/>
      <c r="E505" s="24">
        <v>0</v>
      </c>
      <c r="F505" s="26">
        <f ca="1">SUMIF(I$3:$CU503,"入库",I505:$CU505)</f>
        <v>0</v>
      </c>
      <c r="G505" s="24">
        <f ca="1">SUMIF(J$3:$CU504,"出库",J505:$CU505)</f>
        <v>0</v>
      </c>
      <c r="H505" s="27">
        <f ca="1" t="shared" si="8"/>
        <v>0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spans="1:72">
      <c r="A506" s="10"/>
      <c r="B506" s="10"/>
      <c r="C506" s="10"/>
      <c r="D506" s="10"/>
      <c r="E506" s="24">
        <v>0</v>
      </c>
      <c r="F506" s="26">
        <f ca="1">SUMIF(I$3:$CU504,"入库",I506:$CU506)</f>
        <v>0</v>
      </c>
      <c r="G506" s="24">
        <f ca="1">SUMIF(J$3:$CU505,"出库",J506:$CU506)</f>
        <v>0</v>
      </c>
      <c r="H506" s="27">
        <f ca="1" t="shared" si="8"/>
        <v>0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spans="1:72">
      <c r="A507" s="10"/>
      <c r="B507" s="10"/>
      <c r="C507" s="10"/>
      <c r="D507" s="10"/>
      <c r="E507" s="24">
        <v>0</v>
      </c>
      <c r="F507" s="26">
        <f ca="1">SUMIF(I$3:$CU505,"入库",I507:$CU507)</f>
        <v>0</v>
      </c>
      <c r="G507" s="24">
        <f ca="1">SUMIF(J$3:$CU506,"出库",J507:$CU507)</f>
        <v>0</v>
      </c>
      <c r="H507" s="27">
        <f ca="1" t="shared" si="8"/>
        <v>0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spans="1:72">
      <c r="A508" s="10"/>
      <c r="B508" s="10"/>
      <c r="C508" s="10"/>
      <c r="D508" s="10"/>
      <c r="E508" s="24">
        <v>0</v>
      </c>
      <c r="F508" s="26">
        <f ca="1">SUMIF(I$3:$CU506,"入库",I508:$CU508)</f>
        <v>0</v>
      </c>
      <c r="G508" s="24">
        <f ca="1">SUMIF(J$3:$CU507,"出库",J508:$CU508)</f>
        <v>0</v>
      </c>
      <c r="H508" s="27">
        <f ca="1" t="shared" si="8"/>
        <v>0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spans="1:72">
      <c r="A509" s="10"/>
      <c r="B509" s="10"/>
      <c r="C509" s="10"/>
      <c r="D509" s="10"/>
      <c r="E509" s="24">
        <v>0</v>
      </c>
      <c r="F509" s="26">
        <f ca="1">SUMIF(I$3:$CU507,"入库",I509:$CU509)</f>
        <v>0</v>
      </c>
      <c r="G509" s="24">
        <f ca="1">SUMIF(J$3:$CU508,"出库",J509:$CU509)</f>
        <v>0</v>
      </c>
      <c r="H509" s="27">
        <f ca="1" t="shared" si="8"/>
        <v>0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spans="1:72">
      <c r="A510" s="10"/>
      <c r="B510" s="10"/>
      <c r="C510" s="10"/>
      <c r="D510" s="10"/>
      <c r="E510" s="24">
        <v>0</v>
      </c>
      <c r="F510" s="26">
        <f ca="1">SUMIF(I$3:$CU508,"入库",I510:$CU510)</f>
        <v>0</v>
      </c>
      <c r="G510" s="24">
        <f ca="1">SUMIF(J$3:$CU509,"出库",J510:$CU510)</f>
        <v>0</v>
      </c>
      <c r="H510" s="27">
        <f ca="1" t="shared" si="8"/>
        <v>0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spans="1:72">
      <c r="A511" s="10"/>
      <c r="B511" s="10"/>
      <c r="C511" s="10"/>
      <c r="D511" s="10"/>
      <c r="E511" s="24">
        <v>0</v>
      </c>
      <c r="F511" s="26">
        <f ca="1">SUMIF(I$3:$CU509,"入库",I511:$CU511)</f>
        <v>0</v>
      </c>
      <c r="G511" s="24">
        <f ca="1">SUMIF(J$3:$CU510,"出库",J511:$CU511)</f>
        <v>0</v>
      </c>
      <c r="H511" s="27">
        <f ca="1" t="shared" si="8"/>
        <v>0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spans="1:72">
      <c r="A512" s="10"/>
      <c r="B512" s="10"/>
      <c r="C512" s="10"/>
      <c r="D512" s="10"/>
      <c r="E512" s="24">
        <v>0</v>
      </c>
      <c r="F512" s="26">
        <f ca="1">SUMIF(I$3:$CU510,"入库",I512:$CU512)</f>
        <v>0</v>
      </c>
      <c r="G512" s="24">
        <f ca="1">SUMIF(J$3:$CU511,"出库",J512:$CU512)</f>
        <v>0</v>
      </c>
      <c r="H512" s="27">
        <f ca="1" t="shared" si="8"/>
        <v>0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spans="1:72">
      <c r="A513" s="10"/>
      <c r="B513" s="10"/>
      <c r="C513" s="10"/>
      <c r="D513" s="10"/>
      <c r="E513" s="24">
        <v>0</v>
      </c>
      <c r="F513" s="26">
        <f ca="1">SUMIF(I$3:$CU511,"入库",I513:$CU513)</f>
        <v>0</v>
      </c>
      <c r="G513" s="24">
        <f ca="1">SUMIF(J$3:$CU512,"出库",J513:$CU513)</f>
        <v>0</v>
      </c>
      <c r="H513" s="27">
        <f ca="1" t="shared" si="8"/>
        <v>0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spans="1:72">
      <c r="A514" s="10"/>
      <c r="B514" s="10"/>
      <c r="C514" s="10"/>
      <c r="D514" s="10"/>
      <c r="E514" s="24">
        <v>0</v>
      </c>
      <c r="F514" s="26">
        <f ca="1">SUMIF(I$3:$CU512,"入库",I514:$CU514)</f>
        <v>0</v>
      </c>
      <c r="G514" s="24">
        <f ca="1">SUMIF(J$3:$CU513,"出库",J514:$CU514)</f>
        <v>0</v>
      </c>
      <c r="H514" s="27">
        <f ca="1" t="shared" si="8"/>
        <v>0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spans="1:72">
      <c r="A515" s="10"/>
      <c r="B515" s="10"/>
      <c r="C515" s="10"/>
      <c r="D515" s="10"/>
      <c r="E515" s="24">
        <v>0</v>
      </c>
      <c r="F515" s="26">
        <f ca="1">SUMIF(I$3:$CU513,"入库",I515:$CU515)</f>
        <v>0</v>
      </c>
      <c r="G515" s="24">
        <f ca="1">SUMIF(J$3:$CU514,"出库",J515:$CU515)</f>
        <v>0</v>
      </c>
      <c r="H515" s="27">
        <f ca="1" t="shared" si="8"/>
        <v>0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spans="1:72">
      <c r="A516" s="10"/>
      <c r="B516" s="10"/>
      <c r="C516" s="10"/>
      <c r="D516" s="10"/>
      <c r="E516" s="24">
        <v>0</v>
      </c>
      <c r="F516" s="26">
        <f ca="1">SUMIF(I$3:$CU514,"入库",I516:$CU516)</f>
        <v>0</v>
      </c>
      <c r="G516" s="24">
        <f ca="1">SUMIF(J$3:$CU515,"出库",J516:$CU516)</f>
        <v>0</v>
      </c>
      <c r="H516" s="27">
        <f ca="1" t="shared" si="8"/>
        <v>0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spans="1:72">
      <c r="A517" s="10"/>
      <c r="B517" s="10"/>
      <c r="C517" s="10"/>
      <c r="D517" s="10"/>
      <c r="E517" s="24">
        <v>0</v>
      </c>
      <c r="F517" s="26">
        <f ca="1">SUMIF(I$3:$CU515,"入库",I517:$CU517)</f>
        <v>0</v>
      </c>
      <c r="G517" s="24">
        <f ca="1">SUMIF(J$3:$CU516,"出库",J517:$CU517)</f>
        <v>0</v>
      </c>
      <c r="H517" s="27">
        <f ca="1" t="shared" si="8"/>
        <v>0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spans="1:72">
      <c r="A518" s="10"/>
      <c r="B518" s="10"/>
      <c r="C518" s="10"/>
      <c r="D518" s="10"/>
      <c r="E518" s="24">
        <v>0</v>
      </c>
      <c r="F518" s="26">
        <f ca="1">SUMIF(I$3:$CU516,"入库",I518:$CU518)</f>
        <v>0</v>
      </c>
      <c r="G518" s="24">
        <f ca="1">SUMIF(J$3:$CU517,"出库",J518:$CU518)</f>
        <v>0</v>
      </c>
      <c r="H518" s="27">
        <f ca="1" t="shared" ref="H518:H581" si="9">E518+F518-G518</f>
        <v>0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spans="1:72">
      <c r="A519" s="10"/>
      <c r="B519" s="10"/>
      <c r="C519" s="10"/>
      <c r="D519" s="10"/>
      <c r="E519" s="24">
        <v>0</v>
      </c>
      <c r="F519" s="26">
        <f ca="1">SUMIF(I$3:$CU517,"入库",I519:$CU519)</f>
        <v>0</v>
      </c>
      <c r="G519" s="24">
        <f ca="1">SUMIF(J$3:$CU518,"出库",J519:$CU519)</f>
        <v>0</v>
      </c>
      <c r="H519" s="27">
        <f ca="1" t="shared" si="9"/>
        <v>0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spans="1:72">
      <c r="A520" s="10"/>
      <c r="B520" s="10"/>
      <c r="C520" s="10"/>
      <c r="D520" s="10"/>
      <c r="E520" s="24">
        <v>0</v>
      </c>
      <c r="F520" s="26">
        <f ca="1">SUMIF(I$3:$CU518,"入库",I520:$CU520)</f>
        <v>0</v>
      </c>
      <c r="G520" s="24">
        <f ca="1">SUMIF(J$3:$CU519,"出库",J520:$CU520)</f>
        <v>0</v>
      </c>
      <c r="H520" s="27">
        <f ca="1" t="shared" si="9"/>
        <v>0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spans="1:72">
      <c r="A521" s="10"/>
      <c r="B521" s="10"/>
      <c r="C521" s="10"/>
      <c r="D521" s="10"/>
      <c r="E521" s="24">
        <v>0</v>
      </c>
      <c r="F521" s="26">
        <f ca="1">SUMIF(I$3:$CU519,"入库",I521:$CU521)</f>
        <v>0</v>
      </c>
      <c r="G521" s="24">
        <f ca="1">SUMIF(J$3:$CU520,"出库",J521:$CU521)</f>
        <v>0</v>
      </c>
      <c r="H521" s="27">
        <f ca="1" t="shared" si="9"/>
        <v>0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spans="1:72">
      <c r="A522" s="10"/>
      <c r="B522" s="10"/>
      <c r="C522" s="10"/>
      <c r="D522" s="10"/>
      <c r="E522" s="24">
        <v>0</v>
      </c>
      <c r="F522" s="26">
        <f ca="1">SUMIF(I$3:$CU520,"入库",I522:$CU522)</f>
        <v>0</v>
      </c>
      <c r="G522" s="24">
        <f ca="1">SUMIF(J$3:$CU521,"出库",J522:$CU522)</f>
        <v>0</v>
      </c>
      <c r="H522" s="27">
        <f ca="1" t="shared" si="9"/>
        <v>0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spans="1:72">
      <c r="A523" s="10"/>
      <c r="B523" s="10"/>
      <c r="C523" s="10"/>
      <c r="D523" s="10"/>
      <c r="E523" s="24">
        <v>0</v>
      </c>
      <c r="F523" s="26">
        <f ca="1">SUMIF(I$3:$CU521,"入库",I523:$CU523)</f>
        <v>0</v>
      </c>
      <c r="G523" s="24">
        <f ca="1">SUMIF(J$3:$CU522,"出库",J523:$CU523)</f>
        <v>0</v>
      </c>
      <c r="H523" s="27">
        <f ca="1" t="shared" si="9"/>
        <v>0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spans="1:72">
      <c r="A524" s="10"/>
      <c r="B524" s="10"/>
      <c r="C524" s="10"/>
      <c r="D524" s="10"/>
      <c r="E524" s="24">
        <v>0</v>
      </c>
      <c r="F524" s="26">
        <f ca="1">SUMIF(I$3:$CU522,"入库",I524:$CU524)</f>
        <v>0</v>
      </c>
      <c r="G524" s="24">
        <f ca="1">SUMIF(J$3:$CU523,"出库",J524:$CU524)</f>
        <v>0</v>
      </c>
      <c r="H524" s="27">
        <f ca="1" t="shared" si="9"/>
        <v>0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spans="1:72">
      <c r="A525" s="10"/>
      <c r="B525" s="10"/>
      <c r="C525" s="10"/>
      <c r="D525" s="10"/>
      <c r="E525" s="24">
        <v>0</v>
      </c>
      <c r="F525" s="26">
        <f ca="1">SUMIF(I$3:$CU523,"入库",I525:$CU525)</f>
        <v>0</v>
      </c>
      <c r="G525" s="24">
        <f ca="1">SUMIF(J$3:$CU524,"出库",J525:$CU525)</f>
        <v>0</v>
      </c>
      <c r="H525" s="27">
        <f ca="1" t="shared" si="9"/>
        <v>0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spans="1:72">
      <c r="A526" s="10"/>
      <c r="B526" s="10"/>
      <c r="C526" s="10"/>
      <c r="D526" s="10"/>
      <c r="E526" s="24">
        <v>0</v>
      </c>
      <c r="F526" s="26">
        <f ca="1">SUMIF(I$3:$CU524,"入库",I526:$CU526)</f>
        <v>0</v>
      </c>
      <c r="G526" s="24">
        <f ca="1">SUMIF(J$3:$CU525,"出库",J526:$CU526)</f>
        <v>0</v>
      </c>
      <c r="H526" s="27">
        <f ca="1" t="shared" si="9"/>
        <v>0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spans="1:72">
      <c r="A527" s="10"/>
      <c r="B527" s="10"/>
      <c r="C527" s="10"/>
      <c r="D527" s="10"/>
      <c r="E527" s="24">
        <v>0</v>
      </c>
      <c r="F527" s="26">
        <f ca="1">SUMIF(I$3:$CU525,"入库",I527:$CU527)</f>
        <v>0</v>
      </c>
      <c r="G527" s="24">
        <f ca="1">SUMIF(J$3:$CU526,"出库",J527:$CU527)</f>
        <v>0</v>
      </c>
      <c r="H527" s="27">
        <f ca="1" t="shared" si="9"/>
        <v>0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spans="1:72">
      <c r="A528" s="10"/>
      <c r="B528" s="10"/>
      <c r="C528" s="10"/>
      <c r="D528" s="10"/>
      <c r="E528" s="24">
        <v>0</v>
      </c>
      <c r="F528" s="26">
        <f ca="1">SUMIF(I$3:$CU526,"入库",I528:$CU528)</f>
        <v>0</v>
      </c>
      <c r="G528" s="24">
        <f ca="1">SUMIF(J$3:$CU527,"出库",J528:$CU528)</f>
        <v>0</v>
      </c>
      <c r="H528" s="27">
        <f ca="1" t="shared" si="9"/>
        <v>0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spans="1:72">
      <c r="A529" s="10"/>
      <c r="B529" s="10"/>
      <c r="C529" s="10"/>
      <c r="D529" s="10"/>
      <c r="E529" s="24">
        <v>0</v>
      </c>
      <c r="F529" s="26">
        <f ca="1">SUMIF(I$3:$CU527,"入库",I529:$CU529)</f>
        <v>0</v>
      </c>
      <c r="G529" s="24">
        <f ca="1">SUMIF(J$3:$CU528,"出库",J529:$CU529)</f>
        <v>0</v>
      </c>
      <c r="H529" s="27">
        <f ca="1" t="shared" si="9"/>
        <v>0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spans="1:72">
      <c r="A530" s="10"/>
      <c r="B530" s="10"/>
      <c r="C530" s="10"/>
      <c r="D530" s="10"/>
      <c r="E530" s="24">
        <v>0</v>
      </c>
      <c r="F530" s="26">
        <f ca="1">SUMIF(I$3:$CU528,"入库",I530:$CU530)</f>
        <v>0</v>
      </c>
      <c r="G530" s="24">
        <f ca="1">SUMIF(J$3:$CU529,"出库",J530:$CU530)</f>
        <v>0</v>
      </c>
      <c r="H530" s="27">
        <f ca="1" t="shared" si="9"/>
        <v>0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spans="1:72">
      <c r="A531" s="10"/>
      <c r="B531" s="10"/>
      <c r="C531" s="10"/>
      <c r="D531" s="10"/>
      <c r="E531" s="24">
        <v>0</v>
      </c>
      <c r="F531" s="26">
        <f ca="1">SUMIF(I$3:$CU529,"入库",I531:$CU531)</f>
        <v>0</v>
      </c>
      <c r="G531" s="24">
        <f ca="1">SUMIF(J$3:$CU530,"出库",J531:$CU531)</f>
        <v>0</v>
      </c>
      <c r="H531" s="27">
        <f ca="1" t="shared" si="9"/>
        <v>0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spans="1:72">
      <c r="A532" s="10"/>
      <c r="B532" s="10"/>
      <c r="C532" s="10"/>
      <c r="D532" s="10"/>
      <c r="E532" s="24">
        <v>0</v>
      </c>
      <c r="F532" s="26">
        <f ca="1">SUMIF(I$3:$CU530,"入库",I532:$CU532)</f>
        <v>0</v>
      </c>
      <c r="G532" s="24">
        <f ca="1">SUMIF(J$3:$CU531,"出库",J532:$CU532)</f>
        <v>0</v>
      </c>
      <c r="H532" s="27">
        <f ca="1" t="shared" si="9"/>
        <v>0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spans="1:72">
      <c r="A533" s="10"/>
      <c r="B533" s="10"/>
      <c r="C533" s="10"/>
      <c r="D533" s="10"/>
      <c r="E533" s="24">
        <v>0</v>
      </c>
      <c r="F533" s="26">
        <f ca="1">SUMIF(I$3:$CU531,"入库",I533:$CU533)</f>
        <v>0</v>
      </c>
      <c r="G533" s="24">
        <f ca="1">SUMIF(J$3:$CU532,"出库",J533:$CU533)</f>
        <v>0</v>
      </c>
      <c r="H533" s="27">
        <f ca="1" t="shared" si="9"/>
        <v>0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spans="1:72">
      <c r="A534" s="10"/>
      <c r="B534" s="10"/>
      <c r="C534" s="10"/>
      <c r="D534" s="10"/>
      <c r="E534" s="24">
        <v>0</v>
      </c>
      <c r="F534" s="26">
        <f ca="1">SUMIF(I$3:$CU532,"入库",I534:$CU534)</f>
        <v>0</v>
      </c>
      <c r="G534" s="24">
        <f ca="1">SUMIF(J$3:$CU533,"出库",J534:$CU534)</f>
        <v>0</v>
      </c>
      <c r="H534" s="27">
        <f ca="1" t="shared" si="9"/>
        <v>0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spans="1:72">
      <c r="A535" s="10"/>
      <c r="B535" s="10"/>
      <c r="C535" s="10"/>
      <c r="D535" s="10"/>
      <c r="E535" s="24">
        <v>0</v>
      </c>
      <c r="F535" s="26">
        <f ca="1">SUMIF(I$3:$CU533,"入库",I535:$CU535)</f>
        <v>0</v>
      </c>
      <c r="G535" s="24">
        <f ca="1">SUMIF(J$3:$CU534,"出库",J535:$CU535)</f>
        <v>0</v>
      </c>
      <c r="H535" s="27">
        <f ca="1" t="shared" si="9"/>
        <v>0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spans="1:72">
      <c r="A536" s="10"/>
      <c r="B536" s="10"/>
      <c r="C536" s="10"/>
      <c r="D536" s="10"/>
      <c r="E536" s="24">
        <v>0</v>
      </c>
      <c r="F536" s="26">
        <f ca="1">SUMIF(I$3:$CU534,"入库",I536:$CU536)</f>
        <v>0</v>
      </c>
      <c r="G536" s="24">
        <f ca="1">SUMIF(J$3:$CU535,"出库",J536:$CU536)</f>
        <v>0</v>
      </c>
      <c r="H536" s="27">
        <f ca="1" t="shared" si="9"/>
        <v>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spans="1:72">
      <c r="A537" s="10"/>
      <c r="B537" s="10"/>
      <c r="C537" s="10"/>
      <c r="D537" s="10"/>
      <c r="E537" s="24">
        <v>0</v>
      </c>
      <c r="F537" s="26">
        <f ca="1">SUMIF(I$3:$CU535,"入库",I537:$CU537)</f>
        <v>0</v>
      </c>
      <c r="G537" s="24">
        <f ca="1">SUMIF(J$3:$CU536,"出库",J537:$CU537)</f>
        <v>0</v>
      </c>
      <c r="H537" s="27">
        <f ca="1" t="shared" si="9"/>
        <v>0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spans="1:72">
      <c r="A538" s="10"/>
      <c r="B538" s="10"/>
      <c r="C538" s="10"/>
      <c r="D538" s="10"/>
      <c r="E538" s="24">
        <v>0</v>
      </c>
      <c r="F538" s="26">
        <f ca="1">SUMIF(I$3:$CU536,"入库",I538:$CU538)</f>
        <v>0</v>
      </c>
      <c r="G538" s="24">
        <f ca="1">SUMIF(J$3:$CU537,"出库",J538:$CU538)</f>
        <v>0</v>
      </c>
      <c r="H538" s="27">
        <f ca="1" t="shared" si="9"/>
        <v>0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spans="1:72">
      <c r="A539" s="10"/>
      <c r="B539" s="10"/>
      <c r="C539" s="10"/>
      <c r="D539" s="10"/>
      <c r="E539" s="24">
        <v>0</v>
      </c>
      <c r="F539" s="26">
        <f ca="1">SUMIF(I$3:$CU537,"入库",I539:$CU539)</f>
        <v>0</v>
      </c>
      <c r="G539" s="24">
        <f ca="1">SUMIF(J$3:$CU538,"出库",J539:$CU539)</f>
        <v>0</v>
      </c>
      <c r="H539" s="27">
        <f ca="1" t="shared" si="9"/>
        <v>0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spans="1:72">
      <c r="A540" s="10"/>
      <c r="B540" s="10"/>
      <c r="C540" s="10"/>
      <c r="D540" s="10"/>
      <c r="E540" s="24">
        <v>0</v>
      </c>
      <c r="F540" s="26">
        <f ca="1">SUMIF(I$3:$CU538,"入库",I540:$CU540)</f>
        <v>0</v>
      </c>
      <c r="G540" s="24">
        <f ca="1">SUMIF(J$3:$CU539,"出库",J540:$CU540)</f>
        <v>0</v>
      </c>
      <c r="H540" s="27">
        <f ca="1" t="shared" si="9"/>
        <v>0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spans="1:72">
      <c r="A541" s="10"/>
      <c r="B541" s="10"/>
      <c r="C541" s="10"/>
      <c r="D541" s="10"/>
      <c r="E541" s="24">
        <v>0</v>
      </c>
      <c r="F541" s="26">
        <f ca="1">SUMIF(I$3:$CU539,"入库",I541:$CU541)</f>
        <v>0</v>
      </c>
      <c r="G541" s="24">
        <f ca="1">SUMIF(J$3:$CU540,"出库",J541:$CU541)</f>
        <v>0</v>
      </c>
      <c r="H541" s="27">
        <f ca="1" t="shared" si="9"/>
        <v>0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spans="1:72">
      <c r="A542" s="10"/>
      <c r="B542" s="10"/>
      <c r="C542" s="10"/>
      <c r="D542" s="10"/>
      <c r="E542" s="24">
        <v>0</v>
      </c>
      <c r="F542" s="26">
        <f ca="1">SUMIF(I$3:$CU540,"入库",I542:$CU542)</f>
        <v>0</v>
      </c>
      <c r="G542" s="24">
        <f ca="1">SUMIF(J$3:$CU541,"出库",J542:$CU542)</f>
        <v>0</v>
      </c>
      <c r="H542" s="27">
        <f ca="1" t="shared" si="9"/>
        <v>0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spans="1:72">
      <c r="A543" s="10"/>
      <c r="B543" s="10"/>
      <c r="C543" s="10"/>
      <c r="D543" s="10"/>
      <c r="E543" s="24">
        <v>0</v>
      </c>
      <c r="F543" s="26">
        <f ca="1">SUMIF(I$3:$CU541,"入库",I543:$CU543)</f>
        <v>0</v>
      </c>
      <c r="G543" s="24">
        <f ca="1">SUMIF(J$3:$CU542,"出库",J543:$CU543)</f>
        <v>0</v>
      </c>
      <c r="H543" s="27">
        <f ca="1" t="shared" si="9"/>
        <v>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spans="1:72">
      <c r="A544" s="10"/>
      <c r="B544" s="10"/>
      <c r="C544" s="10"/>
      <c r="D544" s="10"/>
      <c r="E544" s="24">
        <v>0</v>
      </c>
      <c r="F544" s="26">
        <f ca="1">SUMIF(I$3:$CU542,"入库",I544:$CU544)</f>
        <v>0</v>
      </c>
      <c r="G544" s="24">
        <f ca="1">SUMIF(J$3:$CU543,"出库",J544:$CU544)</f>
        <v>0</v>
      </c>
      <c r="H544" s="27">
        <f ca="1" t="shared" si="9"/>
        <v>0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spans="1:72">
      <c r="A545" s="10"/>
      <c r="B545" s="10"/>
      <c r="C545" s="10"/>
      <c r="D545" s="10"/>
      <c r="E545" s="24">
        <v>0</v>
      </c>
      <c r="F545" s="26">
        <f ca="1">SUMIF(I$3:$CU543,"入库",I545:$CU545)</f>
        <v>0</v>
      </c>
      <c r="G545" s="24">
        <f ca="1">SUMIF(J$3:$CU544,"出库",J545:$CU545)</f>
        <v>0</v>
      </c>
      <c r="H545" s="27">
        <f ca="1" t="shared" si="9"/>
        <v>0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spans="1:72">
      <c r="A546" s="10"/>
      <c r="B546" s="10"/>
      <c r="C546" s="10"/>
      <c r="D546" s="10"/>
      <c r="E546" s="24">
        <v>0</v>
      </c>
      <c r="F546" s="26">
        <f ca="1">SUMIF(I$3:$CU544,"入库",I546:$CU546)</f>
        <v>0</v>
      </c>
      <c r="G546" s="24">
        <f ca="1">SUMIF(J$3:$CU545,"出库",J546:$CU546)</f>
        <v>0</v>
      </c>
      <c r="H546" s="27">
        <f ca="1" t="shared" si="9"/>
        <v>0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spans="1:72">
      <c r="A547" s="10"/>
      <c r="B547" s="10"/>
      <c r="C547" s="10"/>
      <c r="D547" s="10"/>
      <c r="E547" s="24">
        <v>0</v>
      </c>
      <c r="F547" s="26">
        <f ca="1">SUMIF(I$3:$CU545,"入库",I547:$CU547)</f>
        <v>0</v>
      </c>
      <c r="G547" s="24">
        <f ca="1">SUMIF(J$3:$CU546,"出库",J547:$CU547)</f>
        <v>0</v>
      </c>
      <c r="H547" s="27">
        <f ca="1" t="shared" si="9"/>
        <v>0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spans="1:72">
      <c r="A548" s="10"/>
      <c r="B548" s="10"/>
      <c r="C548" s="10"/>
      <c r="D548" s="10"/>
      <c r="E548" s="24">
        <v>0</v>
      </c>
      <c r="F548" s="26">
        <f ca="1">SUMIF(I$3:$CU546,"入库",I548:$CU548)</f>
        <v>0</v>
      </c>
      <c r="G548" s="24">
        <f ca="1">SUMIF(J$3:$CU547,"出库",J548:$CU548)</f>
        <v>0</v>
      </c>
      <c r="H548" s="27">
        <f ca="1" t="shared" si="9"/>
        <v>0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spans="1:72">
      <c r="A549" s="10"/>
      <c r="B549" s="10"/>
      <c r="C549" s="10"/>
      <c r="D549" s="10"/>
      <c r="E549" s="24">
        <v>0</v>
      </c>
      <c r="F549" s="26">
        <f ca="1">SUMIF(I$3:$CU547,"入库",I549:$CU549)</f>
        <v>0</v>
      </c>
      <c r="G549" s="24">
        <f ca="1">SUMIF(J$3:$CU548,"出库",J549:$CU549)</f>
        <v>0</v>
      </c>
      <c r="H549" s="27">
        <f ca="1" t="shared" si="9"/>
        <v>0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spans="1:72">
      <c r="A550" s="10"/>
      <c r="B550" s="10"/>
      <c r="C550" s="10"/>
      <c r="D550" s="10"/>
      <c r="E550" s="24">
        <v>0</v>
      </c>
      <c r="F550" s="26">
        <f ca="1">SUMIF(I$3:$CU548,"入库",I550:$CU550)</f>
        <v>0</v>
      </c>
      <c r="G550" s="24">
        <f ca="1">SUMIF(J$3:$CU549,"出库",J550:$CU550)</f>
        <v>0</v>
      </c>
      <c r="H550" s="27">
        <f ca="1" t="shared" si="9"/>
        <v>0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spans="1:72">
      <c r="A551" s="10"/>
      <c r="B551" s="10"/>
      <c r="C551" s="10"/>
      <c r="D551" s="10"/>
      <c r="E551" s="24">
        <v>0</v>
      </c>
      <c r="F551" s="26">
        <f ca="1">SUMIF(I$3:$CU549,"入库",I551:$CU551)</f>
        <v>0</v>
      </c>
      <c r="G551" s="24">
        <f ca="1">SUMIF(J$3:$CU550,"出库",J551:$CU551)</f>
        <v>0</v>
      </c>
      <c r="H551" s="27">
        <f ca="1" t="shared" si="9"/>
        <v>0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spans="1:72">
      <c r="A552" s="10"/>
      <c r="B552" s="10"/>
      <c r="C552" s="10"/>
      <c r="D552" s="10"/>
      <c r="E552" s="24">
        <v>0</v>
      </c>
      <c r="F552" s="26">
        <f ca="1">SUMIF(I$3:$CU550,"入库",I552:$CU552)</f>
        <v>0</v>
      </c>
      <c r="G552" s="24">
        <f ca="1">SUMIF(J$3:$CU551,"出库",J552:$CU552)</f>
        <v>0</v>
      </c>
      <c r="H552" s="27">
        <f ca="1" t="shared" si="9"/>
        <v>0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spans="1:72">
      <c r="A553" s="10"/>
      <c r="B553" s="10"/>
      <c r="C553" s="10"/>
      <c r="D553" s="10"/>
      <c r="E553" s="24">
        <v>0</v>
      </c>
      <c r="F553" s="26">
        <f ca="1">SUMIF(I$3:$CU551,"入库",I553:$CU553)</f>
        <v>0</v>
      </c>
      <c r="G553" s="24">
        <f ca="1">SUMIF(J$3:$CU552,"出库",J553:$CU553)</f>
        <v>0</v>
      </c>
      <c r="H553" s="27">
        <f ca="1" t="shared" si="9"/>
        <v>0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spans="1:72">
      <c r="A554" s="10"/>
      <c r="B554" s="10"/>
      <c r="C554" s="10"/>
      <c r="D554" s="10"/>
      <c r="E554" s="24">
        <v>0</v>
      </c>
      <c r="F554" s="26">
        <f ca="1">SUMIF(I$3:$CU552,"入库",I554:$CU554)</f>
        <v>0</v>
      </c>
      <c r="G554" s="24">
        <f ca="1">SUMIF(J$3:$CU553,"出库",J554:$CU554)</f>
        <v>0</v>
      </c>
      <c r="H554" s="27">
        <f ca="1" t="shared" si="9"/>
        <v>0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spans="1:72">
      <c r="A555" s="10"/>
      <c r="B555" s="10"/>
      <c r="C555" s="10"/>
      <c r="D555" s="10"/>
      <c r="E555" s="24">
        <v>0</v>
      </c>
      <c r="F555" s="26">
        <f ca="1">SUMIF(I$3:$CU553,"入库",I555:$CU555)</f>
        <v>0</v>
      </c>
      <c r="G555" s="24">
        <f ca="1">SUMIF(J$3:$CU554,"出库",J555:$CU555)</f>
        <v>0</v>
      </c>
      <c r="H555" s="27">
        <f ca="1" t="shared" si="9"/>
        <v>0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spans="1:72">
      <c r="A556" s="10"/>
      <c r="B556" s="10"/>
      <c r="C556" s="10"/>
      <c r="D556" s="10"/>
      <c r="E556" s="24">
        <v>0</v>
      </c>
      <c r="F556" s="26">
        <f ca="1">SUMIF(I$3:$CU554,"入库",I556:$CU556)</f>
        <v>0</v>
      </c>
      <c r="G556" s="24">
        <f ca="1">SUMIF(J$3:$CU555,"出库",J556:$CU556)</f>
        <v>0</v>
      </c>
      <c r="H556" s="27">
        <f ca="1" t="shared" si="9"/>
        <v>0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spans="1:72">
      <c r="A557" s="10"/>
      <c r="B557" s="10"/>
      <c r="C557" s="10"/>
      <c r="D557" s="10"/>
      <c r="E557" s="24">
        <v>0</v>
      </c>
      <c r="F557" s="26">
        <f ca="1">SUMIF(I$3:$CU555,"入库",I557:$CU557)</f>
        <v>0</v>
      </c>
      <c r="G557" s="24">
        <f ca="1">SUMIF(J$3:$CU556,"出库",J557:$CU557)</f>
        <v>0</v>
      </c>
      <c r="H557" s="27">
        <f ca="1" t="shared" si="9"/>
        <v>0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spans="1:72">
      <c r="A558" s="10"/>
      <c r="B558" s="10"/>
      <c r="C558" s="10"/>
      <c r="D558" s="10"/>
      <c r="E558" s="24">
        <v>0</v>
      </c>
      <c r="F558" s="26">
        <f ca="1">SUMIF(I$3:$CU556,"入库",I558:$CU558)</f>
        <v>0</v>
      </c>
      <c r="G558" s="24">
        <f ca="1">SUMIF(J$3:$CU557,"出库",J558:$CU558)</f>
        <v>0</v>
      </c>
      <c r="H558" s="27">
        <f ca="1" t="shared" si="9"/>
        <v>0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spans="1:72">
      <c r="A559" s="10"/>
      <c r="B559" s="10"/>
      <c r="C559" s="10"/>
      <c r="D559" s="10"/>
      <c r="E559" s="24">
        <v>0</v>
      </c>
      <c r="F559" s="26">
        <f ca="1">SUMIF(I$3:$CU557,"入库",I559:$CU559)</f>
        <v>0</v>
      </c>
      <c r="G559" s="24">
        <f ca="1">SUMIF(J$3:$CU558,"出库",J559:$CU559)</f>
        <v>0</v>
      </c>
      <c r="H559" s="27">
        <f ca="1" t="shared" si="9"/>
        <v>0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spans="1:72">
      <c r="A560" s="10"/>
      <c r="B560" s="10"/>
      <c r="C560" s="10"/>
      <c r="D560" s="10"/>
      <c r="E560" s="24">
        <v>0</v>
      </c>
      <c r="F560" s="26">
        <f ca="1">SUMIF(I$3:$CU558,"入库",I560:$CU560)</f>
        <v>0</v>
      </c>
      <c r="G560" s="24">
        <f ca="1">SUMIF(J$3:$CU559,"出库",J560:$CU560)</f>
        <v>0</v>
      </c>
      <c r="H560" s="27">
        <f ca="1" t="shared" si="9"/>
        <v>0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spans="1:72">
      <c r="A561" s="10"/>
      <c r="B561" s="10"/>
      <c r="C561" s="10"/>
      <c r="D561" s="10"/>
      <c r="E561" s="24">
        <v>0</v>
      </c>
      <c r="F561" s="26">
        <f ca="1">SUMIF(I$3:$CU559,"入库",I561:$CU561)</f>
        <v>0</v>
      </c>
      <c r="G561" s="24">
        <f ca="1">SUMIF(J$3:$CU560,"出库",J561:$CU561)</f>
        <v>0</v>
      </c>
      <c r="H561" s="27">
        <f ca="1" t="shared" si="9"/>
        <v>0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spans="1:72">
      <c r="A562" s="10"/>
      <c r="B562" s="10"/>
      <c r="C562" s="10"/>
      <c r="D562" s="10"/>
      <c r="E562" s="24">
        <v>0</v>
      </c>
      <c r="F562" s="26">
        <f ca="1">SUMIF(I$3:$CU560,"入库",I562:$CU562)</f>
        <v>0</v>
      </c>
      <c r="G562" s="24">
        <f ca="1">SUMIF(J$3:$CU561,"出库",J562:$CU562)</f>
        <v>0</v>
      </c>
      <c r="H562" s="27">
        <f ca="1" t="shared" si="9"/>
        <v>0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spans="1:72">
      <c r="A563" s="10"/>
      <c r="B563" s="10"/>
      <c r="C563" s="10"/>
      <c r="D563" s="10"/>
      <c r="E563" s="24">
        <v>0</v>
      </c>
      <c r="F563" s="26">
        <f ca="1">SUMIF(I$3:$CU561,"入库",I563:$CU563)</f>
        <v>0</v>
      </c>
      <c r="G563" s="24">
        <f ca="1">SUMIF(J$3:$CU562,"出库",J563:$CU563)</f>
        <v>0</v>
      </c>
      <c r="H563" s="27">
        <f ca="1" t="shared" si="9"/>
        <v>0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spans="1:72">
      <c r="A564" s="10"/>
      <c r="B564" s="10"/>
      <c r="C564" s="10"/>
      <c r="D564" s="10"/>
      <c r="E564" s="24">
        <v>0</v>
      </c>
      <c r="F564" s="26">
        <f ca="1">SUMIF(I$3:$CU562,"入库",I564:$CU564)</f>
        <v>0</v>
      </c>
      <c r="G564" s="24">
        <f ca="1">SUMIF(J$3:$CU563,"出库",J564:$CU564)</f>
        <v>0</v>
      </c>
      <c r="H564" s="27">
        <f ca="1" t="shared" si="9"/>
        <v>0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spans="1:72">
      <c r="A565" s="10"/>
      <c r="B565" s="10"/>
      <c r="C565" s="10"/>
      <c r="D565" s="10"/>
      <c r="E565" s="24">
        <v>0</v>
      </c>
      <c r="F565" s="26">
        <f ca="1">SUMIF(I$3:$CU563,"入库",I565:$CU565)</f>
        <v>0</v>
      </c>
      <c r="G565" s="24">
        <f ca="1">SUMIF(J$3:$CU564,"出库",J565:$CU565)</f>
        <v>0</v>
      </c>
      <c r="H565" s="27">
        <f ca="1" t="shared" si="9"/>
        <v>0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spans="1:72">
      <c r="A566" s="10"/>
      <c r="B566" s="10"/>
      <c r="C566" s="10"/>
      <c r="D566" s="10"/>
      <c r="E566" s="24">
        <v>0</v>
      </c>
      <c r="F566" s="26">
        <f ca="1">SUMIF(I$3:$CU564,"入库",I566:$CU566)</f>
        <v>0</v>
      </c>
      <c r="G566" s="24">
        <f ca="1">SUMIF(J$3:$CU565,"出库",J566:$CU566)</f>
        <v>0</v>
      </c>
      <c r="H566" s="27">
        <f ca="1" t="shared" si="9"/>
        <v>0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spans="1:72">
      <c r="A567" s="10"/>
      <c r="B567" s="10"/>
      <c r="C567" s="10"/>
      <c r="D567" s="10"/>
      <c r="E567" s="24">
        <v>0</v>
      </c>
      <c r="F567" s="26">
        <f ca="1">SUMIF(I$3:$CU565,"入库",I567:$CU567)</f>
        <v>0</v>
      </c>
      <c r="G567" s="24">
        <f ca="1">SUMIF(J$3:$CU566,"出库",J567:$CU567)</f>
        <v>0</v>
      </c>
      <c r="H567" s="27">
        <f ca="1" t="shared" si="9"/>
        <v>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spans="1:72">
      <c r="A568" s="10"/>
      <c r="B568" s="10"/>
      <c r="C568" s="10"/>
      <c r="D568" s="10"/>
      <c r="E568" s="24">
        <v>0</v>
      </c>
      <c r="F568" s="26">
        <f ca="1">SUMIF(I$3:$CU566,"入库",I568:$CU568)</f>
        <v>0</v>
      </c>
      <c r="G568" s="24">
        <f ca="1">SUMIF(J$3:$CU567,"出库",J568:$CU568)</f>
        <v>0</v>
      </c>
      <c r="H568" s="27">
        <f ca="1" t="shared" si="9"/>
        <v>0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spans="1:72">
      <c r="A569" s="10"/>
      <c r="B569" s="10"/>
      <c r="C569" s="10"/>
      <c r="D569" s="10"/>
      <c r="E569" s="24">
        <v>0</v>
      </c>
      <c r="F569" s="26">
        <f ca="1">SUMIF(I$3:$CU567,"入库",I569:$CU569)</f>
        <v>0</v>
      </c>
      <c r="G569" s="24">
        <f ca="1">SUMIF(J$3:$CU568,"出库",J569:$CU569)</f>
        <v>0</v>
      </c>
      <c r="H569" s="27">
        <f ca="1" t="shared" si="9"/>
        <v>0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spans="1:72">
      <c r="A570" s="10"/>
      <c r="B570" s="10"/>
      <c r="C570" s="10"/>
      <c r="D570" s="10"/>
      <c r="E570" s="24">
        <v>0</v>
      </c>
      <c r="F570" s="26">
        <f ca="1">SUMIF(I$3:$CU568,"入库",I570:$CU570)</f>
        <v>0</v>
      </c>
      <c r="G570" s="24">
        <f ca="1">SUMIF(J$3:$CU569,"出库",J570:$CU570)</f>
        <v>0</v>
      </c>
      <c r="H570" s="27">
        <f ca="1" t="shared" si="9"/>
        <v>0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spans="1:72">
      <c r="A571" s="10"/>
      <c r="B571" s="10"/>
      <c r="C571" s="10"/>
      <c r="D571" s="10"/>
      <c r="E571" s="24">
        <v>0</v>
      </c>
      <c r="F571" s="26">
        <f ca="1">SUMIF(I$3:$CU569,"入库",I571:$CU571)</f>
        <v>0</v>
      </c>
      <c r="G571" s="24">
        <f ca="1">SUMIF(J$3:$CU570,"出库",J571:$CU571)</f>
        <v>0</v>
      </c>
      <c r="H571" s="27">
        <f ca="1" t="shared" si="9"/>
        <v>0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spans="1:72">
      <c r="A572" s="10"/>
      <c r="B572" s="10"/>
      <c r="C572" s="10"/>
      <c r="D572" s="10"/>
      <c r="E572" s="24">
        <v>0</v>
      </c>
      <c r="F572" s="26">
        <f ca="1">SUMIF(I$3:$CU570,"入库",I572:$CU572)</f>
        <v>0</v>
      </c>
      <c r="G572" s="24">
        <f ca="1">SUMIF(J$3:$CU571,"出库",J572:$CU572)</f>
        <v>0</v>
      </c>
      <c r="H572" s="27">
        <f ca="1" t="shared" si="9"/>
        <v>0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spans="1:72">
      <c r="A573" s="10"/>
      <c r="B573" s="10"/>
      <c r="C573" s="10"/>
      <c r="D573" s="10"/>
      <c r="E573" s="24">
        <v>0</v>
      </c>
      <c r="F573" s="26">
        <f ca="1">SUMIF(I$3:$CU571,"入库",I573:$CU573)</f>
        <v>0</v>
      </c>
      <c r="G573" s="24">
        <f ca="1">SUMIF(J$3:$CU572,"出库",J573:$CU573)</f>
        <v>0</v>
      </c>
      <c r="H573" s="27">
        <f ca="1" t="shared" si="9"/>
        <v>0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spans="1:72">
      <c r="A574" s="10"/>
      <c r="B574" s="10"/>
      <c r="C574" s="10"/>
      <c r="D574" s="10"/>
      <c r="E574" s="24">
        <v>0</v>
      </c>
      <c r="F574" s="26">
        <f ca="1">SUMIF(I$3:$CU572,"入库",I574:$CU574)</f>
        <v>0</v>
      </c>
      <c r="G574" s="24">
        <f ca="1">SUMIF(J$3:$CU573,"出库",J574:$CU574)</f>
        <v>0</v>
      </c>
      <c r="H574" s="27">
        <f ca="1" t="shared" si="9"/>
        <v>0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spans="1:72">
      <c r="A575" s="10"/>
      <c r="B575" s="10"/>
      <c r="C575" s="10"/>
      <c r="D575" s="10"/>
      <c r="E575" s="24">
        <v>0</v>
      </c>
      <c r="F575" s="26">
        <f ca="1">SUMIF(I$3:$CU573,"入库",I575:$CU575)</f>
        <v>0</v>
      </c>
      <c r="G575" s="24">
        <f ca="1">SUMIF(J$3:$CU574,"出库",J575:$CU575)</f>
        <v>0</v>
      </c>
      <c r="H575" s="27">
        <f ca="1" t="shared" si="9"/>
        <v>0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spans="1:72">
      <c r="A576" s="10"/>
      <c r="B576" s="10"/>
      <c r="C576" s="10"/>
      <c r="D576" s="10"/>
      <c r="E576" s="24">
        <v>0</v>
      </c>
      <c r="F576" s="26">
        <f ca="1">SUMIF(I$3:$CU574,"入库",I576:$CU576)</f>
        <v>0</v>
      </c>
      <c r="G576" s="24">
        <f ca="1">SUMIF(J$3:$CU575,"出库",J576:$CU576)</f>
        <v>0</v>
      </c>
      <c r="H576" s="27">
        <f ca="1" t="shared" si="9"/>
        <v>0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spans="1:72">
      <c r="A577" s="10"/>
      <c r="B577" s="10"/>
      <c r="C577" s="10"/>
      <c r="D577" s="10"/>
      <c r="E577" s="24">
        <v>0</v>
      </c>
      <c r="F577" s="26">
        <f ca="1">SUMIF(I$3:$CU575,"入库",I577:$CU577)</f>
        <v>0</v>
      </c>
      <c r="G577" s="24">
        <f ca="1">SUMIF(J$3:$CU576,"出库",J577:$CU577)</f>
        <v>0</v>
      </c>
      <c r="H577" s="27">
        <f ca="1" t="shared" si="9"/>
        <v>0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spans="1:72">
      <c r="A578" s="10"/>
      <c r="B578" s="10"/>
      <c r="C578" s="10"/>
      <c r="D578" s="10"/>
      <c r="E578" s="24">
        <v>0</v>
      </c>
      <c r="F578" s="26">
        <f ca="1">SUMIF(I$3:$CU576,"入库",I578:$CU578)</f>
        <v>0</v>
      </c>
      <c r="G578" s="24">
        <f ca="1">SUMIF(J$3:$CU577,"出库",J578:$CU578)</f>
        <v>0</v>
      </c>
      <c r="H578" s="27">
        <f ca="1" t="shared" si="9"/>
        <v>0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spans="1:72">
      <c r="A579" s="10"/>
      <c r="B579" s="10"/>
      <c r="C579" s="10"/>
      <c r="D579" s="10"/>
      <c r="E579" s="24">
        <v>0</v>
      </c>
      <c r="F579" s="26">
        <f ca="1">SUMIF(I$3:$CU577,"入库",I579:$CU579)</f>
        <v>0</v>
      </c>
      <c r="G579" s="24">
        <f ca="1">SUMIF(J$3:$CU578,"出库",J579:$CU579)</f>
        <v>0</v>
      </c>
      <c r="H579" s="27">
        <f ca="1" t="shared" si="9"/>
        <v>0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spans="1:72">
      <c r="A580" s="10"/>
      <c r="B580" s="10"/>
      <c r="C580" s="10"/>
      <c r="D580" s="10"/>
      <c r="E580" s="24">
        <v>0</v>
      </c>
      <c r="F580" s="26">
        <f ca="1">SUMIF(I$3:$CU578,"入库",I580:$CU580)</f>
        <v>0</v>
      </c>
      <c r="G580" s="24">
        <f ca="1">SUMIF(J$3:$CU579,"出库",J580:$CU580)</f>
        <v>0</v>
      </c>
      <c r="H580" s="27">
        <f ca="1" t="shared" si="9"/>
        <v>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spans="1:72">
      <c r="A581" s="10"/>
      <c r="B581" s="10"/>
      <c r="C581" s="10"/>
      <c r="D581" s="10"/>
      <c r="E581" s="24">
        <v>0</v>
      </c>
      <c r="F581" s="26">
        <f ca="1">SUMIF(I$3:$CU579,"入库",I581:$CU581)</f>
        <v>0</v>
      </c>
      <c r="G581" s="24">
        <f ca="1">SUMIF(J$3:$CU580,"出库",J581:$CU581)</f>
        <v>0</v>
      </c>
      <c r="H581" s="27">
        <f ca="1" t="shared" si="9"/>
        <v>0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spans="1:72">
      <c r="A582" s="10"/>
      <c r="B582" s="10"/>
      <c r="C582" s="10"/>
      <c r="D582" s="10"/>
      <c r="E582" s="24">
        <v>0</v>
      </c>
      <c r="F582" s="26">
        <f ca="1">SUMIF(I$3:$CU580,"入库",I582:$CU582)</f>
        <v>0</v>
      </c>
      <c r="G582" s="24">
        <f ca="1">SUMIF(J$3:$CU581,"出库",J582:$CU582)</f>
        <v>0</v>
      </c>
      <c r="H582" s="27">
        <f ca="1" t="shared" ref="H582:H645" si="10">E582+F582-G582</f>
        <v>0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spans="1:72">
      <c r="A583" s="10"/>
      <c r="B583" s="10"/>
      <c r="C583" s="10"/>
      <c r="D583" s="10"/>
      <c r="E583" s="24">
        <v>0</v>
      </c>
      <c r="F583" s="26">
        <f ca="1">SUMIF(I$3:$CU581,"入库",I583:$CU583)</f>
        <v>0</v>
      </c>
      <c r="G583" s="24">
        <f ca="1">SUMIF(J$3:$CU582,"出库",J583:$CU583)</f>
        <v>0</v>
      </c>
      <c r="H583" s="27">
        <f ca="1" t="shared" si="10"/>
        <v>0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spans="1:72">
      <c r="A584" s="10"/>
      <c r="B584" s="10"/>
      <c r="C584" s="10"/>
      <c r="D584" s="10"/>
      <c r="E584" s="24">
        <v>0</v>
      </c>
      <c r="F584" s="26">
        <f ca="1">SUMIF(I$3:$CU582,"入库",I584:$CU584)</f>
        <v>0</v>
      </c>
      <c r="G584" s="24">
        <f ca="1">SUMIF(J$3:$CU583,"出库",J584:$CU584)</f>
        <v>0</v>
      </c>
      <c r="H584" s="27">
        <f ca="1" t="shared" si="10"/>
        <v>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spans="1:72">
      <c r="A585" s="10"/>
      <c r="B585" s="10"/>
      <c r="C585" s="10"/>
      <c r="D585" s="10"/>
      <c r="E585" s="24">
        <v>0</v>
      </c>
      <c r="F585" s="26">
        <f ca="1">SUMIF(I$3:$CU583,"入库",I585:$CU585)</f>
        <v>0</v>
      </c>
      <c r="G585" s="24">
        <f ca="1">SUMIF(J$3:$CU584,"出库",J585:$CU585)</f>
        <v>0</v>
      </c>
      <c r="H585" s="27">
        <f ca="1" t="shared" si="10"/>
        <v>0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spans="1:72">
      <c r="A586" s="10"/>
      <c r="B586" s="10"/>
      <c r="C586" s="10"/>
      <c r="D586" s="10"/>
      <c r="E586" s="24">
        <v>0</v>
      </c>
      <c r="F586" s="26">
        <f ca="1">SUMIF(I$3:$CU584,"入库",I586:$CU586)</f>
        <v>0</v>
      </c>
      <c r="G586" s="24">
        <f ca="1">SUMIF(J$3:$CU585,"出库",J586:$CU586)</f>
        <v>0</v>
      </c>
      <c r="H586" s="27">
        <f ca="1" t="shared" si="10"/>
        <v>0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spans="1:72">
      <c r="A587" s="10"/>
      <c r="B587" s="10"/>
      <c r="C587" s="10"/>
      <c r="D587" s="10"/>
      <c r="E587" s="24">
        <v>0</v>
      </c>
      <c r="F587" s="26">
        <f ca="1">SUMIF(I$3:$CU585,"入库",I587:$CU587)</f>
        <v>0</v>
      </c>
      <c r="G587" s="24">
        <f ca="1">SUMIF(J$3:$CU586,"出库",J587:$CU587)</f>
        <v>0</v>
      </c>
      <c r="H587" s="27">
        <f ca="1" t="shared" si="10"/>
        <v>0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spans="1:72">
      <c r="A588" s="10"/>
      <c r="B588" s="10"/>
      <c r="C588" s="10"/>
      <c r="D588" s="10"/>
      <c r="E588" s="24">
        <v>0</v>
      </c>
      <c r="F588" s="26">
        <f ca="1">SUMIF(I$3:$CU586,"入库",I588:$CU588)</f>
        <v>0</v>
      </c>
      <c r="G588" s="24">
        <f ca="1">SUMIF(J$3:$CU587,"出库",J588:$CU588)</f>
        <v>0</v>
      </c>
      <c r="H588" s="27">
        <f ca="1" t="shared" si="10"/>
        <v>0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spans="1:72">
      <c r="A589" s="10"/>
      <c r="B589" s="10"/>
      <c r="C589" s="10"/>
      <c r="D589" s="10"/>
      <c r="E589" s="24">
        <v>0</v>
      </c>
      <c r="F589" s="26">
        <f ca="1">SUMIF(I$3:$CU587,"入库",I589:$CU589)</f>
        <v>0</v>
      </c>
      <c r="G589" s="24">
        <f ca="1">SUMIF(J$3:$CU588,"出库",J589:$CU589)</f>
        <v>0</v>
      </c>
      <c r="H589" s="27">
        <f ca="1" t="shared" si="10"/>
        <v>0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spans="1:72">
      <c r="A590" s="10"/>
      <c r="B590" s="10"/>
      <c r="C590" s="10"/>
      <c r="D590" s="10"/>
      <c r="E590" s="24">
        <v>0</v>
      </c>
      <c r="F590" s="26">
        <f ca="1">SUMIF(I$3:$CU588,"入库",I590:$CU590)</f>
        <v>0</v>
      </c>
      <c r="G590" s="24">
        <f ca="1">SUMIF(J$3:$CU589,"出库",J590:$CU590)</f>
        <v>0</v>
      </c>
      <c r="H590" s="27">
        <f ca="1" t="shared" si="10"/>
        <v>0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spans="1:72">
      <c r="A591" s="10"/>
      <c r="B591" s="10"/>
      <c r="C591" s="10"/>
      <c r="D591" s="10"/>
      <c r="E591" s="24">
        <v>0</v>
      </c>
      <c r="F591" s="26">
        <f ca="1">SUMIF(I$3:$CU589,"入库",I591:$CU591)</f>
        <v>0</v>
      </c>
      <c r="G591" s="24">
        <f ca="1">SUMIF(J$3:$CU590,"出库",J591:$CU591)</f>
        <v>0</v>
      </c>
      <c r="H591" s="27">
        <f ca="1" t="shared" si="10"/>
        <v>0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spans="1:72">
      <c r="A592" s="10"/>
      <c r="B592" s="10"/>
      <c r="C592" s="10"/>
      <c r="D592" s="10"/>
      <c r="E592" s="24">
        <v>0</v>
      </c>
      <c r="F592" s="26">
        <f ca="1">SUMIF(I$3:$CU590,"入库",I592:$CU592)</f>
        <v>0</v>
      </c>
      <c r="G592" s="24">
        <f ca="1">SUMIF(J$3:$CU591,"出库",J592:$CU592)</f>
        <v>0</v>
      </c>
      <c r="H592" s="27">
        <f ca="1" t="shared" si="10"/>
        <v>0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spans="1:72">
      <c r="A593" s="10"/>
      <c r="B593" s="10"/>
      <c r="C593" s="10"/>
      <c r="D593" s="10"/>
      <c r="E593" s="24">
        <v>0</v>
      </c>
      <c r="F593" s="26">
        <f ca="1">SUMIF(I$3:$CU591,"入库",I593:$CU593)</f>
        <v>0</v>
      </c>
      <c r="G593" s="24">
        <f ca="1">SUMIF(J$3:$CU592,"出库",J593:$CU593)</f>
        <v>0</v>
      </c>
      <c r="H593" s="27">
        <f ca="1" t="shared" si="10"/>
        <v>0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spans="1:72">
      <c r="A594" s="10"/>
      <c r="B594" s="10"/>
      <c r="C594" s="10"/>
      <c r="D594" s="10"/>
      <c r="E594" s="24">
        <v>0</v>
      </c>
      <c r="F594" s="26">
        <f ca="1">SUMIF(I$3:$CU592,"入库",I594:$CU594)</f>
        <v>0</v>
      </c>
      <c r="G594" s="24">
        <f ca="1">SUMIF(J$3:$CU593,"出库",J594:$CU594)</f>
        <v>0</v>
      </c>
      <c r="H594" s="27">
        <f ca="1" t="shared" si="10"/>
        <v>0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spans="1:72">
      <c r="A595" s="10"/>
      <c r="B595" s="10"/>
      <c r="C595" s="10"/>
      <c r="D595" s="10"/>
      <c r="E595" s="24">
        <v>0</v>
      </c>
      <c r="F595" s="26">
        <f ca="1">SUMIF(I$3:$CU593,"入库",I595:$CU595)</f>
        <v>0</v>
      </c>
      <c r="G595" s="24">
        <f ca="1">SUMIF(J$3:$CU594,"出库",J595:$CU595)</f>
        <v>0</v>
      </c>
      <c r="H595" s="27">
        <f ca="1" t="shared" si="10"/>
        <v>0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spans="1:72">
      <c r="A596" s="10"/>
      <c r="B596" s="10"/>
      <c r="C596" s="10"/>
      <c r="D596" s="10"/>
      <c r="E596" s="24">
        <v>0</v>
      </c>
      <c r="F596" s="26">
        <f ca="1">SUMIF(I$3:$CU594,"入库",I596:$CU596)</f>
        <v>0</v>
      </c>
      <c r="G596" s="24">
        <f ca="1">SUMIF(J$3:$CU595,"出库",J596:$CU596)</f>
        <v>0</v>
      </c>
      <c r="H596" s="27">
        <f ca="1" t="shared" si="10"/>
        <v>0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spans="1:72">
      <c r="A597" s="10"/>
      <c r="B597" s="10"/>
      <c r="C597" s="10"/>
      <c r="D597" s="10"/>
      <c r="E597" s="24">
        <v>0</v>
      </c>
      <c r="F597" s="26">
        <f ca="1">SUMIF(I$3:$CU595,"入库",I597:$CU597)</f>
        <v>0</v>
      </c>
      <c r="G597" s="24">
        <f ca="1">SUMIF(J$3:$CU596,"出库",J597:$CU597)</f>
        <v>0</v>
      </c>
      <c r="H597" s="27">
        <f ca="1" t="shared" si="10"/>
        <v>0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spans="1:72">
      <c r="A598" s="10"/>
      <c r="B598" s="10"/>
      <c r="C598" s="10"/>
      <c r="D598" s="10"/>
      <c r="E598" s="24">
        <v>0</v>
      </c>
      <c r="F598" s="26">
        <f ca="1">SUMIF(I$3:$CU596,"入库",I598:$CU598)</f>
        <v>0</v>
      </c>
      <c r="G598" s="24">
        <f ca="1">SUMIF(J$3:$CU597,"出库",J598:$CU598)</f>
        <v>0</v>
      </c>
      <c r="H598" s="27">
        <f ca="1" t="shared" si="10"/>
        <v>0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spans="1:72">
      <c r="A599" s="10"/>
      <c r="B599" s="10"/>
      <c r="C599" s="10"/>
      <c r="D599" s="10"/>
      <c r="E599" s="24">
        <v>0</v>
      </c>
      <c r="F599" s="26">
        <f ca="1">SUMIF(I$3:$CU597,"入库",I599:$CU599)</f>
        <v>0</v>
      </c>
      <c r="G599" s="24">
        <f ca="1">SUMIF(J$3:$CU598,"出库",J599:$CU599)</f>
        <v>0</v>
      </c>
      <c r="H599" s="27">
        <f ca="1" t="shared" si="10"/>
        <v>0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spans="1:72">
      <c r="A600" s="10"/>
      <c r="B600" s="10"/>
      <c r="C600" s="10"/>
      <c r="D600" s="10"/>
      <c r="E600" s="24">
        <v>0</v>
      </c>
      <c r="F600" s="26">
        <f ca="1">SUMIF(I$3:$CU598,"入库",I600:$CU600)</f>
        <v>0</v>
      </c>
      <c r="G600" s="24">
        <f ca="1">SUMIF(J$3:$CU599,"出库",J600:$CU600)</f>
        <v>0</v>
      </c>
      <c r="H600" s="27">
        <f ca="1" t="shared" si="10"/>
        <v>0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spans="1:72">
      <c r="A601" s="10"/>
      <c r="B601" s="10"/>
      <c r="C601" s="10"/>
      <c r="D601" s="10"/>
      <c r="E601" s="24">
        <v>0</v>
      </c>
      <c r="F601" s="26">
        <f ca="1">SUMIF(I$3:$CU599,"入库",I601:$CU601)</f>
        <v>0</v>
      </c>
      <c r="G601" s="24">
        <f ca="1">SUMIF(J$3:$CU600,"出库",J601:$CU601)</f>
        <v>0</v>
      </c>
      <c r="H601" s="27">
        <f ca="1" t="shared" si="10"/>
        <v>0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spans="1:72">
      <c r="A602" s="10"/>
      <c r="B602" s="10"/>
      <c r="C602" s="10"/>
      <c r="D602" s="10"/>
      <c r="E602" s="24">
        <v>0</v>
      </c>
      <c r="F602" s="26">
        <f ca="1">SUMIF(I$3:$CU600,"入库",I602:$CU602)</f>
        <v>0</v>
      </c>
      <c r="G602" s="24">
        <f ca="1">SUMIF(J$3:$CU601,"出库",J602:$CU602)</f>
        <v>0</v>
      </c>
      <c r="H602" s="27">
        <f ca="1" t="shared" si="10"/>
        <v>0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spans="1:72">
      <c r="A603" s="10"/>
      <c r="B603" s="10"/>
      <c r="C603" s="10"/>
      <c r="D603" s="10"/>
      <c r="E603" s="24">
        <v>0</v>
      </c>
      <c r="F603" s="26">
        <f ca="1">SUMIF(I$3:$CU601,"入库",I603:$CU603)</f>
        <v>0</v>
      </c>
      <c r="G603" s="24">
        <f ca="1">SUMIF(J$3:$CU602,"出库",J603:$CU603)</f>
        <v>0</v>
      </c>
      <c r="H603" s="27">
        <f ca="1" t="shared" si="10"/>
        <v>0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spans="1:72">
      <c r="A604" s="10"/>
      <c r="B604" s="10"/>
      <c r="C604" s="10"/>
      <c r="D604" s="10"/>
      <c r="E604" s="24">
        <v>0</v>
      </c>
      <c r="F604" s="26">
        <f ca="1">SUMIF(I$3:$CU602,"入库",I604:$CU604)</f>
        <v>0</v>
      </c>
      <c r="G604" s="24">
        <f ca="1">SUMIF(J$3:$CU603,"出库",J604:$CU604)</f>
        <v>0</v>
      </c>
      <c r="H604" s="27">
        <f ca="1" t="shared" si="10"/>
        <v>0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spans="1:72">
      <c r="A605" s="10"/>
      <c r="B605" s="10"/>
      <c r="C605" s="10"/>
      <c r="D605" s="10"/>
      <c r="E605" s="24">
        <v>0</v>
      </c>
      <c r="F605" s="26">
        <f ca="1">SUMIF(I$3:$CU603,"入库",I605:$CU605)</f>
        <v>0</v>
      </c>
      <c r="G605" s="24">
        <f ca="1">SUMIF(J$3:$CU604,"出库",J605:$CU605)</f>
        <v>0</v>
      </c>
      <c r="H605" s="27">
        <f ca="1" t="shared" si="10"/>
        <v>0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spans="1:72">
      <c r="A606" s="10"/>
      <c r="B606" s="10"/>
      <c r="C606" s="10"/>
      <c r="D606" s="10"/>
      <c r="E606" s="24">
        <v>0</v>
      </c>
      <c r="F606" s="26">
        <f ca="1">SUMIF(I$3:$CU604,"入库",I606:$CU606)</f>
        <v>0</v>
      </c>
      <c r="G606" s="24">
        <f ca="1">SUMIF(J$3:$CU605,"出库",J606:$CU606)</f>
        <v>0</v>
      </c>
      <c r="H606" s="27">
        <f ca="1" t="shared" si="10"/>
        <v>0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spans="1:72">
      <c r="A607" s="10"/>
      <c r="B607" s="10"/>
      <c r="C607" s="10"/>
      <c r="D607" s="10"/>
      <c r="E607" s="24">
        <v>0</v>
      </c>
      <c r="F607" s="26">
        <f ca="1">SUMIF(I$3:$CU605,"入库",I607:$CU607)</f>
        <v>0</v>
      </c>
      <c r="G607" s="24">
        <f ca="1">SUMIF(J$3:$CU606,"出库",J607:$CU607)</f>
        <v>0</v>
      </c>
      <c r="H607" s="27">
        <f ca="1" t="shared" si="10"/>
        <v>0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spans="1:72">
      <c r="A608" s="10"/>
      <c r="B608" s="10"/>
      <c r="C608" s="10"/>
      <c r="D608" s="10"/>
      <c r="E608" s="24">
        <v>0</v>
      </c>
      <c r="F608" s="26">
        <f ca="1">SUMIF(I$3:$CU606,"入库",I608:$CU608)</f>
        <v>0</v>
      </c>
      <c r="G608" s="24">
        <f ca="1">SUMIF(J$3:$CU607,"出库",J608:$CU608)</f>
        <v>0</v>
      </c>
      <c r="H608" s="27">
        <f ca="1" t="shared" si="10"/>
        <v>0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spans="1:72">
      <c r="A609" s="10"/>
      <c r="B609" s="10"/>
      <c r="C609" s="10"/>
      <c r="D609" s="10"/>
      <c r="E609" s="24">
        <v>0</v>
      </c>
      <c r="F609" s="26">
        <f ca="1">SUMIF(I$3:$CU607,"入库",I609:$CU609)</f>
        <v>0</v>
      </c>
      <c r="G609" s="24">
        <f ca="1">SUMIF(J$3:$CU608,"出库",J609:$CU609)</f>
        <v>0</v>
      </c>
      <c r="H609" s="27">
        <f ca="1" t="shared" si="10"/>
        <v>0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spans="1:72">
      <c r="A610" s="10"/>
      <c r="B610" s="10"/>
      <c r="C610" s="10"/>
      <c r="D610" s="10"/>
      <c r="E610" s="24">
        <v>0</v>
      </c>
      <c r="F610" s="26">
        <f ca="1">SUMIF(I$3:$CU608,"入库",I610:$CU610)</f>
        <v>0</v>
      </c>
      <c r="G610" s="24">
        <f ca="1">SUMIF(J$3:$CU609,"出库",J610:$CU610)</f>
        <v>0</v>
      </c>
      <c r="H610" s="27">
        <f ca="1" t="shared" si="10"/>
        <v>0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spans="1:72">
      <c r="A611" s="10"/>
      <c r="B611" s="10"/>
      <c r="C611" s="10"/>
      <c r="D611" s="10"/>
      <c r="E611" s="24">
        <v>0</v>
      </c>
      <c r="F611" s="26">
        <f ca="1">SUMIF(I$3:$CU609,"入库",I611:$CU611)</f>
        <v>0</v>
      </c>
      <c r="G611" s="24">
        <f ca="1">SUMIF(J$3:$CU610,"出库",J611:$CU611)</f>
        <v>0</v>
      </c>
      <c r="H611" s="27">
        <f ca="1" t="shared" si="10"/>
        <v>0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spans="1:72">
      <c r="A612" s="10"/>
      <c r="B612" s="10"/>
      <c r="C612" s="10"/>
      <c r="D612" s="10"/>
      <c r="E612" s="24">
        <v>0</v>
      </c>
      <c r="F612" s="26">
        <f ca="1">SUMIF(I$3:$CU610,"入库",I612:$CU612)</f>
        <v>0</v>
      </c>
      <c r="G612" s="24">
        <f ca="1">SUMIF(J$3:$CU611,"出库",J612:$CU612)</f>
        <v>0</v>
      </c>
      <c r="H612" s="27">
        <f ca="1" t="shared" si="10"/>
        <v>0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spans="1:72">
      <c r="A613" s="10"/>
      <c r="B613" s="10"/>
      <c r="C613" s="10"/>
      <c r="D613" s="10"/>
      <c r="E613" s="24">
        <v>0</v>
      </c>
      <c r="F613" s="26">
        <f ca="1">SUMIF(I$3:$CU611,"入库",I613:$CU613)</f>
        <v>0</v>
      </c>
      <c r="G613" s="24">
        <f ca="1">SUMIF(J$3:$CU612,"出库",J613:$CU613)</f>
        <v>0</v>
      </c>
      <c r="H613" s="27">
        <f ca="1" t="shared" si="10"/>
        <v>0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spans="1:72">
      <c r="A614" s="10"/>
      <c r="B614" s="10"/>
      <c r="C614" s="10"/>
      <c r="D614" s="10"/>
      <c r="E614" s="24">
        <v>0</v>
      </c>
      <c r="F614" s="26">
        <f ca="1">SUMIF(I$3:$CU612,"入库",I614:$CU614)</f>
        <v>0</v>
      </c>
      <c r="G614" s="24">
        <f ca="1">SUMIF(J$3:$CU613,"出库",J614:$CU614)</f>
        <v>0</v>
      </c>
      <c r="H614" s="27">
        <f ca="1" t="shared" si="10"/>
        <v>0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spans="1:72">
      <c r="A615" s="10"/>
      <c r="B615" s="10"/>
      <c r="C615" s="10"/>
      <c r="D615" s="10"/>
      <c r="E615" s="24">
        <v>0</v>
      </c>
      <c r="F615" s="26">
        <f ca="1">SUMIF(I$3:$CU613,"入库",I615:$CU615)</f>
        <v>0</v>
      </c>
      <c r="G615" s="24">
        <f ca="1">SUMIF(J$3:$CU614,"出库",J615:$CU615)</f>
        <v>0</v>
      </c>
      <c r="H615" s="27">
        <f ca="1" t="shared" si="10"/>
        <v>0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spans="1:72">
      <c r="A616" s="10"/>
      <c r="B616" s="10"/>
      <c r="C616" s="10"/>
      <c r="D616" s="10"/>
      <c r="E616" s="24">
        <v>0</v>
      </c>
      <c r="F616" s="26">
        <f ca="1">SUMIF(I$3:$CU614,"入库",I616:$CU616)</f>
        <v>0</v>
      </c>
      <c r="G616" s="24">
        <f ca="1">SUMIF(J$3:$CU615,"出库",J616:$CU616)</f>
        <v>0</v>
      </c>
      <c r="H616" s="27">
        <f ca="1" t="shared" si="10"/>
        <v>0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spans="1:72">
      <c r="A617" s="10"/>
      <c r="B617" s="10"/>
      <c r="C617" s="10"/>
      <c r="D617" s="10"/>
      <c r="E617" s="24">
        <v>0</v>
      </c>
      <c r="F617" s="26">
        <f ca="1">SUMIF(I$3:$CU615,"入库",I617:$CU617)</f>
        <v>0</v>
      </c>
      <c r="G617" s="24">
        <f ca="1">SUMIF(J$3:$CU616,"出库",J617:$CU617)</f>
        <v>0</v>
      </c>
      <c r="H617" s="27">
        <f ca="1" t="shared" si="10"/>
        <v>0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spans="1:72">
      <c r="A618" s="10"/>
      <c r="B618" s="10"/>
      <c r="C618" s="10"/>
      <c r="D618" s="10"/>
      <c r="E618" s="24">
        <v>0</v>
      </c>
      <c r="F618" s="26">
        <f ca="1">SUMIF(I$3:$CU616,"入库",I618:$CU618)</f>
        <v>0</v>
      </c>
      <c r="G618" s="24">
        <f ca="1">SUMIF(J$3:$CU617,"出库",J618:$CU618)</f>
        <v>0</v>
      </c>
      <c r="H618" s="27">
        <f ca="1" t="shared" si="10"/>
        <v>0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spans="1:72">
      <c r="A619" s="10"/>
      <c r="B619" s="10"/>
      <c r="C619" s="10"/>
      <c r="D619" s="10"/>
      <c r="E619" s="24">
        <v>0</v>
      </c>
      <c r="F619" s="26">
        <f ca="1">SUMIF(I$3:$CU617,"入库",I619:$CU619)</f>
        <v>0</v>
      </c>
      <c r="G619" s="24">
        <f ca="1">SUMIF(J$3:$CU618,"出库",J619:$CU619)</f>
        <v>0</v>
      </c>
      <c r="H619" s="27">
        <f ca="1" t="shared" si="10"/>
        <v>0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spans="1:72">
      <c r="A620" s="10"/>
      <c r="B620" s="10"/>
      <c r="C620" s="10"/>
      <c r="D620" s="10"/>
      <c r="E620" s="24">
        <v>0</v>
      </c>
      <c r="F620" s="26">
        <f ca="1">SUMIF(I$3:$CU618,"入库",I620:$CU620)</f>
        <v>0</v>
      </c>
      <c r="G620" s="24">
        <f ca="1">SUMIF(J$3:$CU619,"出库",J620:$CU620)</f>
        <v>0</v>
      </c>
      <c r="H620" s="27">
        <f ca="1" t="shared" si="10"/>
        <v>0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spans="1:72">
      <c r="A621" s="10"/>
      <c r="B621" s="10"/>
      <c r="C621" s="10"/>
      <c r="D621" s="10"/>
      <c r="E621" s="24">
        <v>0</v>
      </c>
      <c r="F621" s="26">
        <f ca="1">SUMIF(I$3:$CU619,"入库",I621:$CU621)</f>
        <v>0</v>
      </c>
      <c r="G621" s="24">
        <f ca="1">SUMIF(J$3:$CU620,"出库",J621:$CU621)</f>
        <v>0</v>
      </c>
      <c r="H621" s="27">
        <f ca="1" t="shared" si="10"/>
        <v>0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spans="1:72">
      <c r="A622" s="10"/>
      <c r="B622" s="10"/>
      <c r="C622" s="10"/>
      <c r="D622" s="10"/>
      <c r="E622" s="24">
        <v>0</v>
      </c>
      <c r="F622" s="26">
        <f ca="1">SUMIF(I$3:$CU620,"入库",I622:$CU622)</f>
        <v>0</v>
      </c>
      <c r="G622" s="24">
        <f ca="1">SUMIF(J$3:$CU621,"出库",J622:$CU622)</f>
        <v>0</v>
      </c>
      <c r="H622" s="27">
        <f ca="1" t="shared" si="10"/>
        <v>0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spans="1:72">
      <c r="A623" s="10"/>
      <c r="B623" s="10"/>
      <c r="C623" s="10"/>
      <c r="D623" s="10"/>
      <c r="E623" s="24">
        <v>0</v>
      </c>
      <c r="F623" s="26">
        <f ca="1">SUMIF(I$3:$CU621,"入库",I623:$CU623)</f>
        <v>0</v>
      </c>
      <c r="G623" s="24">
        <f ca="1">SUMIF(J$3:$CU622,"出库",J623:$CU623)</f>
        <v>0</v>
      </c>
      <c r="H623" s="27">
        <f ca="1" t="shared" si="10"/>
        <v>0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spans="1:72">
      <c r="A624" s="10"/>
      <c r="B624" s="10"/>
      <c r="C624" s="10"/>
      <c r="D624" s="10"/>
      <c r="E624" s="24">
        <v>0</v>
      </c>
      <c r="F624" s="26">
        <f ca="1">SUMIF(I$3:$CU622,"入库",I624:$CU624)</f>
        <v>0</v>
      </c>
      <c r="G624" s="24">
        <f ca="1">SUMIF(J$3:$CU623,"出库",J624:$CU624)</f>
        <v>0</v>
      </c>
      <c r="H624" s="27">
        <f ca="1" t="shared" si="10"/>
        <v>0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spans="1:72">
      <c r="A625" s="10"/>
      <c r="B625" s="10"/>
      <c r="C625" s="10"/>
      <c r="D625" s="10"/>
      <c r="E625" s="24">
        <v>0</v>
      </c>
      <c r="F625" s="26">
        <f ca="1">SUMIF(I$3:$CU623,"入库",I625:$CU625)</f>
        <v>0</v>
      </c>
      <c r="G625" s="24">
        <f ca="1">SUMIF(J$3:$CU624,"出库",J625:$CU625)</f>
        <v>0</v>
      </c>
      <c r="H625" s="27">
        <f ca="1" t="shared" si="10"/>
        <v>0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spans="1:72">
      <c r="A626" s="10"/>
      <c r="B626" s="10"/>
      <c r="C626" s="10"/>
      <c r="D626" s="10"/>
      <c r="E626" s="24">
        <v>0</v>
      </c>
      <c r="F626" s="26">
        <f ca="1">SUMIF(I$3:$CU624,"入库",I626:$CU626)</f>
        <v>0</v>
      </c>
      <c r="G626" s="24">
        <f ca="1">SUMIF(J$3:$CU625,"出库",J626:$CU626)</f>
        <v>0</v>
      </c>
      <c r="H626" s="27">
        <f ca="1" t="shared" si="10"/>
        <v>0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spans="1:72">
      <c r="A627" s="10"/>
      <c r="B627" s="10"/>
      <c r="C627" s="10"/>
      <c r="D627" s="10"/>
      <c r="E627" s="24">
        <v>0</v>
      </c>
      <c r="F627" s="26">
        <f ca="1">SUMIF(I$3:$CU625,"入库",I627:$CU627)</f>
        <v>0</v>
      </c>
      <c r="G627" s="24">
        <f ca="1">SUMIF(J$3:$CU626,"出库",J627:$CU627)</f>
        <v>0</v>
      </c>
      <c r="H627" s="27">
        <f ca="1" t="shared" si="10"/>
        <v>0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spans="1:72">
      <c r="A628" s="10"/>
      <c r="B628" s="10"/>
      <c r="C628" s="10"/>
      <c r="D628" s="10"/>
      <c r="E628" s="24">
        <v>0</v>
      </c>
      <c r="F628" s="26">
        <f ca="1">SUMIF(I$3:$CU626,"入库",I628:$CU628)</f>
        <v>0</v>
      </c>
      <c r="G628" s="24">
        <f ca="1">SUMIF(J$3:$CU627,"出库",J628:$CU628)</f>
        <v>0</v>
      </c>
      <c r="H628" s="27">
        <f ca="1" t="shared" si="10"/>
        <v>0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spans="1:72">
      <c r="A629" s="10"/>
      <c r="B629" s="10"/>
      <c r="C629" s="10"/>
      <c r="D629" s="10"/>
      <c r="E629" s="24">
        <v>0</v>
      </c>
      <c r="F629" s="26">
        <f ca="1">SUMIF(I$3:$CU627,"入库",I629:$CU629)</f>
        <v>0</v>
      </c>
      <c r="G629" s="24">
        <f ca="1">SUMIF(J$3:$CU628,"出库",J629:$CU629)</f>
        <v>0</v>
      </c>
      <c r="H629" s="27">
        <f ca="1" t="shared" si="10"/>
        <v>0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spans="1:72">
      <c r="A630" s="10"/>
      <c r="B630" s="10"/>
      <c r="C630" s="10"/>
      <c r="D630" s="10"/>
      <c r="E630" s="24">
        <v>0</v>
      </c>
      <c r="F630" s="26">
        <f ca="1">SUMIF(I$3:$CU628,"入库",I630:$CU630)</f>
        <v>0</v>
      </c>
      <c r="G630" s="24">
        <f ca="1">SUMIF(J$3:$CU629,"出库",J630:$CU630)</f>
        <v>0</v>
      </c>
      <c r="H630" s="27">
        <f ca="1" t="shared" si="10"/>
        <v>0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spans="1:72">
      <c r="A631" s="10"/>
      <c r="B631" s="10"/>
      <c r="C631" s="10"/>
      <c r="D631" s="10"/>
      <c r="E631" s="24">
        <v>0</v>
      </c>
      <c r="F631" s="26">
        <f ca="1">SUMIF(I$3:$CU629,"入库",I631:$CU631)</f>
        <v>0</v>
      </c>
      <c r="G631" s="24">
        <f ca="1">SUMIF(J$3:$CU630,"出库",J631:$CU631)</f>
        <v>0</v>
      </c>
      <c r="H631" s="27">
        <f ca="1" t="shared" si="10"/>
        <v>0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spans="1:72">
      <c r="A632" s="10"/>
      <c r="B632" s="10"/>
      <c r="C632" s="10"/>
      <c r="D632" s="10"/>
      <c r="E632" s="24">
        <v>0</v>
      </c>
      <c r="F632" s="26">
        <f ca="1">SUMIF(I$3:$CU630,"入库",I632:$CU632)</f>
        <v>0</v>
      </c>
      <c r="G632" s="24">
        <f ca="1">SUMIF(J$3:$CU631,"出库",J632:$CU632)</f>
        <v>0</v>
      </c>
      <c r="H632" s="27">
        <f ca="1" t="shared" si="10"/>
        <v>0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spans="1:72">
      <c r="A633" s="10"/>
      <c r="B633" s="10"/>
      <c r="C633" s="10"/>
      <c r="D633" s="10"/>
      <c r="E633" s="24">
        <v>0</v>
      </c>
      <c r="F633" s="26">
        <f ca="1">SUMIF(I$3:$CU631,"入库",I633:$CU633)</f>
        <v>0</v>
      </c>
      <c r="G633" s="24">
        <f ca="1">SUMIF(J$3:$CU632,"出库",J633:$CU633)</f>
        <v>0</v>
      </c>
      <c r="H633" s="27">
        <f ca="1" t="shared" si="10"/>
        <v>0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spans="1:72">
      <c r="A634" s="10"/>
      <c r="B634" s="10"/>
      <c r="C634" s="10"/>
      <c r="D634" s="10"/>
      <c r="E634" s="24">
        <v>0</v>
      </c>
      <c r="F634" s="26">
        <f ca="1">SUMIF(I$3:$CU632,"入库",I634:$CU634)</f>
        <v>0</v>
      </c>
      <c r="G634" s="24">
        <f ca="1">SUMIF(J$3:$CU633,"出库",J634:$CU634)</f>
        <v>0</v>
      </c>
      <c r="H634" s="27">
        <f ca="1" t="shared" si="10"/>
        <v>0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spans="1:72">
      <c r="A635" s="10"/>
      <c r="B635" s="10"/>
      <c r="C635" s="10"/>
      <c r="D635" s="10"/>
      <c r="E635" s="24">
        <v>0</v>
      </c>
      <c r="F635" s="26">
        <f ca="1">SUMIF(I$3:$CU633,"入库",I635:$CU635)</f>
        <v>0</v>
      </c>
      <c r="G635" s="24">
        <f ca="1">SUMIF(J$3:$CU634,"出库",J635:$CU635)</f>
        <v>0</v>
      </c>
      <c r="H635" s="27">
        <f ca="1" t="shared" si="10"/>
        <v>0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spans="1:72">
      <c r="A636" s="10"/>
      <c r="B636" s="10"/>
      <c r="C636" s="10"/>
      <c r="D636" s="10"/>
      <c r="E636" s="24">
        <v>0</v>
      </c>
      <c r="F636" s="26">
        <f ca="1">SUMIF(I$3:$CU634,"入库",I636:$CU636)</f>
        <v>0</v>
      </c>
      <c r="G636" s="24">
        <f ca="1">SUMIF(J$3:$CU635,"出库",J636:$CU636)</f>
        <v>0</v>
      </c>
      <c r="H636" s="27">
        <f ca="1" t="shared" si="10"/>
        <v>0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spans="1:72">
      <c r="A637" s="10"/>
      <c r="B637" s="10"/>
      <c r="C637" s="10"/>
      <c r="D637" s="10"/>
      <c r="E637" s="24">
        <v>0</v>
      </c>
      <c r="F637" s="26">
        <f ca="1">SUMIF(I$3:$CU635,"入库",I637:$CU637)</f>
        <v>0</v>
      </c>
      <c r="G637" s="24">
        <f ca="1">SUMIF(J$3:$CU636,"出库",J637:$CU637)</f>
        <v>0</v>
      </c>
      <c r="H637" s="27">
        <f ca="1" t="shared" si="10"/>
        <v>0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spans="1:72">
      <c r="A638" s="10"/>
      <c r="B638" s="10"/>
      <c r="C638" s="10"/>
      <c r="D638" s="10"/>
      <c r="E638" s="24">
        <v>0</v>
      </c>
      <c r="F638" s="26">
        <f ca="1">SUMIF(I$3:$CU636,"入库",I638:$CU638)</f>
        <v>0</v>
      </c>
      <c r="G638" s="24">
        <f ca="1">SUMIF(J$3:$CU637,"出库",J638:$CU638)</f>
        <v>0</v>
      </c>
      <c r="H638" s="27">
        <f ca="1" t="shared" si="10"/>
        <v>0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spans="1:72">
      <c r="A639" s="10"/>
      <c r="B639" s="10"/>
      <c r="C639" s="10"/>
      <c r="D639" s="10"/>
      <c r="E639" s="24">
        <v>0</v>
      </c>
      <c r="F639" s="26">
        <f ca="1">SUMIF(I$3:$CU637,"入库",I639:$CU639)</f>
        <v>0</v>
      </c>
      <c r="G639" s="24">
        <f ca="1">SUMIF(J$3:$CU638,"出库",J639:$CU639)</f>
        <v>0</v>
      </c>
      <c r="H639" s="27">
        <f ca="1" t="shared" si="10"/>
        <v>0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spans="1:72">
      <c r="A640" s="10"/>
      <c r="B640" s="10"/>
      <c r="C640" s="10"/>
      <c r="D640" s="10"/>
      <c r="E640" s="24">
        <v>0</v>
      </c>
      <c r="F640" s="26">
        <f ca="1">SUMIF(I$3:$CU638,"入库",I640:$CU640)</f>
        <v>0</v>
      </c>
      <c r="G640" s="24">
        <f ca="1">SUMIF(J$3:$CU639,"出库",J640:$CU640)</f>
        <v>0</v>
      </c>
      <c r="H640" s="27">
        <f ca="1" t="shared" si="10"/>
        <v>0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spans="1:72">
      <c r="A641" s="10"/>
      <c r="B641" s="10"/>
      <c r="C641" s="10"/>
      <c r="D641" s="10"/>
      <c r="E641" s="24">
        <v>0</v>
      </c>
      <c r="F641" s="26">
        <f ca="1">SUMIF(I$3:$CU639,"入库",I641:$CU641)</f>
        <v>0</v>
      </c>
      <c r="G641" s="24">
        <f ca="1">SUMIF(J$3:$CU640,"出库",J641:$CU641)</f>
        <v>0</v>
      </c>
      <c r="H641" s="27">
        <f ca="1" t="shared" si="10"/>
        <v>0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spans="1:72">
      <c r="A642" s="10"/>
      <c r="B642" s="10"/>
      <c r="C642" s="10"/>
      <c r="D642" s="10"/>
      <c r="E642" s="24">
        <v>0</v>
      </c>
      <c r="F642" s="26">
        <f ca="1">SUMIF(I$3:$CU640,"入库",I642:$CU642)</f>
        <v>0</v>
      </c>
      <c r="G642" s="24">
        <f ca="1">SUMIF(J$3:$CU641,"出库",J642:$CU642)</f>
        <v>0</v>
      </c>
      <c r="H642" s="27">
        <f ca="1" t="shared" si="10"/>
        <v>0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spans="1:72">
      <c r="A643" s="10"/>
      <c r="B643" s="10"/>
      <c r="C643" s="10"/>
      <c r="D643" s="10"/>
      <c r="E643" s="24">
        <v>0</v>
      </c>
      <c r="F643" s="26">
        <f ca="1">SUMIF(I$3:$CU641,"入库",I643:$CU643)</f>
        <v>0</v>
      </c>
      <c r="G643" s="24">
        <f ca="1">SUMIF(J$3:$CU642,"出库",J643:$CU643)</f>
        <v>0</v>
      </c>
      <c r="H643" s="27">
        <f ca="1" t="shared" si="10"/>
        <v>0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spans="1:72">
      <c r="A644" s="10"/>
      <c r="B644" s="10"/>
      <c r="C644" s="10"/>
      <c r="D644" s="10"/>
      <c r="E644" s="24">
        <v>0</v>
      </c>
      <c r="F644" s="26">
        <f ca="1">SUMIF(I$3:$CU642,"入库",I644:$CU644)</f>
        <v>0</v>
      </c>
      <c r="G644" s="24">
        <f ca="1">SUMIF(J$3:$CU643,"出库",J644:$CU644)</f>
        <v>0</v>
      </c>
      <c r="H644" s="27">
        <f ca="1" t="shared" si="10"/>
        <v>0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spans="1:72">
      <c r="A645" s="10"/>
      <c r="B645" s="10"/>
      <c r="C645" s="10"/>
      <c r="D645" s="10"/>
      <c r="E645" s="24">
        <v>0</v>
      </c>
      <c r="F645" s="26">
        <f ca="1">SUMIF(I$3:$CU643,"入库",I645:$CU645)</f>
        <v>0</v>
      </c>
      <c r="G645" s="24">
        <f ca="1">SUMIF(J$3:$CU644,"出库",J645:$CU645)</f>
        <v>0</v>
      </c>
      <c r="H645" s="27">
        <f ca="1" t="shared" si="10"/>
        <v>0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spans="1:72">
      <c r="A646" s="10"/>
      <c r="B646" s="10"/>
      <c r="C646" s="10"/>
      <c r="D646" s="10"/>
      <c r="E646" s="24">
        <v>0</v>
      </c>
      <c r="F646" s="26">
        <f ca="1">SUMIF(I$3:$CU644,"入库",I646:$CU646)</f>
        <v>0</v>
      </c>
      <c r="G646" s="24">
        <f ca="1">SUMIF(J$3:$CU645,"出库",J646:$CU646)</f>
        <v>0</v>
      </c>
      <c r="H646" s="27">
        <f ca="1" t="shared" ref="H646:H709" si="11">E646+F646-G646</f>
        <v>0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spans="1:72">
      <c r="A647" s="10"/>
      <c r="B647" s="10"/>
      <c r="C647" s="10"/>
      <c r="D647" s="10"/>
      <c r="E647" s="24">
        <v>0</v>
      </c>
      <c r="F647" s="26">
        <f ca="1">SUMIF(I$3:$CU645,"入库",I647:$CU647)</f>
        <v>0</v>
      </c>
      <c r="G647" s="24">
        <f ca="1">SUMIF(J$3:$CU646,"出库",J647:$CU647)</f>
        <v>0</v>
      </c>
      <c r="H647" s="27">
        <f ca="1" t="shared" si="11"/>
        <v>0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spans="1:72">
      <c r="A648" s="10"/>
      <c r="B648" s="10"/>
      <c r="C648" s="10"/>
      <c r="D648" s="10"/>
      <c r="E648" s="24">
        <v>0</v>
      </c>
      <c r="F648" s="26">
        <f ca="1">SUMIF(I$3:$CU646,"入库",I648:$CU648)</f>
        <v>0</v>
      </c>
      <c r="G648" s="24">
        <f ca="1">SUMIF(J$3:$CU647,"出库",J648:$CU648)</f>
        <v>0</v>
      </c>
      <c r="H648" s="27">
        <f ca="1" t="shared" si="11"/>
        <v>0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spans="1:72">
      <c r="A649" s="10"/>
      <c r="B649" s="10"/>
      <c r="C649" s="10"/>
      <c r="D649" s="10"/>
      <c r="E649" s="24">
        <v>0</v>
      </c>
      <c r="F649" s="26">
        <f ca="1">SUMIF(I$3:$CU647,"入库",I649:$CU649)</f>
        <v>0</v>
      </c>
      <c r="G649" s="24">
        <f ca="1">SUMIF(J$3:$CU648,"出库",J649:$CU649)</f>
        <v>0</v>
      </c>
      <c r="H649" s="27">
        <f ca="1" t="shared" si="11"/>
        <v>0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spans="1:72">
      <c r="A650" s="10"/>
      <c r="B650" s="10"/>
      <c r="C650" s="10"/>
      <c r="D650" s="10"/>
      <c r="E650" s="24">
        <v>0</v>
      </c>
      <c r="F650" s="26">
        <f ca="1">SUMIF(I$3:$CU648,"入库",I650:$CU650)</f>
        <v>0</v>
      </c>
      <c r="G650" s="24">
        <f ca="1">SUMIF(J$3:$CU649,"出库",J650:$CU650)</f>
        <v>0</v>
      </c>
      <c r="H650" s="27">
        <f ca="1" t="shared" si="11"/>
        <v>0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spans="1:72">
      <c r="A651" s="10"/>
      <c r="B651" s="10"/>
      <c r="C651" s="10"/>
      <c r="D651" s="10"/>
      <c r="E651" s="24">
        <v>0</v>
      </c>
      <c r="F651" s="26">
        <f ca="1">SUMIF(I$3:$CU649,"入库",I651:$CU651)</f>
        <v>0</v>
      </c>
      <c r="G651" s="24">
        <f ca="1">SUMIF(J$3:$CU650,"出库",J651:$CU651)</f>
        <v>0</v>
      </c>
      <c r="H651" s="27">
        <f ca="1" t="shared" si="11"/>
        <v>0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spans="1:72">
      <c r="A652" s="10"/>
      <c r="B652" s="10"/>
      <c r="C652" s="10"/>
      <c r="D652" s="10"/>
      <c r="E652" s="24">
        <v>0</v>
      </c>
      <c r="F652" s="26">
        <f ca="1">SUMIF(I$3:$CU650,"入库",I652:$CU652)</f>
        <v>0</v>
      </c>
      <c r="G652" s="24">
        <f ca="1">SUMIF(J$3:$CU651,"出库",J652:$CU652)</f>
        <v>0</v>
      </c>
      <c r="H652" s="27">
        <f ca="1" t="shared" si="11"/>
        <v>0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spans="1:72">
      <c r="A653" s="10"/>
      <c r="B653" s="10"/>
      <c r="C653" s="10"/>
      <c r="D653" s="10"/>
      <c r="E653" s="24">
        <v>0</v>
      </c>
      <c r="F653" s="26">
        <f ca="1">SUMIF(I$3:$CU651,"入库",I653:$CU653)</f>
        <v>0</v>
      </c>
      <c r="G653" s="24">
        <f ca="1">SUMIF(J$3:$CU652,"出库",J653:$CU653)</f>
        <v>0</v>
      </c>
      <c r="H653" s="27">
        <f ca="1" t="shared" si="11"/>
        <v>0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spans="1:72">
      <c r="A654" s="10"/>
      <c r="B654" s="10"/>
      <c r="C654" s="10"/>
      <c r="D654" s="10"/>
      <c r="E654" s="24">
        <v>0</v>
      </c>
      <c r="F654" s="26">
        <f ca="1">SUMIF(I$3:$CU652,"入库",I654:$CU654)</f>
        <v>0</v>
      </c>
      <c r="G654" s="24">
        <f ca="1">SUMIF(J$3:$CU653,"出库",J654:$CU654)</f>
        <v>0</v>
      </c>
      <c r="H654" s="27">
        <f ca="1" t="shared" si="11"/>
        <v>0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spans="1:72">
      <c r="A655" s="10"/>
      <c r="B655" s="10"/>
      <c r="C655" s="10"/>
      <c r="D655" s="10"/>
      <c r="E655" s="24">
        <v>0</v>
      </c>
      <c r="F655" s="26">
        <f ca="1">SUMIF(I$3:$CU653,"入库",I655:$CU655)</f>
        <v>0</v>
      </c>
      <c r="G655" s="24">
        <f ca="1">SUMIF(J$3:$CU654,"出库",J655:$CU655)</f>
        <v>0</v>
      </c>
      <c r="H655" s="27">
        <f ca="1" t="shared" si="11"/>
        <v>0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spans="1:72">
      <c r="A656" s="10"/>
      <c r="B656" s="10"/>
      <c r="C656" s="10"/>
      <c r="D656" s="10"/>
      <c r="E656" s="24">
        <v>0</v>
      </c>
      <c r="F656" s="26">
        <f ca="1">SUMIF(I$3:$CU654,"入库",I656:$CU656)</f>
        <v>0</v>
      </c>
      <c r="G656" s="24">
        <f ca="1">SUMIF(J$3:$CU655,"出库",J656:$CU656)</f>
        <v>0</v>
      </c>
      <c r="H656" s="27">
        <f ca="1" t="shared" si="11"/>
        <v>0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spans="1:72">
      <c r="A657" s="10"/>
      <c r="B657" s="10"/>
      <c r="C657" s="10"/>
      <c r="D657" s="10"/>
      <c r="E657" s="24">
        <v>0</v>
      </c>
      <c r="F657" s="26">
        <f ca="1">SUMIF(I$3:$CU655,"入库",I657:$CU657)</f>
        <v>0</v>
      </c>
      <c r="G657" s="24">
        <f ca="1">SUMIF(J$3:$CU656,"出库",J657:$CU657)</f>
        <v>0</v>
      </c>
      <c r="H657" s="27">
        <f ca="1" t="shared" si="11"/>
        <v>0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spans="1:72">
      <c r="A658" s="10"/>
      <c r="B658" s="10"/>
      <c r="C658" s="10"/>
      <c r="D658" s="10"/>
      <c r="E658" s="24">
        <v>0</v>
      </c>
      <c r="F658" s="26">
        <f ca="1">SUMIF(I$3:$CU656,"入库",I658:$CU658)</f>
        <v>0</v>
      </c>
      <c r="G658" s="24">
        <f ca="1">SUMIF(J$3:$CU657,"出库",J658:$CU658)</f>
        <v>0</v>
      </c>
      <c r="H658" s="27">
        <f ca="1" t="shared" si="11"/>
        <v>0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spans="1:72">
      <c r="A659" s="10"/>
      <c r="B659" s="10"/>
      <c r="C659" s="10"/>
      <c r="D659" s="10"/>
      <c r="E659" s="24">
        <v>0</v>
      </c>
      <c r="F659" s="26">
        <f ca="1">SUMIF(I$3:$CU657,"入库",I659:$CU659)</f>
        <v>0</v>
      </c>
      <c r="G659" s="24">
        <f ca="1">SUMIF(J$3:$CU658,"出库",J659:$CU659)</f>
        <v>0</v>
      </c>
      <c r="H659" s="27">
        <f ca="1" t="shared" si="11"/>
        <v>0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spans="1:72">
      <c r="A660" s="10"/>
      <c r="B660" s="10"/>
      <c r="C660" s="10"/>
      <c r="D660" s="10"/>
      <c r="E660" s="24">
        <v>0</v>
      </c>
      <c r="F660" s="26">
        <f ca="1">SUMIF(I$3:$CU658,"入库",I660:$CU660)</f>
        <v>0</v>
      </c>
      <c r="G660" s="24">
        <f ca="1">SUMIF(J$3:$CU659,"出库",J660:$CU660)</f>
        <v>0</v>
      </c>
      <c r="H660" s="27">
        <f ca="1" t="shared" si="11"/>
        <v>0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spans="1:72">
      <c r="A661" s="10"/>
      <c r="B661" s="10"/>
      <c r="C661" s="10"/>
      <c r="D661" s="10"/>
      <c r="E661" s="24">
        <v>0</v>
      </c>
      <c r="F661" s="26">
        <f ca="1">SUMIF(I$3:$CU659,"入库",I661:$CU661)</f>
        <v>0</v>
      </c>
      <c r="G661" s="24">
        <f ca="1">SUMIF(J$3:$CU660,"出库",J661:$CU661)</f>
        <v>0</v>
      </c>
      <c r="H661" s="27">
        <f ca="1" t="shared" si="11"/>
        <v>0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spans="1:72">
      <c r="A662" s="10"/>
      <c r="B662" s="10"/>
      <c r="C662" s="10"/>
      <c r="D662" s="10"/>
      <c r="E662" s="24">
        <v>0</v>
      </c>
      <c r="F662" s="26">
        <f ca="1">SUMIF(I$3:$CU660,"入库",I662:$CU662)</f>
        <v>0</v>
      </c>
      <c r="G662" s="24">
        <f ca="1">SUMIF(J$3:$CU661,"出库",J662:$CU662)</f>
        <v>0</v>
      </c>
      <c r="H662" s="27">
        <f ca="1" t="shared" si="11"/>
        <v>0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spans="1:72">
      <c r="A663" s="10"/>
      <c r="B663" s="10"/>
      <c r="C663" s="10"/>
      <c r="D663" s="10"/>
      <c r="E663" s="24">
        <v>0</v>
      </c>
      <c r="F663" s="26">
        <f ca="1">SUMIF(I$3:$CU661,"入库",I663:$CU663)</f>
        <v>0</v>
      </c>
      <c r="G663" s="24">
        <f ca="1">SUMIF(J$3:$CU662,"出库",J663:$CU663)</f>
        <v>0</v>
      </c>
      <c r="H663" s="27">
        <f ca="1" t="shared" si="11"/>
        <v>0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spans="1:72">
      <c r="A664" s="10"/>
      <c r="B664" s="10"/>
      <c r="C664" s="10"/>
      <c r="D664" s="10"/>
      <c r="E664" s="24">
        <v>0</v>
      </c>
      <c r="F664" s="26">
        <f ca="1">SUMIF(I$3:$CU662,"入库",I664:$CU664)</f>
        <v>0</v>
      </c>
      <c r="G664" s="24">
        <f ca="1">SUMIF(J$3:$CU663,"出库",J664:$CU664)</f>
        <v>0</v>
      </c>
      <c r="H664" s="27">
        <f ca="1" t="shared" si="11"/>
        <v>0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spans="1:72">
      <c r="A665" s="10"/>
      <c r="B665" s="10"/>
      <c r="C665" s="10"/>
      <c r="D665" s="10"/>
      <c r="E665" s="24">
        <v>0</v>
      </c>
      <c r="F665" s="26">
        <f ca="1">SUMIF(I$3:$CU663,"入库",I665:$CU665)</f>
        <v>0</v>
      </c>
      <c r="G665" s="24">
        <f ca="1">SUMIF(J$3:$CU664,"出库",J665:$CU665)</f>
        <v>0</v>
      </c>
      <c r="H665" s="27">
        <f ca="1" t="shared" si="11"/>
        <v>0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spans="1:72">
      <c r="A666" s="10"/>
      <c r="B666" s="10"/>
      <c r="C666" s="10"/>
      <c r="D666" s="10"/>
      <c r="E666" s="24">
        <v>0</v>
      </c>
      <c r="F666" s="26">
        <f ca="1">SUMIF(I$3:$CU664,"入库",I666:$CU666)</f>
        <v>0</v>
      </c>
      <c r="G666" s="24">
        <f ca="1">SUMIF(J$3:$CU665,"出库",J666:$CU666)</f>
        <v>0</v>
      </c>
      <c r="H666" s="27">
        <f ca="1" t="shared" si="11"/>
        <v>0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spans="1:72">
      <c r="A667" s="10"/>
      <c r="B667" s="10"/>
      <c r="C667" s="10"/>
      <c r="D667" s="10"/>
      <c r="E667" s="24">
        <v>0</v>
      </c>
      <c r="F667" s="26">
        <f ca="1">SUMIF(I$3:$CU665,"入库",I667:$CU667)</f>
        <v>0</v>
      </c>
      <c r="G667" s="24">
        <f ca="1">SUMIF(J$3:$CU666,"出库",J667:$CU667)</f>
        <v>0</v>
      </c>
      <c r="H667" s="27">
        <f ca="1" t="shared" si="11"/>
        <v>0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spans="1:72">
      <c r="A668" s="10"/>
      <c r="B668" s="10"/>
      <c r="C668" s="10"/>
      <c r="D668" s="10"/>
      <c r="E668" s="24">
        <v>0</v>
      </c>
      <c r="F668" s="26">
        <f ca="1">SUMIF(I$3:$CU666,"入库",I668:$CU668)</f>
        <v>0</v>
      </c>
      <c r="G668" s="24">
        <f ca="1">SUMIF(J$3:$CU667,"出库",J668:$CU668)</f>
        <v>0</v>
      </c>
      <c r="H668" s="27">
        <f ca="1" t="shared" si="11"/>
        <v>0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spans="1:72">
      <c r="A669" s="10"/>
      <c r="B669" s="10"/>
      <c r="C669" s="10"/>
      <c r="D669" s="10"/>
      <c r="E669" s="24">
        <v>0</v>
      </c>
      <c r="F669" s="26">
        <f ca="1">SUMIF(I$3:$CU667,"入库",I669:$CU669)</f>
        <v>0</v>
      </c>
      <c r="G669" s="24">
        <f ca="1">SUMIF(J$3:$CU668,"出库",J669:$CU669)</f>
        <v>0</v>
      </c>
      <c r="H669" s="27">
        <f ca="1" t="shared" si="11"/>
        <v>0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spans="1:72">
      <c r="A670" s="10"/>
      <c r="B670" s="10"/>
      <c r="C670" s="10"/>
      <c r="D670" s="10"/>
      <c r="E670" s="24">
        <v>0</v>
      </c>
      <c r="F670" s="26">
        <f ca="1">SUMIF(I$3:$CU668,"入库",I670:$CU670)</f>
        <v>0</v>
      </c>
      <c r="G670" s="24">
        <f ca="1">SUMIF(J$3:$CU669,"出库",J670:$CU670)</f>
        <v>0</v>
      </c>
      <c r="H670" s="27">
        <f ca="1" t="shared" si="11"/>
        <v>0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spans="1:72">
      <c r="A671" s="10"/>
      <c r="B671" s="10"/>
      <c r="C671" s="10"/>
      <c r="D671" s="10"/>
      <c r="E671" s="24">
        <v>0</v>
      </c>
      <c r="F671" s="26">
        <f ca="1">SUMIF(I$3:$CU669,"入库",I671:$CU671)</f>
        <v>0</v>
      </c>
      <c r="G671" s="24">
        <f ca="1">SUMIF(J$3:$CU670,"出库",J671:$CU671)</f>
        <v>0</v>
      </c>
      <c r="H671" s="27">
        <f ca="1" t="shared" si="11"/>
        <v>0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spans="1:72">
      <c r="A672" s="10"/>
      <c r="B672" s="10"/>
      <c r="C672" s="10"/>
      <c r="D672" s="10"/>
      <c r="E672" s="24">
        <v>0</v>
      </c>
      <c r="F672" s="26">
        <f ca="1">SUMIF(I$3:$CU670,"入库",I672:$CU672)</f>
        <v>0</v>
      </c>
      <c r="G672" s="24">
        <f ca="1">SUMIF(J$3:$CU671,"出库",J672:$CU672)</f>
        <v>0</v>
      </c>
      <c r="H672" s="27">
        <f ca="1" t="shared" si="11"/>
        <v>0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spans="1:72">
      <c r="A673" s="10"/>
      <c r="B673" s="10"/>
      <c r="C673" s="10"/>
      <c r="D673" s="10"/>
      <c r="E673" s="24">
        <v>0</v>
      </c>
      <c r="F673" s="26">
        <f ca="1">SUMIF(I$3:$CU671,"入库",I673:$CU673)</f>
        <v>0</v>
      </c>
      <c r="G673" s="24">
        <f ca="1">SUMIF(J$3:$CU672,"出库",J673:$CU673)</f>
        <v>0</v>
      </c>
      <c r="H673" s="27">
        <f ca="1" t="shared" si="11"/>
        <v>0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spans="1:72">
      <c r="A674" s="10"/>
      <c r="B674" s="10"/>
      <c r="C674" s="10"/>
      <c r="D674" s="10"/>
      <c r="E674" s="24">
        <v>0</v>
      </c>
      <c r="F674" s="26">
        <f ca="1">SUMIF(I$3:$CU672,"入库",I674:$CU674)</f>
        <v>0</v>
      </c>
      <c r="G674" s="24">
        <f ca="1">SUMIF(J$3:$CU673,"出库",J674:$CU674)</f>
        <v>0</v>
      </c>
      <c r="H674" s="27">
        <f ca="1" t="shared" si="11"/>
        <v>0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spans="1:72">
      <c r="A675" s="10"/>
      <c r="B675" s="10"/>
      <c r="C675" s="10"/>
      <c r="D675" s="10"/>
      <c r="E675" s="24">
        <v>0</v>
      </c>
      <c r="F675" s="26">
        <f ca="1">SUMIF(I$3:$CU673,"入库",I675:$CU675)</f>
        <v>0</v>
      </c>
      <c r="G675" s="24">
        <f ca="1">SUMIF(J$3:$CU674,"出库",J675:$CU675)</f>
        <v>0</v>
      </c>
      <c r="H675" s="27">
        <f ca="1" t="shared" si="11"/>
        <v>0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spans="1:72">
      <c r="A676" s="10"/>
      <c r="B676" s="10"/>
      <c r="C676" s="10"/>
      <c r="D676" s="10"/>
      <c r="E676" s="24">
        <v>0</v>
      </c>
      <c r="F676" s="26">
        <f ca="1">SUMIF(I$3:$CU674,"入库",I676:$CU676)</f>
        <v>0</v>
      </c>
      <c r="G676" s="24">
        <f ca="1">SUMIF(J$3:$CU675,"出库",J676:$CU676)</f>
        <v>0</v>
      </c>
      <c r="H676" s="27">
        <f ca="1" t="shared" si="11"/>
        <v>0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spans="1:72">
      <c r="A677" s="10"/>
      <c r="B677" s="10"/>
      <c r="C677" s="10"/>
      <c r="D677" s="10"/>
      <c r="E677" s="24">
        <v>0</v>
      </c>
      <c r="F677" s="26">
        <f ca="1">SUMIF(I$3:$CU675,"入库",I677:$CU677)</f>
        <v>0</v>
      </c>
      <c r="G677" s="24">
        <f ca="1">SUMIF(J$3:$CU676,"出库",J677:$CU677)</f>
        <v>0</v>
      </c>
      <c r="H677" s="27">
        <f ca="1" t="shared" si="11"/>
        <v>0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spans="1:72">
      <c r="A678" s="10"/>
      <c r="B678" s="10"/>
      <c r="C678" s="10"/>
      <c r="D678" s="10"/>
      <c r="E678" s="24">
        <v>0</v>
      </c>
      <c r="F678" s="26">
        <f ca="1">SUMIF(I$3:$CU676,"入库",I678:$CU678)</f>
        <v>0</v>
      </c>
      <c r="G678" s="24">
        <f ca="1">SUMIF(J$3:$CU677,"出库",J678:$CU678)</f>
        <v>0</v>
      </c>
      <c r="H678" s="27">
        <f ca="1" t="shared" si="11"/>
        <v>0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spans="1:72">
      <c r="A679" s="10"/>
      <c r="B679" s="10"/>
      <c r="C679" s="10"/>
      <c r="D679" s="10"/>
      <c r="E679" s="24">
        <v>0</v>
      </c>
      <c r="F679" s="26">
        <f ca="1">SUMIF(I$3:$CU677,"入库",I679:$CU679)</f>
        <v>0</v>
      </c>
      <c r="G679" s="24">
        <f ca="1">SUMIF(J$3:$CU678,"出库",J679:$CU679)</f>
        <v>0</v>
      </c>
      <c r="H679" s="27">
        <f ca="1" t="shared" si="11"/>
        <v>0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spans="1:72">
      <c r="A680" s="10"/>
      <c r="B680" s="10"/>
      <c r="C680" s="10"/>
      <c r="D680" s="10"/>
      <c r="E680" s="24">
        <v>0</v>
      </c>
      <c r="F680" s="26">
        <f ca="1">SUMIF(I$3:$CU678,"入库",I680:$CU680)</f>
        <v>0</v>
      </c>
      <c r="G680" s="24">
        <f ca="1">SUMIF(J$3:$CU679,"出库",J680:$CU680)</f>
        <v>0</v>
      </c>
      <c r="H680" s="27">
        <f ca="1" t="shared" si="11"/>
        <v>0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spans="1:72">
      <c r="A681" s="10"/>
      <c r="B681" s="10"/>
      <c r="C681" s="10"/>
      <c r="D681" s="10"/>
      <c r="E681" s="24">
        <v>0</v>
      </c>
      <c r="F681" s="26">
        <f ca="1">SUMIF(I$3:$CU679,"入库",I681:$CU681)</f>
        <v>0</v>
      </c>
      <c r="G681" s="24">
        <f ca="1">SUMIF(J$3:$CU680,"出库",J681:$CU681)</f>
        <v>0</v>
      </c>
      <c r="H681" s="27">
        <f ca="1" t="shared" si="11"/>
        <v>0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spans="1:72">
      <c r="A682" s="10"/>
      <c r="B682" s="10"/>
      <c r="C682" s="10"/>
      <c r="D682" s="10"/>
      <c r="E682" s="24">
        <v>0</v>
      </c>
      <c r="F682" s="26">
        <f ca="1">SUMIF(I$3:$CU680,"入库",I682:$CU682)</f>
        <v>0</v>
      </c>
      <c r="G682" s="24">
        <f ca="1">SUMIF(J$3:$CU681,"出库",J682:$CU682)</f>
        <v>0</v>
      </c>
      <c r="H682" s="27">
        <f ca="1" t="shared" si="11"/>
        <v>0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spans="1:72">
      <c r="A683" s="10"/>
      <c r="B683" s="10"/>
      <c r="C683" s="10"/>
      <c r="D683" s="10"/>
      <c r="E683" s="24">
        <v>0</v>
      </c>
      <c r="F683" s="26">
        <f ca="1">SUMIF(I$3:$CU681,"入库",I683:$CU683)</f>
        <v>0</v>
      </c>
      <c r="G683" s="24">
        <f ca="1">SUMIF(J$3:$CU682,"出库",J683:$CU683)</f>
        <v>0</v>
      </c>
      <c r="H683" s="27">
        <f ca="1" t="shared" si="11"/>
        <v>0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spans="1:72">
      <c r="A684" s="10"/>
      <c r="B684" s="10"/>
      <c r="C684" s="10"/>
      <c r="D684" s="10"/>
      <c r="E684" s="24">
        <v>0</v>
      </c>
      <c r="F684" s="26">
        <f ca="1">SUMIF(I$3:$CU682,"入库",I684:$CU684)</f>
        <v>0</v>
      </c>
      <c r="G684" s="24">
        <f ca="1">SUMIF(J$3:$CU683,"出库",J684:$CU684)</f>
        <v>0</v>
      </c>
      <c r="H684" s="27">
        <f ca="1" t="shared" si="11"/>
        <v>0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spans="1:72">
      <c r="A685" s="10"/>
      <c r="B685" s="10"/>
      <c r="C685" s="10"/>
      <c r="D685" s="10"/>
      <c r="E685" s="24">
        <v>0</v>
      </c>
      <c r="F685" s="26">
        <f ca="1">SUMIF(I$3:$CU683,"入库",I685:$CU685)</f>
        <v>0</v>
      </c>
      <c r="G685" s="24">
        <f ca="1">SUMIF(J$3:$CU684,"出库",J685:$CU685)</f>
        <v>0</v>
      </c>
      <c r="H685" s="27">
        <f ca="1" t="shared" si="11"/>
        <v>0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spans="1:72">
      <c r="A686" s="10"/>
      <c r="B686" s="10"/>
      <c r="C686" s="10"/>
      <c r="D686" s="10"/>
      <c r="E686" s="24">
        <v>0</v>
      </c>
      <c r="F686" s="26">
        <f ca="1">SUMIF(I$3:$CU684,"入库",I686:$CU686)</f>
        <v>0</v>
      </c>
      <c r="G686" s="24">
        <f ca="1">SUMIF(J$3:$CU685,"出库",J686:$CU686)</f>
        <v>0</v>
      </c>
      <c r="H686" s="27">
        <f ca="1" t="shared" si="11"/>
        <v>0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spans="1:72">
      <c r="A687" s="10"/>
      <c r="B687" s="10"/>
      <c r="C687" s="10"/>
      <c r="D687" s="10"/>
      <c r="E687" s="24">
        <v>0</v>
      </c>
      <c r="F687" s="26">
        <f ca="1">SUMIF(I$3:$CU685,"入库",I687:$CU687)</f>
        <v>0</v>
      </c>
      <c r="G687" s="24">
        <f ca="1">SUMIF(J$3:$CU686,"出库",J687:$CU687)</f>
        <v>0</v>
      </c>
      <c r="H687" s="27">
        <f ca="1" t="shared" si="11"/>
        <v>0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spans="1:72">
      <c r="A688" s="10"/>
      <c r="B688" s="10"/>
      <c r="C688" s="10"/>
      <c r="D688" s="10"/>
      <c r="E688" s="24">
        <v>0</v>
      </c>
      <c r="F688" s="26">
        <f ca="1">SUMIF(I$3:$CU686,"入库",I688:$CU688)</f>
        <v>0</v>
      </c>
      <c r="G688" s="24">
        <f ca="1">SUMIF(J$3:$CU687,"出库",J688:$CU688)</f>
        <v>0</v>
      </c>
      <c r="H688" s="27">
        <f ca="1" t="shared" si="11"/>
        <v>0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spans="1:72">
      <c r="A689" s="10"/>
      <c r="B689" s="10"/>
      <c r="C689" s="10"/>
      <c r="D689" s="10"/>
      <c r="E689" s="24">
        <v>0</v>
      </c>
      <c r="F689" s="26">
        <f ca="1">SUMIF(I$3:$CU687,"入库",I689:$CU689)</f>
        <v>0</v>
      </c>
      <c r="G689" s="24">
        <f ca="1">SUMIF(J$3:$CU688,"出库",J689:$CU689)</f>
        <v>0</v>
      </c>
      <c r="H689" s="27">
        <f ca="1" t="shared" si="11"/>
        <v>0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spans="1:72">
      <c r="A690" s="10"/>
      <c r="B690" s="10"/>
      <c r="C690" s="10"/>
      <c r="D690" s="10"/>
      <c r="E690" s="24">
        <v>0</v>
      </c>
      <c r="F690" s="26">
        <f ca="1">SUMIF(I$3:$CU688,"入库",I690:$CU690)</f>
        <v>0</v>
      </c>
      <c r="G690" s="24">
        <f ca="1">SUMIF(J$3:$CU689,"出库",J690:$CU690)</f>
        <v>0</v>
      </c>
      <c r="H690" s="27">
        <f ca="1" t="shared" si="11"/>
        <v>0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spans="1:72">
      <c r="A691" s="10"/>
      <c r="B691" s="10"/>
      <c r="C691" s="10"/>
      <c r="D691" s="10"/>
      <c r="E691" s="24">
        <v>0</v>
      </c>
      <c r="F691" s="26">
        <f ca="1">SUMIF(I$3:$CU689,"入库",I691:$CU691)</f>
        <v>0</v>
      </c>
      <c r="G691" s="24">
        <f ca="1">SUMIF(J$3:$CU690,"出库",J691:$CU691)</f>
        <v>0</v>
      </c>
      <c r="H691" s="27">
        <f ca="1" t="shared" si="11"/>
        <v>0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spans="1:72">
      <c r="A692" s="10"/>
      <c r="B692" s="10"/>
      <c r="C692" s="10"/>
      <c r="D692" s="10"/>
      <c r="E692" s="24">
        <v>0</v>
      </c>
      <c r="F692" s="26">
        <f ca="1">SUMIF(I$3:$CU690,"入库",I692:$CU692)</f>
        <v>0</v>
      </c>
      <c r="G692" s="24">
        <f ca="1">SUMIF(J$3:$CU691,"出库",J692:$CU692)</f>
        <v>0</v>
      </c>
      <c r="H692" s="27">
        <f ca="1" t="shared" si="11"/>
        <v>0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spans="1:72">
      <c r="A693" s="10"/>
      <c r="B693" s="10"/>
      <c r="C693" s="10"/>
      <c r="D693" s="10"/>
      <c r="E693" s="24">
        <v>0</v>
      </c>
      <c r="F693" s="26">
        <f ca="1">SUMIF(I$3:$CU691,"入库",I693:$CU693)</f>
        <v>0</v>
      </c>
      <c r="G693" s="24">
        <f ca="1">SUMIF(J$3:$CU692,"出库",J693:$CU693)</f>
        <v>0</v>
      </c>
      <c r="H693" s="27">
        <f ca="1" t="shared" si="11"/>
        <v>0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spans="1:72">
      <c r="A694" s="10"/>
      <c r="B694" s="10"/>
      <c r="C694" s="10"/>
      <c r="D694" s="10"/>
      <c r="E694" s="24">
        <v>0</v>
      </c>
      <c r="F694" s="26">
        <f ca="1">SUMIF(I$3:$CU692,"入库",I694:$CU694)</f>
        <v>0</v>
      </c>
      <c r="G694" s="24">
        <f ca="1">SUMIF(J$3:$CU693,"出库",J694:$CU694)</f>
        <v>0</v>
      </c>
      <c r="H694" s="27">
        <f ca="1" t="shared" si="11"/>
        <v>0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spans="1:72">
      <c r="A695" s="10"/>
      <c r="B695" s="10"/>
      <c r="C695" s="10"/>
      <c r="D695" s="10"/>
      <c r="E695" s="24">
        <v>0</v>
      </c>
      <c r="F695" s="26">
        <f ca="1">SUMIF(I$3:$CU693,"入库",I695:$CU695)</f>
        <v>0</v>
      </c>
      <c r="G695" s="24">
        <f ca="1">SUMIF(J$3:$CU694,"出库",J695:$CU695)</f>
        <v>0</v>
      </c>
      <c r="H695" s="27">
        <f ca="1" t="shared" si="11"/>
        <v>0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spans="1:72">
      <c r="A696" s="10"/>
      <c r="B696" s="10"/>
      <c r="C696" s="10"/>
      <c r="D696" s="10"/>
      <c r="E696" s="24">
        <v>0</v>
      </c>
      <c r="F696" s="26">
        <f ca="1">SUMIF(I$3:$CU694,"入库",I696:$CU696)</f>
        <v>0</v>
      </c>
      <c r="G696" s="24">
        <f ca="1">SUMIF(J$3:$CU695,"出库",J696:$CU696)</f>
        <v>0</v>
      </c>
      <c r="H696" s="27">
        <f ca="1" t="shared" si="11"/>
        <v>0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spans="1:72">
      <c r="A697" s="10"/>
      <c r="B697" s="10"/>
      <c r="C697" s="10"/>
      <c r="D697" s="10"/>
      <c r="E697" s="24">
        <v>0</v>
      </c>
      <c r="F697" s="26">
        <f ca="1">SUMIF(I$3:$CU695,"入库",I697:$CU697)</f>
        <v>0</v>
      </c>
      <c r="G697" s="24">
        <f ca="1">SUMIF(J$3:$CU696,"出库",J697:$CU697)</f>
        <v>0</v>
      </c>
      <c r="H697" s="27">
        <f ca="1" t="shared" si="11"/>
        <v>0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spans="1:72">
      <c r="A698" s="10"/>
      <c r="B698" s="10"/>
      <c r="C698" s="10"/>
      <c r="D698" s="10"/>
      <c r="E698" s="24">
        <v>0</v>
      </c>
      <c r="F698" s="26">
        <f ca="1">SUMIF(I$3:$CU696,"入库",I698:$CU698)</f>
        <v>0</v>
      </c>
      <c r="G698" s="24">
        <f ca="1">SUMIF(J$3:$CU697,"出库",J698:$CU698)</f>
        <v>0</v>
      </c>
      <c r="H698" s="27">
        <f ca="1" t="shared" si="11"/>
        <v>0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spans="1:72">
      <c r="A699" s="10"/>
      <c r="B699" s="10"/>
      <c r="C699" s="10"/>
      <c r="D699" s="10"/>
      <c r="E699" s="24">
        <v>0</v>
      </c>
      <c r="F699" s="26">
        <f ca="1">SUMIF(I$3:$CU697,"入库",I699:$CU699)</f>
        <v>0</v>
      </c>
      <c r="G699" s="24">
        <f ca="1">SUMIF(J$3:$CU698,"出库",J699:$CU699)</f>
        <v>0</v>
      </c>
      <c r="H699" s="27">
        <f ca="1" t="shared" si="11"/>
        <v>0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spans="1:72">
      <c r="A700" s="10"/>
      <c r="B700" s="10"/>
      <c r="C700" s="10"/>
      <c r="D700" s="10"/>
      <c r="E700" s="24">
        <v>0</v>
      </c>
      <c r="F700" s="26">
        <f ca="1">SUMIF(I$3:$CU698,"入库",I700:$CU700)</f>
        <v>0</v>
      </c>
      <c r="G700" s="24">
        <f ca="1">SUMIF(J$3:$CU699,"出库",J700:$CU700)</f>
        <v>0</v>
      </c>
      <c r="H700" s="27">
        <f ca="1" t="shared" si="11"/>
        <v>0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spans="1:72">
      <c r="A701" s="10"/>
      <c r="B701" s="10"/>
      <c r="C701" s="10"/>
      <c r="D701" s="10"/>
      <c r="E701" s="24">
        <v>0</v>
      </c>
      <c r="F701" s="26">
        <f ca="1">SUMIF(I$3:$CU699,"入库",I701:$CU701)</f>
        <v>0</v>
      </c>
      <c r="G701" s="24">
        <f ca="1">SUMIF(J$3:$CU700,"出库",J701:$CU701)</f>
        <v>0</v>
      </c>
      <c r="H701" s="27">
        <f ca="1" t="shared" si="11"/>
        <v>0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spans="1:72">
      <c r="A702" s="10"/>
      <c r="B702" s="10"/>
      <c r="C702" s="10"/>
      <c r="D702" s="10"/>
      <c r="E702" s="24">
        <v>0</v>
      </c>
      <c r="F702" s="26">
        <f ca="1">SUMIF(I$3:$CU700,"入库",I702:$CU702)</f>
        <v>0</v>
      </c>
      <c r="G702" s="24">
        <f ca="1">SUMIF(J$3:$CU701,"出库",J702:$CU702)</f>
        <v>0</v>
      </c>
      <c r="H702" s="27">
        <f ca="1" t="shared" si="11"/>
        <v>0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spans="1:72">
      <c r="A703" s="10"/>
      <c r="B703" s="10"/>
      <c r="C703" s="10"/>
      <c r="D703" s="10"/>
      <c r="E703" s="24">
        <v>0</v>
      </c>
      <c r="F703" s="26">
        <f ca="1">SUMIF(I$3:$CU701,"入库",I703:$CU703)</f>
        <v>0</v>
      </c>
      <c r="G703" s="24">
        <f ca="1">SUMIF(J$3:$CU702,"出库",J703:$CU703)</f>
        <v>0</v>
      </c>
      <c r="H703" s="27">
        <f ca="1" t="shared" si="11"/>
        <v>0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spans="1:72">
      <c r="A704" s="10"/>
      <c r="B704" s="10"/>
      <c r="C704" s="10"/>
      <c r="D704" s="10"/>
      <c r="E704" s="24">
        <v>0</v>
      </c>
      <c r="F704" s="26">
        <f ca="1">SUMIF(I$3:$CU702,"入库",I704:$CU704)</f>
        <v>0</v>
      </c>
      <c r="G704" s="24">
        <f ca="1">SUMIF(J$3:$CU703,"出库",J704:$CU704)</f>
        <v>0</v>
      </c>
      <c r="H704" s="27">
        <f ca="1" t="shared" si="11"/>
        <v>0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spans="1:72">
      <c r="A705" s="10"/>
      <c r="B705" s="10"/>
      <c r="C705" s="10"/>
      <c r="D705" s="10"/>
      <c r="E705" s="24">
        <v>0</v>
      </c>
      <c r="F705" s="26">
        <f ca="1">SUMIF(I$3:$CU703,"入库",I705:$CU705)</f>
        <v>0</v>
      </c>
      <c r="G705" s="24">
        <f ca="1">SUMIF(J$3:$CU704,"出库",J705:$CU705)</f>
        <v>0</v>
      </c>
      <c r="H705" s="27">
        <f ca="1" t="shared" si="11"/>
        <v>0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spans="1:72">
      <c r="A706" s="10"/>
      <c r="B706" s="10"/>
      <c r="C706" s="10"/>
      <c r="D706" s="10"/>
      <c r="E706" s="24">
        <v>0</v>
      </c>
      <c r="F706" s="26">
        <f ca="1">SUMIF(I$3:$CU704,"入库",I706:$CU706)</f>
        <v>0</v>
      </c>
      <c r="G706" s="24">
        <f ca="1">SUMIF(J$3:$CU705,"出库",J706:$CU706)</f>
        <v>0</v>
      </c>
      <c r="H706" s="27">
        <f ca="1" t="shared" si="11"/>
        <v>0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spans="1:72">
      <c r="A707" s="10"/>
      <c r="B707" s="10"/>
      <c r="C707" s="10"/>
      <c r="D707" s="10"/>
      <c r="E707" s="24">
        <v>0</v>
      </c>
      <c r="F707" s="26">
        <f ca="1">SUMIF(I$3:$CU705,"入库",I707:$CU707)</f>
        <v>0</v>
      </c>
      <c r="G707" s="24">
        <f ca="1">SUMIF(J$3:$CU706,"出库",J707:$CU707)</f>
        <v>0</v>
      </c>
      <c r="H707" s="27">
        <f ca="1" t="shared" si="11"/>
        <v>0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spans="1:72">
      <c r="A708" s="10"/>
      <c r="B708" s="10"/>
      <c r="C708" s="10"/>
      <c r="D708" s="10"/>
      <c r="E708" s="24">
        <v>0</v>
      </c>
      <c r="F708" s="26">
        <f ca="1">SUMIF(I$3:$CU706,"入库",I708:$CU708)</f>
        <v>0</v>
      </c>
      <c r="G708" s="24">
        <f ca="1">SUMIF(J$3:$CU707,"出库",J708:$CU708)</f>
        <v>0</v>
      </c>
      <c r="H708" s="27">
        <f ca="1" t="shared" si="11"/>
        <v>0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spans="1:72">
      <c r="A709" s="10"/>
      <c r="B709" s="10"/>
      <c r="C709" s="10"/>
      <c r="D709" s="10"/>
      <c r="E709" s="24">
        <v>0</v>
      </c>
      <c r="F709" s="26">
        <f ca="1">SUMIF(I$3:$CU707,"入库",I709:$CU709)</f>
        <v>0</v>
      </c>
      <c r="G709" s="24">
        <f ca="1">SUMIF(J$3:$CU708,"出库",J709:$CU709)</f>
        <v>0</v>
      </c>
      <c r="H709" s="27">
        <f ca="1" t="shared" si="11"/>
        <v>0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spans="1:72">
      <c r="A710" s="10"/>
      <c r="B710" s="10"/>
      <c r="C710" s="10"/>
      <c r="D710" s="10"/>
      <c r="E710" s="24">
        <v>0</v>
      </c>
      <c r="F710" s="26">
        <f ca="1">SUMIF(I$3:$CU708,"入库",I710:$CU710)</f>
        <v>0</v>
      </c>
      <c r="G710" s="24">
        <f ca="1">SUMIF(J$3:$CU709,"出库",J710:$CU710)</f>
        <v>0</v>
      </c>
      <c r="H710" s="27">
        <f ca="1" t="shared" ref="H710:H747" si="12">E710+F710-G710</f>
        <v>0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spans="1:72">
      <c r="A711" s="10"/>
      <c r="B711" s="10"/>
      <c r="C711" s="10"/>
      <c r="D711" s="10"/>
      <c r="E711" s="24">
        <v>0</v>
      </c>
      <c r="F711" s="26">
        <f ca="1">SUMIF(I$3:$CU709,"入库",I711:$CU711)</f>
        <v>0</v>
      </c>
      <c r="G711" s="24">
        <f ca="1">SUMIF(J$3:$CU710,"出库",J711:$CU711)</f>
        <v>0</v>
      </c>
      <c r="H711" s="27">
        <f ca="1" t="shared" si="12"/>
        <v>0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spans="1:72">
      <c r="A712" s="10"/>
      <c r="B712" s="10"/>
      <c r="C712" s="10"/>
      <c r="D712" s="10"/>
      <c r="E712" s="24">
        <v>0</v>
      </c>
      <c r="F712" s="26">
        <f ca="1">SUMIF(I$3:$CU710,"入库",I712:$CU712)</f>
        <v>0</v>
      </c>
      <c r="G712" s="24">
        <f ca="1">SUMIF(J$3:$CU711,"出库",J712:$CU712)</f>
        <v>0</v>
      </c>
      <c r="H712" s="27">
        <f ca="1" t="shared" si="12"/>
        <v>0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spans="1:72">
      <c r="A713" s="10"/>
      <c r="B713" s="10"/>
      <c r="C713" s="10"/>
      <c r="D713" s="10"/>
      <c r="E713" s="24">
        <v>0</v>
      </c>
      <c r="F713" s="26">
        <f ca="1">SUMIF(I$3:$CU711,"入库",I713:$CU713)</f>
        <v>0</v>
      </c>
      <c r="G713" s="24">
        <f ca="1">SUMIF(J$3:$CU712,"出库",J713:$CU713)</f>
        <v>0</v>
      </c>
      <c r="H713" s="27">
        <f ca="1" t="shared" si="12"/>
        <v>0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spans="1:72">
      <c r="A714" s="10"/>
      <c r="B714" s="10"/>
      <c r="C714" s="10"/>
      <c r="D714" s="10"/>
      <c r="E714" s="24">
        <v>0</v>
      </c>
      <c r="F714" s="26">
        <f ca="1">SUMIF(I$3:$CU712,"入库",I714:$CU714)</f>
        <v>0</v>
      </c>
      <c r="G714" s="24">
        <f ca="1">SUMIF(J$3:$CU713,"出库",J714:$CU714)</f>
        <v>0</v>
      </c>
      <c r="H714" s="27">
        <f ca="1" t="shared" si="12"/>
        <v>0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spans="1:72">
      <c r="A715" s="10"/>
      <c r="B715" s="10"/>
      <c r="C715" s="10"/>
      <c r="D715" s="10"/>
      <c r="E715" s="24">
        <v>0</v>
      </c>
      <c r="F715" s="26">
        <f ca="1">SUMIF(I$3:$CU713,"入库",I715:$CU715)</f>
        <v>0</v>
      </c>
      <c r="G715" s="24">
        <f ca="1">SUMIF(J$3:$CU714,"出库",J715:$CU715)</f>
        <v>0</v>
      </c>
      <c r="H715" s="27">
        <f ca="1" t="shared" si="12"/>
        <v>0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spans="1:72">
      <c r="A716" s="10"/>
      <c r="B716" s="10"/>
      <c r="C716" s="10"/>
      <c r="D716" s="10"/>
      <c r="E716" s="24">
        <v>0</v>
      </c>
      <c r="F716" s="26">
        <f ca="1">SUMIF(I$3:$CU714,"入库",I716:$CU716)</f>
        <v>0</v>
      </c>
      <c r="G716" s="24">
        <f ca="1">SUMIF(J$3:$CU715,"出库",J716:$CU716)</f>
        <v>0</v>
      </c>
      <c r="H716" s="27">
        <f ca="1" t="shared" si="12"/>
        <v>0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spans="1:72">
      <c r="A717" s="10"/>
      <c r="B717" s="10"/>
      <c r="C717" s="10"/>
      <c r="D717" s="10"/>
      <c r="E717" s="24">
        <v>0</v>
      </c>
      <c r="F717" s="26">
        <f ca="1">SUMIF(I$3:$CU715,"入库",I717:$CU717)</f>
        <v>0</v>
      </c>
      <c r="G717" s="24">
        <f ca="1">SUMIF(J$3:$CU716,"出库",J717:$CU717)</f>
        <v>0</v>
      </c>
      <c r="H717" s="27">
        <f ca="1" t="shared" si="12"/>
        <v>0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spans="1:72">
      <c r="A718" s="10"/>
      <c r="B718" s="10"/>
      <c r="C718" s="10"/>
      <c r="D718" s="10"/>
      <c r="E718" s="24">
        <v>0</v>
      </c>
      <c r="F718" s="26">
        <f ca="1">SUMIF(I$3:$CU716,"入库",I718:$CU718)</f>
        <v>0</v>
      </c>
      <c r="G718" s="24">
        <f ca="1">SUMIF(J$3:$CU717,"出库",J718:$CU718)</f>
        <v>0</v>
      </c>
      <c r="H718" s="27">
        <f ca="1" t="shared" si="12"/>
        <v>0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spans="1:72">
      <c r="A719" s="10"/>
      <c r="B719" s="10"/>
      <c r="C719" s="10"/>
      <c r="D719" s="10"/>
      <c r="E719" s="24">
        <v>0</v>
      </c>
      <c r="F719" s="26">
        <f ca="1">SUMIF(I$3:$CU717,"入库",I719:$CU719)</f>
        <v>0</v>
      </c>
      <c r="G719" s="24">
        <f ca="1">SUMIF(J$3:$CU718,"出库",J719:$CU719)</f>
        <v>0</v>
      </c>
      <c r="H719" s="27">
        <f ca="1" t="shared" si="12"/>
        <v>0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spans="1:72">
      <c r="A720" s="10"/>
      <c r="B720" s="10"/>
      <c r="C720" s="10"/>
      <c r="D720" s="10"/>
      <c r="E720" s="24">
        <v>0</v>
      </c>
      <c r="F720" s="26">
        <f ca="1">SUMIF(I$3:$CU718,"入库",I720:$CU720)</f>
        <v>0</v>
      </c>
      <c r="G720" s="24">
        <f ca="1">SUMIF(J$3:$CU719,"出库",J720:$CU720)</f>
        <v>0</v>
      </c>
      <c r="H720" s="27">
        <f ca="1" t="shared" si="12"/>
        <v>0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spans="1:72">
      <c r="A721" s="10"/>
      <c r="B721" s="10"/>
      <c r="C721" s="10"/>
      <c r="D721" s="10"/>
      <c r="E721" s="24">
        <v>0</v>
      </c>
      <c r="F721" s="26">
        <f ca="1">SUMIF(I$3:$CU719,"入库",I721:$CU721)</f>
        <v>0</v>
      </c>
      <c r="G721" s="24">
        <f ca="1">SUMIF(J$3:$CU720,"出库",J721:$CU721)</f>
        <v>0</v>
      </c>
      <c r="H721" s="27">
        <f ca="1" t="shared" si="12"/>
        <v>0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spans="1:72">
      <c r="A722" s="10"/>
      <c r="B722" s="10"/>
      <c r="C722" s="10"/>
      <c r="D722" s="10"/>
      <c r="E722" s="24">
        <v>0</v>
      </c>
      <c r="F722" s="26">
        <f ca="1">SUMIF(I$3:$CU720,"入库",I722:$CU722)</f>
        <v>0</v>
      </c>
      <c r="G722" s="24">
        <f ca="1">SUMIF(J$3:$CU721,"出库",J722:$CU722)</f>
        <v>0</v>
      </c>
      <c r="H722" s="27">
        <f ca="1" t="shared" si="12"/>
        <v>0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spans="1:72">
      <c r="A723" s="10"/>
      <c r="B723" s="10"/>
      <c r="C723" s="10"/>
      <c r="D723" s="10"/>
      <c r="E723" s="24">
        <v>0</v>
      </c>
      <c r="F723" s="26">
        <f ca="1">SUMIF(I$3:$CU721,"入库",I723:$CU723)</f>
        <v>0</v>
      </c>
      <c r="G723" s="24">
        <f ca="1">SUMIF(J$3:$CU722,"出库",J723:$CU723)</f>
        <v>0</v>
      </c>
      <c r="H723" s="27">
        <f ca="1" t="shared" si="12"/>
        <v>0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spans="1:72">
      <c r="A724" s="10"/>
      <c r="B724" s="10"/>
      <c r="C724" s="10"/>
      <c r="D724" s="10"/>
      <c r="E724" s="24">
        <v>0</v>
      </c>
      <c r="F724" s="26">
        <f ca="1">SUMIF(I$3:$CU722,"入库",I724:$CU724)</f>
        <v>0</v>
      </c>
      <c r="G724" s="24">
        <f ca="1">SUMIF(J$3:$CU723,"出库",J724:$CU724)</f>
        <v>0</v>
      </c>
      <c r="H724" s="27">
        <f ca="1" t="shared" si="12"/>
        <v>0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spans="1:72">
      <c r="A725" s="10"/>
      <c r="B725" s="10"/>
      <c r="C725" s="10"/>
      <c r="D725" s="10"/>
      <c r="E725" s="24">
        <v>0</v>
      </c>
      <c r="F725" s="26">
        <f ca="1">SUMIF(I$3:$CU723,"入库",I725:$CU725)</f>
        <v>0</v>
      </c>
      <c r="G725" s="24">
        <f ca="1">SUMIF(J$3:$CU724,"出库",J725:$CU725)</f>
        <v>0</v>
      </c>
      <c r="H725" s="27">
        <f ca="1" t="shared" si="12"/>
        <v>0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spans="1:72">
      <c r="A726" s="10"/>
      <c r="B726" s="10"/>
      <c r="C726" s="10"/>
      <c r="D726" s="10"/>
      <c r="E726" s="24">
        <v>0</v>
      </c>
      <c r="F726" s="26">
        <f ca="1">SUMIF(I$3:$CU724,"入库",I726:$CU726)</f>
        <v>0</v>
      </c>
      <c r="G726" s="24">
        <f ca="1">SUMIF(J$3:$CU725,"出库",J726:$CU726)</f>
        <v>0</v>
      </c>
      <c r="H726" s="27">
        <f ca="1" t="shared" si="12"/>
        <v>0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spans="1:72">
      <c r="A727" s="10"/>
      <c r="B727" s="10"/>
      <c r="C727" s="10"/>
      <c r="D727" s="10"/>
      <c r="E727" s="24">
        <v>0</v>
      </c>
      <c r="F727" s="26">
        <f ca="1">SUMIF(I$3:$CU725,"入库",I727:$CU727)</f>
        <v>0</v>
      </c>
      <c r="G727" s="24">
        <f ca="1">SUMIF(J$3:$CU726,"出库",J727:$CU727)</f>
        <v>0</v>
      </c>
      <c r="H727" s="27">
        <f ca="1" t="shared" si="12"/>
        <v>0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spans="1:72">
      <c r="A728" s="10"/>
      <c r="B728" s="10"/>
      <c r="C728" s="10"/>
      <c r="D728" s="10"/>
      <c r="E728" s="24">
        <v>0</v>
      </c>
      <c r="F728" s="26">
        <f ca="1">SUMIF(I$3:$CU726,"入库",I728:$CU728)</f>
        <v>0</v>
      </c>
      <c r="G728" s="24">
        <f ca="1">SUMIF(J$3:$CU727,"出库",J728:$CU728)</f>
        <v>0</v>
      </c>
      <c r="H728" s="27">
        <f ca="1" t="shared" si="12"/>
        <v>0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spans="1:72">
      <c r="A729" s="10"/>
      <c r="B729" s="10"/>
      <c r="C729" s="10"/>
      <c r="D729" s="10"/>
      <c r="E729" s="24">
        <v>0</v>
      </c>
      <c r="F729" s="26">
        <f ca="1">SUMIF(I$3:$CU727,"入库",I729:$CU729)</f>
        <v>0</v>
      </c>
      <c r="G729" s="24">
        <f ca="1">SUMIF(J$3:$CU728,"出库",J729:$CU729)</f>
        <v>0</v>
      </c>
      <c r="H729" s="27">
        <f ca="1" t="shared" si="12"/>
        <v>0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spans="1:72">
      <c r="A730" s="10"/>
      <c r="B730" s="10"/>
      <c r="C730" s="10"/>
      <c r="D730" s="10"/>
      <c r="E730" s="24">
        <v>0</v>
      </c>
      <c r="F730" s="26">
        <f ca="1">SUMIF(I$3:$CU728,"入库",I730:$CU730)</f>
        <v>0</v>
      </c>
      <c r="G730" s="24">
        <f ca="1">SUMIF(J$3:$CU729,"出库",J730:$CU730)</f>
        <v>0</v>
      </c>
      <c r="H730" s="27">
        <f ca="1" t="shared" si="12"/>
        <v>0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spans="1:72">
      <c r="A731" s="10"/>
      <c r="B731" s="10"/>
      <c r="C731" s="10"/>
      <c r="D731" s="10"/>
      <c r="E731" s="24">
        <v>0</v>
      </c>
      <c r="F731" s="26">
        <f ca="1">SUMIF(I$3:$CU729,"入库",I731:$CU731)</f>
        <v>0</v>
      </c>
      <c r="G731" s="24">
        <f ca="1">SUMIF(J$3:$CU730,"出库",J731:$CU731)</f>
        <v>0</v>
      </c>
      <c r="H731" s="27">
        <f ca="1" t="shared" si="12"/>
        <v>0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spans="1:72">
      <c r="A732" s="10"/>
      <c r="B732" s="10"/>
      <c r="C732" s="10"/>
      <c r="D732" s="10"/>
      <c r="E732" s="24">
        <v>0</v>
      </c>
      <c r="F732" s="26">
        <f ca="1">SUMIF(I$3:$CU730,"入库",I732:$CU732)</f>
        <v>0</v>
      </c>
      <c r="G732" s="24">
        <f ca="1">SUMIF(J$3:$CU731,"出库",J732:$CU732)</f>
        <v>0</v>
      </c>
      <c r="H732" s="27">
        <f ca="1" t="shared" si="12"/>
        <v>0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spans="1:72">
      <c r="A733" s="10"/>
      <c r="B733" s="10"/>
      <c r="C733" s="10"/>
      <c r="D733" s="10"/>
      <c r="E733" s="24">
        <v>0</v>
      </c>
      <c r="F733" s="26">
        <f ca="1">SUMIF(I$3:$CU731,"入库",I733:$CU733)</f>
        <v>0</v>
      </c>
      <c r="G733" s="24">
        <f ca="1">SUMIF(J$3:$CU732,"出库",J733:$CU733)</f>
        <v>0</v>
      </c>
      <c r="H733" s="27">
        <f ca="1" t="shared" si="12"/>
        <v>0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spans="1:72">
      <c r="A734" s="10"/>
      <c r="B734" s="10"/>
      <c r="C734" s="10"/>
      <c r="D734" s="10"/>
      <c r="E734" s="24">
        <v>0</v>
      </c>
      <c r="F734" s="26">
        <f ca="1">SUMIF(I$3:$CU732,"入库",I734:$CU734)</f>
        <v>0</v>
      </c>
      <c r="G734" s="24">
        <f ca="1">SUMIF(J$3:$CU733,"出库",J734:$CU734)</f>
        <v>0</v>
      </c>
      <c r="H734" s="27">
        <f ca="1" t="shared" si="12"/>
        <v>0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spans="1:72">
      <c r="A735" s="10"/>
      <c r="B735" s="10"/>
      <c r="C735" s="10"/>
      <c r="D735" s="10"/>
      <c r="E735" s="24">
        <v>0</v>
      </c>
      <c r="F735" s="26">
        <f ca="1">SUMIF(I$3:$CU733,"入库",I735:$CU735)</f>
        <v>0</v>
      </c>
      <c r="G735" s="24">
        <f ca="1">SUMIF(J$3:$CU734,"出库",J735:$CU735)</f>
        <v>0</v>
      </c>
      <c r="H735" s="27">
        <f ca="1" t="shared" si="12"/>
        <v>0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spans="1:72">
      <c r="A736" s="10"/>
      <c r="B736" s="10"/>
      <c r="C736" s="10"/>
      <c r="D736" s="10"/>
      <c r="E736" s="24">
        <v>0</v>
      </c>
      <c r="F736" s="26">
        <f ca="1">SUMIF(I$3:$CU734,"入库",I736:$CU736)</f>
        <v>0</v>
      </c>
      <c r="G736" s="24">
        <f ca="1">SUMIF(J$3:$CU735,"出库",J736:$CU736)</f>
        <v>0</v>
      </c>
      <c r="H736" s="27">
        <f ca="1" t="shared" si="12"/>
        <v>0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spans="1:1024 1025:16384">
      <c r="A737" s="10"/>
      <c r="B737" s="10"/>
      <c r="C737" s="10"/>
      <c r="D737" s="10"/>
      <c r="E737" s="24">
        <v>0</v>
      </c>
      <c r="F737" s="26">
        <f ca="1">SUMIF(I$3:$CU735,"入库",I737:$CU737)</f>
        <v>0</v>
      </c>
      <c r="G737" s="24">
        <f ca="1">SUMIF(J$3:$CU736,"出库",J737:$CU737)</f>
        <v>0</v>
      </c>
      <c r="H737" s="27">
        <f ca="1" t="shared" si="12"/>
        <v>0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spans="1:1024 1025:16384">
      <c r="A738" s="10"/>
      <c r="B738" s="10"/>
      <c r="C738" s="10"/>
      <c r="D738" s="10"/>
      <c r="E738" s="24">
        <v>0</v>
      </c>
      <c r="F738" s="26">
        <f ca="1">SUMIF(I$3:$CU736,"入库",I738:$CU738)</f>
        <v>0</v>
      </c>
      <c r="G738" s="24">
        <f ca="1">SUMIF(J$3:$CU737,"出库",J738:$CU738)</f>
        <v>0</v>
      </c>
      <c r="H738" s="27">
        <f ca="1" t="shared" si="12"/>
        <v>0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spans="1:1024 1025:16384">
      <c r="A739" s="10"/>
      <c r="B739" s="10"/>
      <c r="C739" s="10"/>
      <c r="D739" s="10"/>
      <c r="E739" s="24">
        <v>0</v>
      </c>
      <c r="F739" s="26">
        <f ca="1">SUMIF(I$3:$CU737,"入库",I739:$CU739)</f>
        <v>0</v>
      </c>
      <c r="G739" s="24">
        <f ca="1">SUMIF(J$3:$CU738,"出库",J739:$CU739)</f>
        <v>0</v>
      </c>
      <c r="H739" s="27">
        <f ca="1" t="shared" si="12"/>
        <v>0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spans="1:1024 1025:16384">
      <c r="A740" s="10"/>
      <c r="B740" s="10"/>
      <c r="C740" s="10"/>
      <c r="D740" s="10"/>
      <c r="E740" s="24">
        <v>0</v>
      </c>
      <c r="F740" s="26">
        <f ca="1">SUMIF(I$3:$CU738,"入库",I740:$CU740)</f>
        <v>0</v>
      </c>
      <c r="G740" s="24">
        <f ca="1">SUMIF(J$3:$CU739,"出库",J740:$CU740)</f>
        <v>0</v>
      </c>
      <c r="H740" s="27">
        <f ca="1" t="shared" si="12"/>
        <v>0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spans="1:1024 1025:16384">
      <c r="A741" s="10"/>
      <c r="B741" s="10"/>
      <c r="C741" s="10"/>
      <c r="D741" s="10"/>
      <c r="E741" s="24">
        <v>0</v>
      </c>
      <c r="F741" s="26">
        <f ca="1">SUMIF(I$3:$CU739,"入库",I741:$CU741)</f>
        <v>0</v>
      </c>
      <c r="G741" s="24">
        <f ca="1">SUMIF(J$3:$CU740,"出库",J741:$CU741)</f>
        <v>0</v>
      </c>
      <c r="H741" s="27">
        <f ca="1" t="shared" si="12"/>
        <v>0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spans="1:1024 1025:16384">
      <c r="A742" s="10"/>
      <c r="B742" s="10"/>
      <c r="C742" s="10"/>
      <c r="D742" s="10"/>
      <c r="E742" s="24">
        <v>0</v>
      </c>
      <c r="F742" s="26">
        <f ca="1">SUMIF(I$3:$CU740,"入库",I742:$CU742)</f>
        <v>0</v>
      </c>
      <c r="G742" s="24">
        <f ca="1">SUMIF(J$3:$CU741,"出库",J742:$CU742)</f>
        <v>0</v>
      </c>
      <c r="H742" s="27">
        <f ca="1" t="shared" si="12"/>
        <v>0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spans="1:1024 1025:16384">
      <c r="A743" s="10"/>
      <c r="B743" s="10"/>
      <c r="C743" s="10"/>
      <c r="D743" s="10"/>
      <c r="E743" s="24">
        <v>0</v>
      </c>
      <c r="F743" s="26">
        <f ca="1">SUMIF(I$3:$CU741,"入库",I743:$CU743)</f>
        <v>0</v>
      </c>
      <c r="G743" s="24">
        <f ca="1">SUMIF(J$3:$CU742,"出库",J743:$CU743)</f>
        <v>0</v>
      </c>
      <c r="H743" s="27">
        <f ca="1" t="shared" si="12"/>
        <v>0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spans="1:1024 1025:16384">
      <c r="A744" s="10"/>
      <c r="B744" s="10"/>
      <c r="C744" s="10"/>
      <c r="D744" s="10"/>
      <c r="E744" s="24">
        <v>0</v>
      </c>
      <c r="F744" s="26">
        <f ca="1">SUMIF(I$3:$CU742,"入库",I744:$CU744)</f>
        <v>0</v>
      </c>
      <c r="G744" s="24">
        <f ca="1">SUMIF(J$3:$CU743,"出库",J744:$CU744)</f>
        <v>0</v>
      </c>
      <c r="H744" s="27">
        <f ca="1" t="shared" si="12"/>
        <v>0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spans="1:1024 1025:16384">
      <c r="A745" s="10"/>
      <c r="B745" s="10"/>
      <c r="C745" s="10"/>
      <c r="D745" s="10"/>
      <c r="E745" s="24">
        <v>0</v>
      </c>
      <c r="F745" s="26">
        <f ca="1">SUMIF(I$3:$CU743,"入库",I745:$CU745)</f>
        <v>0</v>
      </c>
      <c r="G745" s="24">
        <f ca="1">SUMIF(J$3:$CU744,"出库",J745:$CU745)</f>
        <v>0</v>
      </c>
      <c r="H745" s="27">
        <f ca="1" t="shared" si="12"/>
        <v>0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spans="1:1024 1025:16384">
      <c r="A746" s="10"/>
      <c r="B746" s="10"/>
      <c r="C746" s="10"/>
      <c r="D746" s="10"/>
      <c r="E746" s="24">
        <v>0</v>
      </c>
      <c r="F746" s="26">
        <f ca="1">SUMIF(I$3:$CU744,"入库",I746:$CU746)</f>
        <v>0</v>
      </c>
      <c r="G746" s="24">
        <f ca="1">SUMIF(J$3:$CU745,"出库",J746:$CU746)</f>
        <v>0</v>
      </c>
      <c r="H746" s="27">
        <f ca="1" t="shared" si="12"/>
        <v>0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spans="1:1024 1025:16384">
      <c r="A747" s="10"/>
      <c r="B747" s="10"/>
      <c r="C747" s="10"/>
      <c r="D747" s="10"/>
      <c r="E747" s="24">
        <v>0</v>
      </c>
      <c r="F747" s="26">
        <f ca="1">SUMIF(I$3:$CU745,"入库",I747:$CU747)</f>
        <v>0</v>
      </c>
      <c r="G747" s="24">
        <f ca="1">SUMIF(J$3:$CU746,"出库",J747:$CU747)</f>
        <v>0</v>
      </c>
      <c r="H747" s="27">
        <f ca="1" t="shared" si="12"/>
        <v>0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spans="1:1024 1025:16384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9"/>
      <c r="L748" s="30"/>
      <c r="M748" s="30"/>
      <c r="N748" s="30"/>
      <c r="O748" s="30"/>
      <c r="P748" s="30"/>
      <c r="Q748" s="30"/>
      <c r="R748" s="30"/>
      <c r="S748" s="30"/>
      <c r="T748" s="31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  <c r="FS748" s="28"/>
      <c r="FT748" s="28"/>
      <c r="FU748" s="28"/>
      <c r="FV748" s="28"/>
      <c r="FW748" s="28"/>
      <c r="FX748" s="28"/>
      <c r="FY748" s="28"/>
      <c r="FZ748" s="28"/>
      <c r="GA748" s="28"/>
      <c r="GB748" s="28"/>
      <c r="GC748" s="28"/>
      <c r="GD748" s="28"/>
      <c r="GE748" s="28"/>
      <c r="GF748" s="28"/>
      <c r="GG748" s="28"/>
      <c r="GH748" s="28"/>
      <c r="GI748" s="28"/>
      <c r="GJ748" s="28"/>
      <c r="GK748" s="28"/>
      <c r="GL748" s="28"/>
      <c r="GM748" s="28"/>
      <c r="GN748" s="28"/>
      <c r="GO748" s="28"/>
      <c r="GP748" s="28"/>
      <c r="GQ748" s="28"/>
      <c r="GR748" s="28"/>
      <c r="GS748" s="28"/>
      <c r="GT748" s="28"/>
      <c r="GU748" s="28"/>
      <c r="GV748" s="28"/>
      <c r="GW748" s="28"/>
      <c r="GX748" s="28"/>
      <c r="GY748" s="28"/>
      <c r="GZ748" s="28"/>
      <c r="HA748" s="28"/>
      <c r="HB748" s="28"/>
      <c r="HC748" s="28"/>
      <c r="HD748" s="28"/>
      <c r="HE748" s="28"/>
      <c r="HF748" s="28"/>
      <c r="HG748" s="28"/>
      <c r="HH748" s="28"/>
      <c r="HI748" s="28"/>
      <c r="HJ748" s="28"/>
      <c r="HK748" s="28"/>
      <c r="HL748" s="28"/>
      <c r="HM748" s="28"/>
      <c r="HN748" s="28"/>
      <c r="HO748" s="28"/>
      <c r="HP748" s="28"/>
      <c r="HQ748" s="28"/>
      <c r="HR748" s="28"/>
      <c r="HS748" s="28"/>
      <c r="HT748" s="28"/>
      <c r="HU748" s="28"/>
      <c r="HV748" s="28"/>
      <c r="HW748" s="28"/>
      <c r="HX748" s="28"/>
      <c r="HY748" s="28"/>
      <c r="HZ748" s="28"/>
      <c r="IA748" s="28"/>
      <c r="IB748" s="28"/>
      <c r="IC748" s="28"/>
      <c r="ID748" s="28"/>
      <c r="IE748" s="28"/>
      <c r="IF748" s="28"/>
      <c r="IG748" s="28"/>
      <c r="IH748" s="28"/>
      <c r="II748" s="28"/>
      <c r="IJ748" s="28"/>
      <c r="IK748" s="28"/>
      <c r="IL748" s="28"/>
      <c r="IM748" s="28"/>
      <c r="IN748" s="28"/>
      <c r="IO748" s="28"/>
      <c r="IP748" s="28"/>
      <c r="IQ748" s="28"/>
      <c r="IR748" s="28"/>
      <c r="IS748" s="28"/>
      <c r="IT748" s="28"/>
      <c r="IU748" s="28"/>
      <c r="IV748" s="28"/>
      <c r="IW748" s="28"/>
      <c r="IX748" s="28"/>
      <c r="IY748" s="28"/>
      <c r="IZ748" s="28"/>
      <c r="JA748" s="28"/>
      <c r="JB748" s="28"/>
      <c r="JC748" s="28"/>
      <c r="JD748" s="28"/>
      <c r="JE748" s="28"/>
      <c r="JF748" s="28"/>
      <c r="JG748" s="28"/>
      <c r="JH748" s="28"/>
      <c r="JI748" s="28"/>
      <c r="JJ748" s="28"/>
      <c r="JK748" s="28"/>
      <c r="JL748" s="28"/>
      <c r="JM748" s="28"/>
      <c r="JN748" s="28"/>
      <c r="JO748" s="28"/>
      <c r="JP748" s="28"/>
      <c r="JQ748" s="28"/>
      <c r="JR748" s="28"/>
      <c r="JS748" s="28"/>
      <c r="JT748" s="28"/>
      <c r="JU748" s="28"/>
      <c r="JV748" s="28"/>
      <c r="JW748" s="28"/>
      <c r="JX748" s="28"/>
      <c r="JY748" s="28"/>
      <c r="JZ748" s="28"/>
      <c r="KA748" s="28"/>
      <c r="KB748" s="28"/>
      <c r="KC748" s="28"/>
      <c r="KD748" s="28"/>
      <c r="KE748" s="28"/>
      <c r="KF748" s="28"/>
      <c r="KG748" s="28"/>
      <c r="KH748" s="28"/>
      <c r="KI748" s="28"/>
      <c r="KJ748" s="28"/>
      <c r="KK748" s="28"/>
      <c r="KL748" s="28"/>
      <c r="KM748" s="28"/>
      <c r="KN748" s="28"/>
      <c r="KO748" s="28"/>
      <c r="KP748" s="28"/>
      <c r="KQ748" s="28"/>
      <c r="KR748" s="28"/>
      <c r="KS748" s="28"/>
      <c r="KT748" s="28"/>
      <c r="KU748" s="28"/>
      <c r="KV748" s="28"/>
      <c r="KW748" s="28"/>
      <c r="KX748" s="28"/>
      <c r="KY748" s="28"/>
      <c r="KZ748" s="28"/>
      <c r="LA748" s="28"/>
      <c r="LB748" s="28"/>
      <c r="LC748" s="28"/>
      <c r="LD748" s="28"/>
      <c r="LE748" s="28"/>
      <c r="LF748" s="28"/>
      <c r="LG748" s="28"/>
      <c r="LH748" s="28"/>
      <c r="LI748" s="28"/>
      <c r="LJ748" s="28"/>
      <c r="LK748" s="28"/>
      <c r="LL748" s="28"/>
      <c r="LM748" s="28"/>
      <c r="LN748" s="28"/>
      <c r="LO748" s="28"/>
      <c r="LP748" s="28"/>
      <c r="LQ748" s="28"/>
      <c r="LR748" s="28"/>
      <c r="LS748" s="28"/>
      <c r="LT748" s="28"/>
      <c r="LU748" s="28"/>
      <c r="LV748" s="28"/>
      <c r="LW748" s="28"/>
      <c r="LX748" s="28"/>
      <c r="LY748" s="28"/>
      <c r="LZ748" s="28"/>
      <c r="MA748" s="28"/>
      <c r="MB748" s="28"/>
      <c r="MC748" s="28"/>
      <c r="MD748" s="28"/>
      <c r="ME748" s="28"/>
      <c r="MF748" s="28"/>
      <c r="MG748" s="28"/>
      <c r="MH748" s="28"/>
      <c r="MI748" s="28"/>
      <c r="MJ748" s="28"/>
      <c r="MK748" s="28"/>
      <c r="ML748" s="28"/>
      <c r="MM748" s="28"/>
      <c r="MN748" s="28"/>
      <c r="MO748" s="28"/>
      <c r="MP748" s="28"/>
      <c r="MQ748" s="28"/>
      <c r="MR748" s="28"/>
      <c r="MS748" s="28"/>
      <c r="MT748" s="28"/>
      <c r="MU748" s="28"/>
      <c r="MV748" s="28"/>
      <c r="MW748" s="28"/>
      <c r="MX748" s="28"/>
      <c r="MY748" s="28"/>
      <c r="MZ748" s="28"/>
      <c r="NA748" s="28"/>
      <c r="NB748" s="28"/>
      <c r="NC748" s="28"/>
      <c r="ND748" s="28"/>
      <c r="NE748" s="28"/>
      <c r="NF748" s="28"/>
      <c r="NG748" s="28"/>
      <c r="NH748" s="28"/>
      <c r="NI748" s="28"/>
      <c r="NJ748" s="28"/>
      <c r="NK748" s="28"/>
      <c r="NL748" s="28"/>
      <c r="NM748" s="28"/>
      <c r="NN748" s="28"/>
      <c r="NO748" s="28"/>
      <c r="NP748" s="28"/>
      <c r="NQ748" s="28"/>
      <c r="NR748" s="28"/>
      <c r="NS748" s="28"/>
      <c r="NT748" s="28"/>
      <c r="NU748" s="28"/>
      <c r="NV748" s="28"/>
      <c r="NW748" s="28"/>
      <c r="NX748" s="28"/>
      <c r="NY748" s="28"/>
      <c r="NZ748" s="28"/>
      <c r="OA748" s="28"/>
      <c r="OB748" s="28"/>
      <c r="OC748" s="28"/>
      <c r="OD748" s="28"/>
      <c r="OE748" s="28"/>
      <c r="OF748" s="28"/>
      <c r="OG748" s="28"/>
      <c r="OH748" s="28"/>
      <c r="OI748" s="28"/>
      <c r="OJ748" s="28"/>
      <c r="OK748" s="28"/>
      <c r="OL748" s="28"/>
      <c r="OM748" s="28"/>
      <c r="ON748" s="28"/>
      <c r="OO748" s="28"/>
      <c r="OP748" s="28"/>
      <c r="OQ748" s="28"/>
      <c r="OR748" s="28"/>
      <c r="OS748" s="28"/>
      <c r="OT748" s="28"/>
      <c r="OU748" s="28"/>
      <c r="OV748" s="28"/>
      <c r="OW748" s="28"/>
      <c r="OX748" s="28"/>
      <c r="OY748" s="28"/>
      <c r="OZ748" s="28"/>
      <c r="PA748" s="28"/>
      <c r="PB748" s="28"/>
      <c r="PC748" s="28"/>
      <c r="PD748" s="28"/>
      <c r="PE748" s="28"/>
      <c r="PF748" s="28"/>
      <c r="PG748" s="28"/>
      <c r="PH748" s="28"/>
      <c r="PI748" s="28"/>
      <c r="PJ748" s="28"/>
      <c r="PK748" s="28"/>
      <c r="PL748" s="28"/>
      <c r="PM748" s="28"/>
      <c r="PN748" s="28"/>
      <c r="PO748" s="28"/>
      <c r="PP748" s="28"/>
      <c r="PQ748" s="28"/>
      <c r="PR748" s="28"/>
      <c r="PS748" s="28"/>
      <c r="PT748" s="28"/>
      <c r="PU748" s="28"/>
      <c r="PV748" s="28"/>
      <c r="PW748" s="28"/>
      <c r="PX748" s="28"/>
      <c r="PY748" s="28"/>
      <c r="PZ748" s="28"/>
      <c r="QA748" s="28"/>
      <c r="QB748" s="28"/>
      <c r="QC748" s="28"/>
      <c r="QD748" s="28"/>
      <c r="QE748" s="28"/>
      <c r="QF748" s="28"/>
      <c r="QG748" s="28"/>
      <c r="QH748" s="28"/>
      <c r="QI748" s="28"/>
      <c r="QJ748" s="28"/>
      <c r="QK748" s="28"/>
      <c r="QL748" s="28"/>
      <c r="QM748" s="28"/>
      <c r="QN748" s="28"/>
      <c r="QO748" s="28"/>
      <c r="QP748" s="28"/>
      <c r="QQ748" s="28"/>
      <c r="QR748" s="28"/>
      <c r="QS748" s="28"/>
      <c r="QT748" s="28"/>
      <c r="QU748" s="28"/>
      <c r="QV748" s="28"/>
      <c r="QW748" s="28"/>
      <c r="QX748" s="28"/>
      <c r="QY748" s="28"/>
      <c r="QZ748" s="28"/>
      <c r="RA748" s="28"/>
      <c r="RB748" s="28"/>
      <c r="RC748" s="28"/>
      <c r="RD748" s="28"/>
      <c r="RE748" s="28"/>
      <c r="RF748" s="28"/>
      <c r="RG748" s="28"/>
      <c r="RH748" s="28"/>
      <c r="RI748" s="28"/>
      <c r="RJ748" s="28"/>
      <c r="RK748" s="28"/>
      <c r="RL748" s="28"/>
      <c r="RM748" s="28"/>
      <c r="RN748" s="28"/>
      <c r="RO748" s="28"/>
      <c r="RP748" s="28"/>
      <c r="RQ748" s="28"/>
      <c r="RR748" s="28"/>
      <c r="RS748" s="28"/>
      <c r="RT748" s="28"/>
      <c r="RU748" s="28"/>
      <c r="RV748" s="28"/>
      <c r="RW748" s="28"/>
      <c r="RX748" s="28"/>
      <c r="RY748" s="28"/>
      <c r="RZ748" s="28"/>
      <c r="SA748" s="28"/>
      <c r="SB748" s="28"/>
      <c r="SC748" s="28"/>
      <c r="SD748" s="28"/>
      <c r="SE748" s="28"/>
      <c r="SF748" s="28"/>
      <c r="SG748" s="28"/>
      <c r="SH748" s="28"/>
      <c r="SI748" s="28"/>
      <c r="SJ748" s="28"/>
      <c r="SK748" s="28"/>
      <c r="SL748" s="28"/>
      <c r="SM748" s="28"/>
      <c r="SN748" s="28"/>
      <c r="SO748" s="28"/>
      <c r="SP748" s="28"/>
      <c r="SQ748" s="28"/>
      <c r="SR748" s="28"/>
      <c r="SS748" s="28"/>
      <c r="ST748" s="28"/>
      <c r="SU748" s="28"/>
      <c r="SV748" s="28"/>
      <c r="SW748" s="28"/>
      <c r="SX748" s="28"/>
      <c r="SY748" s="28"/>
      <c r="SZ748" s="28"/>
      <c r="TA748" s="28"/>
      <c r="TB748" s="28"/>
      <c r="TC748" s="28"/>
      <c r="TD748" s="28"/>
      <c r="TE748" s="28"/>
      <c r="TF748" s="28"/>
      <c r="TG748" s="28"/>
      <c r="TH748" s="28"/>
      <c r="TI748" s="28"/>
      <c r="TJ748" s="28"/>
      <c r="TK748" s="28"/>
      <c r="TL748" s="28"/>
      <c r="TM748" s="28"/>
      <c r="TN748" s="28"/>
      <c r="TO748" s="28"/>
      <c r="TP748" s="28"/>
      <c r="TQ748" s="28"/>
      <c r="TR748" s="28"/>
      <c r="TS748" s="28"/>
      <c r="TT748" s="28"/>
      <c r="TU748" s="28"/>
      <c r="TV748" s="28"/>
      <c r="TW748" s="28"/>
      <c r="TX748" s="28"/>
      <c r="TY748" s="28"/>
      <c r="TZ748" s="28"/>
      <c r="UA748" s="28"/>
      <c r="UB748" s="28"/>
      <c r="UC748" s="28"/>
      <c r="UD748" s="28"/>
      <c r="UE748" s="28"/>
      <c r="UF748" s="28"/>
      <c r="UG748" s="28"/>
      <c r="UH748" s="28"/>
      <c r="UI748" s="28"/>
      <c r="UJ748" s="28"/>
      <c r="UK748" s="28"/>
      <c r="UL748" s="28"/>
      <c r="UM748" s="28"/>
      <c r="UN748" s="28"/>
      <c r="UO748" s="28"/>
      <c r="UP748" s="28"/>
      <c r="UQ748" s="28"/>
      <c r="UR748" s="28"/>
      <c r="US748" s="28"/>
      <c r="UT748" s="28"/>
      <c r="UU748" s="28"/>
      <c r="UV748" s="28"/>
      <c r="UW748" s="28"/>
      <c r="UX748" s="28"/>
      <c r="UY748" s="28"/>
      <c r="UZ748" s="28"/>
      <c r="VA748" s="28"/>
      <c r="VB748" s="28"/>
      <c r="VC748" s="28"/>
      <c r="VD748" s="28"/>
      <c r="VE748" s="28"/>
      <c r="VF748" s="28"/>
      <c r="VG748" s="28"/>
      <c r="VH748" s="28"/>
      <c r="VI748" s="28"/>
      <c r="VJ748" s="28"/>
      <c r="VK748" s="28"/>
      <c r="VL748" s="28"/>
      <c r="VM748" s="28"/>
      <c r="VN748" s="28"/>
      <c r="VO748" s="28"/>
      <c r="VP748" s="28"/>
      <c r="VQ748" s="28"/>
      <c r="VR748" s="28"/>
      <c r="VS748" s="28"/>
      <c r="VT748" s="28"/>
      <c r="VU748" s="28"/>
      <c r="VV748" s="28"/>
      <c r="VW748" s="28"/>
      <c r="VX748" s="28"/>
      <c r="VY748" s="28"/>
      <c r="VZ748" s="28"/>
      <c r="WA748" s="28"/>
      <c r="WB748" s="28"/>
      <c r="WC748" s="28"/>
      <c r="WD748" s="28"/>
      <c r="WE748" s="28"/>
      <c r="WF748" s="28"/>
      <c r="WG748" s="28"/>
      <c r="WH748" s="28"/>
      <c r="WI748" s="28"/>
      <c r="WJ748" s="28"/>
      <c r="WK748" s="28"/>
      <c r="WL748" s="28"/>
      <c r="WM748" s="28"/>
      <c r="WN748" s="28"/>
      <c r="WO748" s="28"/>
      <c r="WP748" s="28"/>
      <c r="WQ748" s="28"/>
      <c r="WR748" s="28"/>
      <c r="WS748" s="28"/>
      <c r="WT748" s="28"/>
      <c r="WU748" s="28"/>
      <c r="WV748" s="28"/>
      <c r="WW748" s="28"/>
      <c r="WX748" s="28"/>
      <c r="WY748" s="28"/>
      <c r="WZ748" s="28"/>
      <c r="XA748" s="28"/>
      <c r="XB748" s="28"/>
      <c r="XC748" s="28"/>
      <c r="XD748" s="28"/>
      <c r="XE748" s="28"/>
      <c r="XF748" s="28"/>
      <c r="XG748" s="28"/>
      <c r="XH748" s="28"/>
      <c r="XI748" s="28"/>
      <c r="XJ748" s="28"/>
      <c r="XK748" s="28"/>
      <c r="XL748" s="28"/>
      <c r="XM748" s="28"/>
      <c r="XN748" s="28"/>
      <c r="XO748" s="28"/>
      <c r="XP748" s="28"/>
      <c r="XQ748" s="28"/>
      <c r="XR748" s="28"/>
      <c r="XS748" s="28"/>
      <c r="XT748" s="28"/>
      <c r="XU748" s="28"/>
      <c r="XV748" s="28"/>
      <c r="XW748" s="28"/>
      <c r="XX748" s="28"/>
      <c r="XY748" s="28"/>
      <c r="XZ748" s="28"/>
      <c r="YA748" s="28"/>
      <c r="YB748" s="28"/>
      <c r="YC748" s="28"/>
      <c r="YD748" s="28"/>
      <c r="YE748" s="28"/>
      <c r="YF748" s="28"/>
      <c r="YG748" s="28"/>
      <c r="YH748" s="28"/>
      <c r="YI748" s="28"/>
      <c r="YJ748" s="28"/>
      <c r="YK748" s="28"/>
      <c r="YL748" s="28"/>
      <c r="YM748" s="28"/>
      <c r="YN748" s="28"/>
      <c r="YO748" s="28"/>
      <c r="YP748" s="28"/>
      <c r="YQ748" s="28"/>
      <c r="YR748" s="28"/>
      <c r="YS748" s="28"/>
      <c r="YT748" s="28"/>
      <c r="YU748" s="28"/>
      <c r="YV748" s="28"/>
      <c r="YW748" s="28"/>
      <c r="YX748" s="28"/>
      <c r="YY748" s="28"/>
      <c r="YZ748" s="28"/>
      <c r="ZA748" s="28"/>
      <c r="ZB748" s="28"/>
      <c r="ZC748" s="28"/>
      <c r="ZD748" s="28"/>
      <c r="ZE748" s="28"/>
      <c r="ZF748" s="28"/>
      <c r="ZG748" s="28"/>
      <c r="ZH748" s="28"/>
      <c r="ZI748" s="28"/>
      <c r="ZJ748" s="28"/>
      <c r="ZK748" s="28"/>
      <c r="ZL748" s="28"/>
      <c r="ZM748" s="28"/>
      <c r="ZN748" s="28"/>
      <c r="ZO748" s="28"/>
      <c r="ZP748" s="28"/>
      <c r="ZQ748" s="28"/>
      <c r="ZR748" s="28"/>
      <c r="ZS748" s="28"/>
      <c r="ZT748" s="28"/>
      <c r="ZU748" s="28"/>
      <c r="ZV748" s="28"/>
      <c r="ZW748" s="28"/>
      <c r="ZX748" s="28"/>
      <c r="ZY748" s="28"/>
      <c r="ZZ748" s="28"/>
      <c r="AAA748" s="28"/>
      <c r="AAB748" s="28"/>
      <c r="AAC748" s="28"/>
      <c r="AAD748" s="28"/>
      <c r="AAE748" s="28"/>
      <c r="AAF748" s="28"/>
      <c r="AAG748" s="28"/>
      <c r="AAH748" s="28"/>
      <c r="AAI748" s="28"/>
      <c r="AAJ748" s="28"/>
      <c r="AAK748" s="28"/>
      <c r="AAL748" s="28"/>
      <c r="AAM748" s="28"/>
      <c r="AAN748" s="28"/>
      <c r="AAO748" s="28"/>
      <c r="AAP748" s="28"/>
      <c r="AAQ748" s="28"/>
      <c r="AAR748" s="28"/>
      <c r="AAS748" s="28"/>
      <c r="AAT748" s="28"/>
      <c r="AAU748" s="28"/>
      <c r="AAV748" s="28"/>
      <c r="AAW748" s="28"/>
      <c r="AAX748" s="28"/>
      <c r="AAY748" s="28"/>
      <c r="AAZ748" s="28"/>
      <c r="ABA748" s="28"/>
      <c r="ABB748" s="28"/>
      <c r="ABC748" s="28"/>
      <c r="ABD748" s="28"/>
      <c r="ABE748" s="28"/>
      <c r="ABF748" s="28"/>
      <c r="ABG748" s="28"/>
      <c r="ABH748" s="28"/>
      <c r="ABI748" s="28"/>
      <c r="ABJ748" s="28"/>
      <c r="ABK748" s="28"/>
      <c r="ABL748" s="28"/>
      <c r="ABM748" s="28"/>
      <c r="ABN748" s="28"/>
      <c r="ABO748" s="28"/>
      <c r="ABP748" s="28"/>
      <c r="ABQ748" s="28"/>
      <c r="ABR748" s="28"/>
      <c r="ABS748" s="28"/>
      <c r="ABT748" s="28"/>
      <c r="ABU748" s="28"/>
      <c r="ABV748" s="28"/>
      <c r="ABW748" s="28"/>
      <c r="ABX748" s="28"/>
      <c r="ABY748" s="28"/>
      <c r="ABZ748" s="28"/>
      <c r="ACA748" s="28"/>
      <c r="ACB748" s="28"/>
      <c r="ACC748" s="28"/>
      <c r="ACD748" s="28"/>
      <c r="ACE748" s="28"/>
      <c r="ACF748" s="28"/>
      <c r="ACG748" s="28"/>
      <c r="ACH748" s="28"/>
      <c r="ACI748" s="28"/>
      <c r="ACJ748" s="28"/>
      <c r="ACK748" s="28"/>
      <c r="ACL748" s="28"/>
      <c r="ACM748" s="28"/>
      <c r="ACN748" s="28"/>
      <c r="ACO748" s="28"/>
      <c r="ACP748" s="28"/>
      <c r="ACQ748" s="28"/>
      <c r="ACR748" s="28"/>
      <c r="ACS748" s="28"/>
      <c r="ACT748" s="28"/>
      <c r="ACU748" s="28"/>
      <c r="ACV748" s="28"/>
      <c r="ACW748" s="28"/>
      <c r="ACX748" s="28"/>
      <c r="ACY748" s="28"/>
      <c r="ACZ748" s="28"/>
      <c r="ADA748" s="28"/>
      <c r="ADB748" s="28"/>
      <c r="ADC748" s="28"/>
      <c r="ADD748" s="28"/>
      <c r="ADE748" s="28"/>
      <c r="ADF748" s="28"/>
      <c r="ADG748" s="28"/>
      <c r="ADH748" s="28"/>
      <c r="ADI748" s="28"/>
      <c r="ADJ748" s="28"/>
      <c r="ADK748" s="28"/>
      <c r="ADL748" s="28"/>
      <c r="ADM748" s="28"/>
      <c r="ADN748" s="28"/>
      <c r="ADO748" s="28"/>
      <c r="ADP748" s="28"/>
      <c r="ADQ748" s="28"/>
      <c r="ADR748" s="28"/>
      <c r="ADS748" s="28"/>
      <c r="ADT748" s="28"/>
      <c r="ADU748" s="28"/>
      <c r="ADV748" s="28"/>
      <c r="ADW748" s="28"/>
      <c r="ADX748" s="28"/>
      <c r="ADY748" s="28"/>
      <c r="ADZ748" s="28"/>
      <c r="AEA748" s="28"/>
      <c r="AEB748" s="28"/>
      <c r="AEC748" s="28"/>
      <c r="AED748" s="28"/>
      <c r="AEE748" s="28"/>
      <c r="AEF748" s="28"/>
      <c r="AEG748" s="28"/>
      <c r="AEH748" s="28"/>
      <c r="AEI748" s="28"/>
      <c r="AEJ748" s="28"/>
      <c r="AEK748" s="28"/>
      <c r="AEL748" s="28"/>
      <c r="AEM748" s="28"/>
      <c r="AEN748" s="28"/>
      <c r="AEO748" s="28"/>
      <c r="AEP748" s="28"/>
      <c r="AEQ748" s="28"/>
      <c r="AER748" s="28"/>
      <c r="AES748" s="28"/>
      <c r="AET748" s="28"/>
      <c r="AEU748" s="28"/>
      <c r="AEV748" s="28"/>
      <c r="AEW748" s="28"/>
      <c r="AEX748" s="28"/>
      <c r="AEY748" s="28"/>
      <c r="AEZ748" s="28"/>
      <c r="AFA748" s="28"/>
      <c r="AFB748" s="28"/>
      <c r="AFC748" s="28"/>
      <c r="AFD748" s="28"/>
      <c r="AFE748" s="28"/>
      <c r="AFF748" s="28"/>
      <c r="AFG748" s="28"/>
      <c r="AFH748" s="28"/>
      <c r="AFI748" s="28"/>
      <c r="AFJ748" s="28"/>
      <c r="AFK748" s="28"/>
      <c r="AFL748" s="28"/>
      <c r="AFM748" s="28"/>
      <c r="AFN748" s="28"/>
      <c r="AFO748" s="28"/>
      <c r="AFP748" s="28"/>
      <c r="AFQ748" s="28"/>
      <c r="AFR748" s="28"/>
      <c r="AFS748" s="28"/>
      <c r="AFT748" s="28"/>
      <c r="AFU748" s="28"/>
      <c r="AFV748" s="28"/>
      <c r="AFW748" s="28"/>
      <c r="AFX748" s="28"/>
      <c r="AFY748" s="28"/>
      <c r="AFZ748" s="28"/>
      <c r="AGA748" s="28"/>
      <c r="AGB748" s="28"/>
      <c r="AGC748" s="28"/>
      <c r="AGD748" s="28"/>
      <c r="AGE748" s="28"/>
      <c r="AGF748" s="28"/>
      <c r="AGG748" s="28"/>
      <c r="AGH748" s="28"/>
      <c r="AGI748" s="28"/>
      <c r="AGJ748" s="28"/>
      <c r="AGK748" s="28"/>
      <c r="AGL748" s="28"/>
      <c r="AGM748" s="28"/>
      <c r="AGN748" s="28"/>
      <c r="AGO748" s="28"/>
      <c r="AGP748" s="28"/>
      <c r="AGQ748" s="28"/>
      <c r="AGR748" s="28"/>
      <c r="AGS748" s="28"/>
      <c r="AGT748" s="28"/>
      <c r="AGU748" s="28"/>
      <c r="AGV748" s="28"/>
      <c r="AGW748" s="28"/>
      <c r="AGX748" s="28"/>
      <c r="AGY748" s="28"/>
      <c r="AGZ748" s="28"/>
      <c r="AHA748" s="28"/>
      <c r="AHB748" s="28"/>
      <c r="AHC748" s="28"/>
      <c r="AHD748" s="28"/>
      <c r="AHE748" s="28"/>
      <c r="AHF748" s="28"/>
      <c r="AHG748" s="28"/>
      <c r="AHH748" s="28"/>
      <c r="AHI748" s="28"/>
      <c r="AHJ748" s="28"/>
      <c r="AHK748" s="28"/>
      <c r="AHL748" s="28"/>
      <c r="AHM748" s="28"/>
      <c r="AHN748" s="28"/>
      <c r="AHO748" s="28"/>
      <c r="AHP748" s="28"/>
      <c r="AHQ748" s="28"/>
      <c r="AHR748" s="28"/>
      <c r="AHS748" s="28"/>
      <c r="AHT748" s="28"/>
      <c r="AHU748" s="28"/>
      <c r="AHV748" s="28"/>
      <c r="AHW748" s="28"/>
      <c r="AHX748" s="28"/>
      <c r="AHY748" s="28"/>
      <c r="AHZ748" s="28"/>
      <c r="AIA748" s="28"/>
      <c r="AIB748" s="28"/>
      <c r="AIC748" s="28"/>
      <c r="AID748" s="28"/>
      <c r="AIE748" s="28"/>
      <c r="AIF748" s="28"/>
      <c r="AIG748" s="28"/>
      <c r="AIH748" s="28"/>
      <c r="AII748" s="28"/>
      <c r="AIJ748" s="28"/>
      <c r="AIK748" s="28"/>
      <c r="AIL748" s="28"/>
      <c r="AIM748" s="28"/>
      <c r="AIN748" s="28"/>
      <c r="AIO748" s="28"/>
      <c r="AIP748" s="28"/>
      <c r="AIQ748" s="28"/>
      <c r="AIR748" s="28"/>
      <c r="AIS748" s="28"/>
      <c r="AIT748" s="28"/>
      <c r="AIU748" s="28"/>
      <c r="AIV748" s="28"/>
      <c r="AIW748" s="28"/>
      <c r="AIX748" s="28"/>
      <c r="AIY748" s="28"/>
      <c r="AIZ748" s="28"/>
      <c r="AJA748" s="28"/>
      <c r="AJB748" s="28"/>
      <c r="AJC748" s="28"/>
      <c r="AJD748" s="28"/>
      <c r="AJE748" s="28"/>
      <c r="AJF748" s="28"/>
      <c r="AJG748" s="28"/>
      <c r="AJH748" s="28"/>
      <c r="AJI748" s="28"/>
      <c r="AJJ748" s="28"/>
      <c r="AJK748" s="28"/>
      <c r="AJL748" s="28"/>
      <c r="AJM748" s="28"/>
      <c r="AJN748" s="28"/>
      <c r="AJO748" s="28"/>
      <c r="AJP748" s="28"/>
      <c r="AJQ748" s="28"/>
      <c r="AJR748" s="28"/>
      <c r="AJS748" s="28"/>
      <c r="AJT748" s="28"/>
      <c r="AJU748" s="28"/>
      <c r="AJV748" s="28"/>
      <c r="AJW748" s="28"/>
      <c r="AJX748" s="28"/>
      <c r="AJY748" s="28"/>
      <c r="AJZ748" s="28"/>
      <c r="AKA748" s="28"/>
      <c r="AKB748" s="28"/>
      <c r="AKC748" s="28"/>
      <c r="AKD748" s="28"/>
      <c r="AKE748" s="28"/>
      <c r="AKF748" s="28"/>
      <c r="AKG748" s="28"/>
      <c r="AKH748" s="28"/>
      <c r="AKI748" s="28"/>
      <c r="AKJ748" s="28"/>
      <c r="AKK748" s="28"/>
      <c r="AKL748" s="28"/>
      <c r="AKM748" s="28"/>
      <c r="AKN748" s="28"/>
      <c r="AKO748" s="28"/>
      <c r="AKP748" s="28"/>
      <c r="AKQ748" s="28"/>
      <c r="AKR748" s="28"/>
      <c r="AKS748" s="28"/>
      <c r="AKT748" s="28"/>
      <c r="AKU748" s="28"/>
      <c r="AKV748" s="28"/>
      <c r="AKW748" s="28"/>
      <c r="AKX748" s="28"/>
      <c r="AKY748" s="28"/>
      <c r="AKZ748" s="28"/>
      <c r="ALA748" s="28"/>
      <c r="ALB748" s="28"/>
      <c r="ALC748" s="28"/>
      <c r="ALD748" s="28"/>
      <c r="ALE748" s="28"/>
      <c r="ALF748" s="28"/>
      <c r="ALG748" s="28"/>
      <c r="ALH748" s="28"/>
      <c r="ALI748" s="28"/>
      <c r="ALJ748" s="28"/>
      <c r="ALK748" s="28"/>
      <c r="ALL748" s="28"/>
      <c r="ALM748" s="28"/>
      <c r="ALN748" s="28"/>
      <c r="ALO748" s="28"/>
      <c r="ALP748" s="28"/>
      <c r="ALQ748" s="28"/>
      <c r="ALR748" s="28"/>
      <c r="ALS748" s="28"/>
      <c r="ALT748" s="28"/>
      <c r="ALU748" s="28"/>
      <c r="ALV748" s="28"/>
      <c r="ALW748" s="28"/>
      <c r="ALX748" s="28"/>
      <c r="ALY748" s="28"/>
      <c r="ALZ748" s="28"/>
      <c r="AMA748" s="28"/>
      <c r="AMB748" s="28"/>
      <c r="AMC748" s="28"/>
      <c r="AMD748" s="28"/>
      <c r="AME748" s="28"/>
      <c r="AMF748" s="28"/>
      <c r="AMG748" s="28"/>
      <c r="AMH748" s="28"/>
      <c r="AMI748" s="28"/>
      <c r="AMJ748" s="28"/>
      <c r="AMK748" s="28"/>
      <c r="AML748" s="28"/>
      <c r="AMM748" s="28"/>
      <c r="AMN748" s="28"/>
      <c r="AMO748" s="28"/>
      <c r="AMP748" s="28"/>
      <c r="AMQ748" s="28"/>
      <c r="AMR748" s="28"/>
      <c r="AMS748" s="28"/>
      <c r="AMT748" s="28"/>
      <c r="AMU748" s="28"/>
      <c r="AMV748" s="28"/>
      <c r="AMW748" s="28"/>
      <c r="AMX748" s="28"/>
      <c r="AMY748" s="28"/>
      <c r="AMZ748" s="28"/>
      <c r="ANA748" s="28"/>
      <c r="ANB748" s="28"/>
      <c r="ANC748" s="28"/>
      <c r="AND748" s="28"/>
      <c r="ANE748" s="28"/>
      <c r="ANF748" s="28"/>
      <c r="ANG748" s="28"/>
      <c r="ANH748" s="28"/>
      <c r="ANI748" s="28"/>
      <c r="ANJ748" s="28"/>
      <c r="ANK748" s="28"/>
      <c r="ANL748" s="28"/>
      <c r="ANM748" s="28"/>
      <c r="ANN748" s="28"/>
      <c r="ANO748" s="28"/>
      <c r="ANP748" s="28"/>
      <c r="ANQ748" s="28"/>
      <c r="ANR748" s="28"/>
      <c r="ANS748" s="28"/>
      <c r="ANT748" s="28"/>
      <c r="ANU748" s="28"/>
      <c r="ANV748" s="28"/>
      <c r="ANW748" s="28"/>
      <c r="ANX748" s="28"/>
      <c r="ANY748" s="28"/>
      <c r="ANZ748" s="28"/>
      <c r="AOA748" s="28"/>
      <c r="AOB748" s="28"/>
      <c r="AOC748" s="28"/>
      <c r="AOD748" s="28"/>
      <c r="AOE748" s="28"/>
      <c r="AOF748" s="28"/>
      <c r="AOG748" s="28"/>
      <c r="AOH748" s="28"/>
      <c r="AOI748" s="28"/>
      <c r="AOJ748" s="28"/>
      <c r="AOK748" s="28"/>
      <c r="AOL748" s="28"/>
      <c r="AOM748" s="28"/>
      <c r="AON748" s="28"/>
      <c r="AOO748" s="28"/>
      <c r="AOP748" s="28"/>
      <c r="AOQ748" s="28"/>
      <c r="AOR748" s="28"/>
      <c r="AOS748" s="28"/>
      <c r="AOT748" s="28"/>
      <c r="AOU748" s="28"/>
      <c r="AOV748" s="28"/>
      <c r="AOW748" s="28"/>
      <c r="AOX748" s="28"/>
      <c r="AOY748" s="28"/>
      <c r="AOZ748" s="28"/>
      <c r="APA748" s="28"/>
      <c r="APB748" s="28"/>
      <c r="APC748" s="28"/>
      <c r="APD748" s="28"/>
      <c r="APE748" s="28"/>
      <c r="APF748" s="28"/>
      <c r="APG748" s="28"/>
      <c r="APH748" s="28"/>
      <c r="API748" s="28"/>
      <c r="APJ748" s="28"/>
      <c r="APK748" s="28"/>
      <c r="APL748" s="28"/>
      <c r="APM748" s="28"/>
      <c r="APN748" s="28"/>
      <c r="APO748" s="28"/>
      <c r="APP748" s="28"/>
      <c r="APQ748" s="28"/>
      <c r="APR748" s="28"/>
      <c r="APS748" s="28"/>
      <c r="APT748" s="28"/>
      <c r="APU748" s="28"/>
      <c r="APV748" s="28"/>
      <c r="APW748" s="28"/>
      <c r="APX748" s="28"/>
      <c r="APY748" s="28"/>
      <c r="APZ748" s="28"/>
      <c r="AQA748" s="28"/>
      <c r="AQB748" s="28"/>
      <c r="AQC748" s="28"/>
      <c r="AQD748" s="28"/>
      <c r="AQE748" s="28"/>
      <c r="AQF748" s="28"/>
      <c r="AQG748" s="28"/>
      <c r="AQH748" s="28"/>
      <c r="AQI748" s="28"/>
      <c r="AQJ748" s="28"/>
      <c r="AQK748" s="28"/>
      <c r="AQL748" s="28"/>
      <c r="AQM748" s="28"/>
      <c r="AQN748" s="28"/>
      <c r="AQO748" s="28"/>
      <c r="AQP748" s="28"/>
      <c r="AQQ748" s="28"/>
      <c r="AQR748" s="28"/>
      <c r="AQS748" s="28"/>
      <c r="AQT748" s="28"/>
      <c r="AQU748" s="28"/>
      <c r="AQV748" s="28"/>
      <c r="AQW748" s="28"/>
      <c r="AQX748" s="28"/>
      <c r="AQY748" s="28"/>
      <c r="AQZ748" s="28"/>
      <c r="ARA748" s="28"/>
      <c r="ARB748" s="28"/>
      <c r="ARC748" s="28"/>
      <c r="ARD748" s="28"/>
      <c r="ARE748" s="28"/>
      <c r="ARF748" s="28"/>
      <c r="ARG748" s="28"/>
      <c r="ARH748" s="28"/>
      <c r="ARI748" s="28"/>
      <c r="ARJ748" s="28"/>
      <c r="ARK748" s="28"/>
      <c r="ARL748" s="28"/>
      <c r="ARM748" s="28"/>
      <c r="ARN748" s="28"/>
      <c r="ARO748" s="28"/>
      <c r="ARP748" s="28"/>
      <c r="ARQ748" s="28"/>
      <c r="ARR748" s="28"/>
      <c r="ARS748" s="28"/>
      <c r="ART748" s="28"/>
      <c r="ARU748" s="28"/>
      <c r="ARV748" s="28"/>
      <c r="ARW748" s="28"/>
      <c r="ARX748" s="28"/>
      <c r="ARY748" s="28"/>
      <c r="ARZ748" s="28"/>
      <c r="ASA748" s="28"/>
      <c r="ASB748" s="28"/>
      <c r="ASC748" s="28"/>
      <c r="ASD748" s="28"/>
      <c r="ASE748" s="28"/>
      <c r="ASF748" s="28"/>
      <c r="ASG748" s="28"/>
      <c r="ASH748" s="28"/>
      <c r="ASI748" s="28"/>
      <c r="ASJ748" s="28"/>
      <c r="ASK748" s="28"/>
      <c r="ASL748" s="28"/>
      <c r="ASM748" s="28"/>
      <c r="ASN748" s="28"/>
      <c r="ASO748" s="28"/>
      <c r="ASP748" s="28"/>
      <c r="ASQ748" s="28"/>
      <c r="ASR748" s="28"/>
      <c r="ASS748" s="28"/>
      <c r="AST748" s="28"/>
      <c r="ASU748" s="28"/>
      <c r="ASV748" s="28"/>
      <c r="ASW748" s="28"/>
      <c r="ASX748" s="28"/>
      <c r="ASY748" s="28"/>
      <c r="ASZ748" s="28"/>
      <c r="ATA748" s="28"/>
      <c r="ATB748" s="28"/>
      <c r="ATC748" s="28"/>
      <c r="ATD748" s="28"/>
      <c r="ATE748" s="28"/>
      <c r="ATF748" s="28"/>
      <c r="ATG748" s="28"/>
      <c r="ATH748" s="28"/>
      <c r="ATI748" s="28"/>
      <c r="ATJ748" s="28"/>
      <c r="ATK748" s="28"/>
      <c r="ATL748" s="28"/>
      <c r="ATM748" s="28"/>
      <c r="ATN748" s="28"/>
      <c r="ATO748" s="28"/>
      <c r="ATP748" s="28"/>
      <c r="ATQ748" s="28"/>
      <c r="ATR748" s="28"/>
      <c r="ATS748" s="28"/>
      <c r="ATT748" s="28"/>
      <c r="ATU748" s="28"/>
      <c r="ATV748" s="28"/>
      <c r="ATW748" s="28"/>
      <c r="ATX748" s="28"/>
      <c r="ATY748" s="28"/>
      <c r="ATZ748" s="28"/>
      <c r="AUA748" s="28"/>
      <c r="AUB748" s="28"/>
      <c r="AUC748" s="28"/>
      <c r="AUD748" s="28"/>
      <c r="AUE748" s="28"/>
      <c r="AUF748" s="28"/>
      <c r="AUG748" s="28"/>
      <c r="AUH748" s="28"/>
      <c r="AUI748" s="28"/>
      <c r="AUJ748" s="28"/>
      <c r="AUK748" s="28"/>
      <c r="AUL748" s="28"/>
      <c r="AUM748" s="28"/>
      <c r="AUN748" s="28"/>
      <c r="AUO748" s="28"/>
      <c r="AUP748" s="28"/>
      <c r="AUQ748" s="28"/>
      <c r="AUR748" s="28"/>
      <c r="AUS748" s="28"/>
      <c r="AUT748" s="28"/>
      <c r="AUU748" s="28"/>
      <c r="AUV748" s="28"/>
      <c r="AUW748" s="28"/>
      <c r="AUX748" s="28"/>
      <c r="AUY748" s="28"/>
      <c r="AUZ748" s="28"/>
      <c r="AVA748" s="28"/>
      <c r="AVB748" s="28"/>
      <c r="AVC748" s="28"/>
      <c r="AVD748" s="28"/>
      <c r="AVE748" s="28"/>
      <c r="AVF748" s="28"/>
      <c r="AVG748" s="28"/>
      <c r="AVH748" s="28"/>
      <c r="AVI748" s="28"/>
      <c r="AVJ748" s="28"/>
      <c r="AVK748" s="28"/>
      <c r="AVL748" s="28"/>
      <c r="AVM748" s="28"/>
      <c r="AVN748" s="28"/>
      <c r="AVO748" s="28"/>
      <c r="AVP748" s="28"/>
      <c r="AVQ748" s="28"/>
      <c r="AVR748" s="28"/>
      <c r="AVS748" s="28"/>
      <c r="AVT748" s="28"/>
      <c r="AVU748" s="28"/>
      <c r="AVV748" s="28"/>
      <c r="AVW748" s="28"/>
      <c r="AVX748" s="28"/>
      <c r="AVY748" s="28"/>
      <c r="AVZ748" s="28"/>
      <c r="AWA748" s="28"/>
      <c r="AWB748" s="28"/>
      <c r="AWC748" s="28"/>
      <c r="AWD748" s="28"/>
      <c r="AWE748" s="28"/>
      <c r="AWF748" s="28"/>
      <c r="AWG748" s="28"/>
      <c r="AWH748" s="28"/>
      <c r="AWI748" s="28"/>
      <c r="AWJ748" s="28"/>
      <c r="AWK748" s="28"/>
      <c r="AWL748" s="28"/>
      <c r="AWM748" s="28"/>
      <c r="AWN748" s="28"/>
      <c r="AWO748" s="28"/>
      <c r="AWP748" s="28"/>
      <c r="AWQ748" s="28"/>
      <c r="AWR748" s="28"/>
      <c r="AWS748" s="28"/>
      <c r="AWT748" s="28"/>
      <c r="AWU748" s="28"/>
      <c r="AWV748" s="28"/>
      <c r="AWW748" s="28"/>
      <c r="AWX748" s="28"/>
      <c r="AWY748" s="28"/>
      <c r="AWZ748" s="28"/>
      <c r="AXA748" s="28"/>
      <c r="AXB748" s="28"/>
      <c r="AXC748" s="28"/>
      <c r="AXD748" s="28"/>
      <c r="AXE748" s="28"/>
      <c r="AXF748" s="28"/>
      <c r="AXG748" s="28"/>
      <c r="AXH748" s="28"/>
      <c r="AXI748" s="28"/>
      <c r="AXJ748" s="28"/>
      <c r="AXK748" s="28"/>
      <c r="AXL748" s="28"/>
      <c r="AXM748" s="28"/>
      <c r="AXN748" s="28"/>
      <c r="AXO748" s="28"/>
      <c r="AXP748" s="28"/>
      <c r="AXQ748" s="28"/>
      <c r="AXR748" s="28"/>
      <c r="AXS748" s="28"/>
      <c r="AXT748" s="28"/>
      <c r="AXU748" s="28"/>
      <c r="AXV748" s="28"/>
      <c r="AXW748" s="28"/>
      <c r="AXX748" s="28"/>
      <c r="AXY748" s="28"/>
      <c r="AXZ748" s="28"/>
      <c r="AYA748" s="28"/>
      <c r="AYB748" s="28"/>
      <c r="AYC748" s="28"/>
      <c r="AYD748" s="28"/>
      <c r="AYE748" s="28"/>
      <c r="AYF748" s="28"/>
      <c r="AYG748" s="28"/>
      <c r="AYH748" s="28"/>
      <c r="AYI748" s="28"/>
      <c r="AYJ748" s="28"/>
      <c r="AYK748" s="28"/>
      <c r="AYL748" s="28"/>
      <c r="AYM748" s="28"/>
      <c r="AYN748" s="28"/>
      <c r="AYO748" s="28"/>
      <c r="AYP748" s="28"/>
      <c r="AYQ748" s="28"/>
      <c r="AYR748" s="28"/>
      <c r="AYS748" s="28"/>
      <c r="AYT748" s="28"/>
      <c r="AYU748" s="28"/>
      <c r="AYV748" s="28"/>
      <c r="AYW748" s="28"/>
      <c r="AYX748" s="28"/>
      <c r="AYY748" s="28"/>
      <c r="AYZ748" s="28"/>
      <c r="AZA748" s="28"/>
      <c r="AZB748" s="28"/>
      <c r="AZC748" s="28"/>
      <c r="AZD748" s="28"/>
      <c r="AZE748" s="28"/>
      <c r="AZF748" s="28"/>
      <c r="AZG748" s="28"/>
      <c r="AZH748" s="28"/>
      <c r="AZI748" s="28"/>
      <c r="AZJ748" s="28"/>
      <c r="AZK748" s="28"/>
      <c r="AZL748" s="28"/>
      <c r="AZM748" s="28"/>
      <c r="AZN748" s="28"/>
      <c r="AZO748" s="28"/>
      <c r="AZP748" s="28"/>
      <c r="AZQ748" s="28"/>
      <c r="AZR748" s="28"/>
      <c r="AZS748" s="28"/>
      <c r="AZT748" s="28"/>
      <c r="AZU748" s="28"/>
      <c r="AZV748" s="28"/>
      <c r="AZW748" s="28"/>
      <c r="AZX748" s="28"/>
      <c r="AZY748" s="28"/>
      <c r="AZZ748" s="28"/>
      <c r="BAA748" s="28"/>
      <c r="BAB748" s="28"/>
      <c r="BAC748" s="28"/>
      <c r="BAD748" s="28"/>
      <c r="BAE748" s="28"/>
      <c r="BAF748" s="28"/>
      <c r="BAG748" s="28"/>
      <c r="BAH748" s="28"/>
      <c r="BAI748" s="28"/>
      <c r="BAJ748" s="28"/>
      <c r="BAK748" s="28"/>
      <c r="BAL748" s="28"/>
      <c r="BAM748" s="28"/>
      <c r="BAN748" s="28"/>
      <c r="BAO748" s="28"/>
      <c r="BAP748" s="28"/>
      <c r="BAQ748" s="28"/>
      <c r="BAR748" s="28"/>
      <c r="BAS748" s="28"/>
      <c r="BAT748" s="28"/>
      <c r="BAU748" s="28"/>
      <c r="BAV748" s="28"/>
      <c r="BAW748" s="28"/>
      <c r="BAX748" s="28"/>
      <c r="BAY748" s="28"/>
      <c r="BAZ748" s="28"/>
      <c r="BBA748" s="28"/>
      <c r="BBB748" s="28"/>
      <c r="BBC748" s="28"/>
      <c r="BBD748" s="28"/>
      <c r="BBE748" s="28"/>
      <c r="BBF748" s="28"/>
      <c r="BBG748" s="28"/>
      <c r="BBH748" s="28"/>
      <c r="BBI748" s="28"/>
      <c r="BBJ748" s="28"/>
      <c r="BBK748" s="28"/>
      <c r="BBL748" s="28"/>
      <c r="BBM748" s="28"/>
      <c r="BBN748" s="28"/>
      <c r="BBO748" s="28"/>
      <c r="BBP748" s="28"/>
      <c r="BBQ748" s="28"/>
      <c r="BBR748" s="28"/>
      <c r="BBS748" s="28"/>
      <c r="BBT748" s="28"/>
      <c r="BBU748" s="28"/>
      <c r="BBV748" s="28"/>
      <c r="BBW748" s="28"/>
      <c r="BBX748" s="28"/>
      <c r="BBY748" s="28"/>
      <c r="BBZ748" s="28"/>
      <c r="BCA748" s="28"/>
      <c r="BCB748" s="28"/>
      <c r="BCC748" s="28"/>
      <c r="BCD748" s="28"/>
      <c r="BCE748" s="28"/>
      <c r="BCF748" s="28"/>
      <c r="BCG748" s="28"/>
      <c r="BCH748" s="28"/>
      <c r="BCI748" s="28"/>
      <c r="BCJ748" s="28"/>
      <c r="BCK748" s="28"/>
      <c r="BCL748" s="28"/>
      <c r="BCM748" s="28"/>
      <c r="BCN748" s="28"/>
      <c r="BCO748" s="28"/>
      <c r="BCP748" s="28"/>
      <c r="BCQ748" s="28"/>
      <c r="BCR748" s="28"/>
      <c r="BCS748" s="28"/>
      <c r="BCT748" s="28"/>
      <c r="BCU748" s="28"/>
      <c r="BCV748" s="28"/>
      <c r="BCW748" s="28"/>
      <c r="BCX748" s="28"/>
      <c r="BCY748" s="28"/>
      <c r="BCZ748" s="28"/>
      <c r="BDA748" s="28"/>
      <c r="BDB748" s="28"/>
      <c r="BDC748" s="28"/>
      <c r="BDD748" s="28"/>
      <c r="BDE748" s="28"/>
      <c r="BDF748" s="28"/>
      <c r="BDG748" s="28"/>
      <c r="BDH748" s="28"/>
      <c r="BDI748" s="28"/>
      <c r="BDJ748" s="28"/>
      <c r="BDK748" s="28"/>
      <c r="BDL748" s="28"/>
      <c r="BDM748" s="28"/>
      <c r="BDN748" s="28"/>
      <c r="BDO748" s="28"/>
      <c r="BDP748" s="28"/>
      <c r="BDQ748" s="28"/>
      <c r="BDR748" s="28"/>
      <c r="BDS748" s="28"/>
      <c r="BDT748" s="28"/>
      <c r="BDU748" s="28"/>
      <c r="BDV748" s="28"/>
      <c r="BDW748" s="28"/>
      <c r="BDX748" s="28"/>
      <c r="BDY748" s="28"/>
      <c r="BDZ748" s="28"/>
      <c r="BEA748" s="28"/>
      <c r="BEB748" s="28"/>
      <c r="BEC748" s="28"/>
      <c r="BED748" s="28"/>
      <c r="BEE748" s="28"/>
      <c r="BEF748" s="28"/>
      <c r="BEG748" s="28"/>
      <c r="BEH748" s="28"/>
      <c r="BEI748" s="28"/>
      <c r="BEJ748" s="28"/>
      <c r="BEK748" s="28"/>
      <c r="BEL748" s="28"/>
      <c r="BEM748" s="28"/>
      <c r="BEN748" s="28"/>
      <c r="BEO748" s="28"/>
      <c r="BEP748" s="28"/>
      <c r="BEQ748" s="28"/>
      <c r="BER748" s="28"/>
      <c r="BES748" s="28"/>
      <c r="BET748" s="28"/>
      <c r="BEU748" s="28"/>
      <c r="BEV748" s="28"/>
      <c r="BEW748" s="28"/>
      <c r="BEX748" s="28"/>
      <c r="BEY748" s="28"/>
      <c r="BEZ748" s="28"/>
      <c r="BFA748" s="28"/>
      <c r="BFB748" s="28"/>
      <c r="BFC748" s="28"/>
      <c r="BFD748" s="28"/>
      <c r="BFE748" s="28"/>
      <c r="BFF748" s="28"/>
      <c r="BFG748" s="28"/>
      <c r="BFH748" s="28"/>
      <c r="BFI748" s="28"/>
      <c r="BFJ748" s="28"/>
      <c r="BFK748" s="28"/>
      <c r="BFL748" s="28"/>
      <c r="BFM748" s="28"/>
      <c r="BFN748" s="28"/>
      <c r="BFO748" s="28"/>
      <c r="BFP748" s="28"/>
      <c r="BFQ748" s="28"/>
      <c r="BFR748" s="28"/>
      <c r="BFS748" s="28"/>
      <c r="BFT748" s="28"/>
      <c r="BFU748" s="28"/>
      <c r="BFV748" s="28"/>
      <c r="BFW748" s="28"/>
      <c r="BFX748" s="28"/>
      <c r="BFY748" s="28"/>
      <c r="BFZ748" s="28"/>
      <c r="BGA748" s="28"/>
      <c r="BGB748" s="28"/>
      <c r="BGC748" s="28"/>
      <c r="BGD748" s="28"/>
      <c r="BGE748" s="28"/>
      <c r="BGF748" s="28"/>
      <c r="BGG748" s="28"/>
      <c r="BGH748" s="28"/>
      <c r="BGI748" s="28"/>
      <c r="BGJ748" s="28"/>
      <c r="BGK748" s="28"/>
      <c r="BGL748" s="28"/>
      <c r="BGM748" s="28"/>
      <c r="BGN748" s="28"/>
      <c r="BGO748" s="28"/>
      <c r="BGP748" s="28"/>
      <c r="BGQ748" s="28"/>
      <c r="BGR748" s="28"/>
      <c r="BGS748" s="28"/>
      <c r="BGT748" s="28"/>
      <c r="BGU748" s="28"/>
      <c r="BGV748" s="28"/>
      <c r="BGW748" s="28"/>
      <c r="BGX748" s="28"/>
      <c r="BGY748" s="28"/>
      <c r="BGZ748" s="28"/>
      <c r="BHA748" s="28"/>
      <c r="BHB748" s="28"/>
      <c r="BHC748" s="28"/>
      <c r="BHD748" s="28"/>
      <c r="BHE748" s="28"/>
      <c r="BHF748" s="28"/>
      <c r="BHG748" s="28"/>
      <c r="BHH748" s="28"/>
      <c r="BHI748" s="28"/>
      <c r="BHJ748" s="28"/>
      <c r="BHK748" s="28"/>
      <c r="BHL748" s="28"/>
      <c r="BHM748" s="28"/>
      <c r="BHN748" s="28"/>
      <c r="BHO748" s="28"/>
      <c r="BHP748" s="28"/>
      <c r="BHQ748" s="28"/>
      <c r="BHR748" s="28"/>
      <c r="BHS748" s="28"/>
      <c r="BHT748" s="28"/>
      <c r="BHU748" s="28"/>
      <c r="BHV748" s="28"/>
      <c r="BHW748" s="28"/>
      <c r="BHX748" s="28"/>
      <c r="BHY748" s="28"/>
      <c r="BHZ748" s="28"/>
      <c r="BIA748" s="28"/>
      <c r="BIB748" s="28"/>
      <c r="BIC748" s="28"/>
      <c r="BID748" s="28"/>
      <c r="BIE748" s="28"/>
      <c r="BIF748" s="28"/>
      <c r="BIG748" s="28"/>
      <c r="BIH748" s="28"/>
      <c r="BII748" s="28"/>
      <c r="BIJ748" s="28"/>
      <c r="BIK748" s="28"/>
      <c r="BIL748" s="28"/>
      <c r="BIM748" s="28"/>
      <c r="BIN748" s="28"/>
      <c r="BIO748" s="28"/>
      <c r="BIP748" s="28"/>
      <c r="BIQ748" s="28"/>
      <c r="BIR748" s="28"/>
      <c r="BIS748" s="28"/>
      <c r="BIT748" s="28"/>
      <c r="BIU748" s="28"/>
      <c r="BIV748" s="28"/>
      <c r="BIW748" s="28"/>
      <c r="BIX748" s="28"/>
      <c r="BIY748" s="28"/>
      <c r="BIZ748" s="28"/>
      <c r="BJA748" s="28"/>
      <c r="BJB748" s="28"/>
      <c r="BJC748" s="28"/>
      <c r="BJD748" s="28"/>
      <c r="BJE748" s="28"/>
      <c r="BJF748" s="28"/>
      <c r="BJG748" s="28"/>
      <c r="BJH748" s="28"/>
      <c r="BJI748" s="28"/>
      <c r="BJJ748" s="28"/>
      <c r="BJK748" s="28"/>
      <c r="BJL748" s="28"/>
      <c r="BJM748" s="28"/>
      <c r="BJN748" s="28"/>
      <c r="BJO748" s="28"/>
      <c r="BJP748" s="28"/>
      <c r="BJQ748" s="28"/>
      <c r="BJR748" s="28"/>
      <c r="BJS748" s="28"/>
      <c r="BJT748" s="28"/>
      <c r="BJU748" s="28"/>
      <c r="BJV748" s="28"/>
      <c r="BJW748" s="28"/>
      <c r="BJX748" s="28"/>
      <c r="BJY748" s="28"/>
      <c r="BJZ748" s="28"/>
      <c r="BKA748" s="28"/>
      <c r="BKB748" s="28"/>
      <c r="BKC748" s="28"/>
      <c r="BKD748" s="28"/>
      <c r="BKE748" s="28"/>
      <c r="BKF748" s="28"/>
      <c r="BKG748" s="28"/>
      <c r="BKH748" s="28"/>
      <c r="BKI748" s="28"/>
      <c r="BKJ748" s="28"/>
      <c r="BKK748" s="28"/>
      <c r="BKL748" s="28"/>
      <c r="BKM748" s="28"/>
      <c r="BKN748" s="28"/>
      <c r="BKO748" s="28"/>
      <c r="BKP748" s="28"/>
      <c r="BKQ748" s="28"/>
      <c r="BKR748" s="28"/>
      <c r="BKS748" s="28"/>
      <c r="BKT748" s="28"/>
      <c r="BKU748" s="28"/>
      <c r="BKV748" s="28"/>
      <c r="BKW748" s="28"/>
      <c r="BKX748" s="28"/>
      <c r="BKY748" s="28"/>
      <c r="BKZ748" s="28"/>
      <c r="BLA748" s="28"/>
      <c r="BLB748" s="28"/>
      <c r="BLC748" s="28"/>
      <c r="BLD748" s="28"/>
      <c r="BLE748" s="28"/>
      <c r="BLF748" s="28"/>
      <c r="BLG748" s="28"/>
      <c r="BLH748" s="28"/>
      <c r="BLI748" s="28"/>
      <c r="BLJ748" s="28"/>
      <c r="BLK748" s="28"/>
      <c r="BLL748" s="28"/>
      <c r="BLM748" s="28"/>
      <c r="BLN748" s="28"/>
      <c r="BLO748" s="28"/>
      <c r="BLP748" s="28"/>
      <c r="BLQ748" s="28"/>
      <c r="BLR748" s="28"/>
      <c r="BLS748" s="28"/>
      <c r="BLT748" s="28"/>
      <c r="BLU748" s="28"/>
      <c r="BLV748" s="28"/>
      <c r="BLW748" s="28"/>
      <c r="BLX748" s="28"/>
      <c r="BLY748" s="28"/>
      <c r="BLZ748" s="28"/>
      <c r="BMA748" s="28"/>
      <c r="BMB748" s="28"/>
      <c r="BMC748" s="28"/>
      <c r="BMD748" s="28"/>
      <c r="BME748" s="28"/>
      <c r="BMF748" s="28"/>
      <c r="BMG748" s="28"/>
      <c r="BMH748" s="28"/>
      <c r="BMI748" s="28"/>
      <c r="BMJ748" s="28"/>
      <c r="BMK748" s="28"/>
      <c r="BML748" s="28"/>
      <c r="BMM748" s="28"/>
      <c r="BMN748" s="28"/>
      <c r="BMO748" s="28"/>
      <c r="BMP748" s="28"/>
      <c r="BMQ748" s="28"/>
      <c r="BMR748" s="28"/>
      <c r="BMS748" s="28"/>
      <c r="BMT748" s="28"/>
      <c r="BMU748" s="28"/>
      <c r="BMV748" s="28"/>
      <c r="BMW748" s="28"/>
      <c r="BMX748" s="28"/>
      <c r="BMY748" s="28"/>
      <c r="BMZ748" s="28"/>
      <c r="BNA748" s="28"/>
      <c r="BNB748" s="28"/>
      <c r="BNC748" s="28"/>
      <c r="BND748" s="28"/>
      <c r="BNE748" s="28"/>
      <c r="BNF748" s="28"/>
      <c r="BNG748" s="28"/>
      <c r="BNH748" s="28"/>
      <c r="BNI748" s="28"/>
      <c r="BNJ748" s="28"/>
      <c r="BNK748" s="28"/>
      <c r="BNL748" s="28"/>
      <c r="BNM748" s="28"/>
      <c r="BNN748" s="28"/>
      <c r="BNO748" s="28"/>
      <c r="BNP748" s="28"/>
      <c r="BNQ748" s="28"/>
      <c r="BNR748" s="28"/>
      <c r="BNS748" s="28"/>
      <c r="BNT748" s="28"/>
      <c r="BNU748" s="28"/>
      <c r="BNV748" s="28"/>
      <c r="BNW748" s="28"/>
      <c r="BNX748" s="28"/>
      <c r="BNY748" s="28"/>
      <c r="BNZ748" s="28"/>
      <c r="BOA748" s="28"/>
      <c r="BOB748" s="28"/>
      <c r="BOC748" s="28"/>
      <c r="BOD748" s="28"/>
      <c r="BOE748" s="28"/>
      <c r="BOF748" s="28"/>
      <c r="BOG748" s="28"/>
      <c r="BOH748" s="28"/>
      <c r="BOI748" s="28"/>
      <c r="BOJ748" s="28"/>
      <c r="BOK748" s="28"/>
      <c r="BOL748" s="28"/>
      <c r="BOM748" s="28"/>
      <c r="BON748" s="28"/>
      <c r="BOO748" s="28"/>
      <c r="BOP748" s="28"/>
      <c r="BOQ748" s="28"/>
      <c r="BOR748" s="28"/>
      <c r="BOS748" s="28"/>
      <c r="BOT748" s="28"/>
      <c r="BOU748" s="28"/>
      <c r="BOV748" s="28"/>
      <c r="BOW748" s="28"/>
      <c r="BOX748" s="28"/>
      <c r="BOY748" s="28"/>
      <c r="BOZ748" s="28"/>
      <c r="BPA748" s="28"/>
      <c r="BPB748" s="28"/>
      <c r="BPC748" s="28"/>
      <c r="BPD748" s="28"/>
      <c r="BPE748" s="28"/>
      <c r="BPF748" s="28"/>
      <c r="BPG748" s="28"/>
      <c r="BPH748" s="28"/>
      <c r="BPI748" s="28"/>
      <c r="BPJ748" s="28"/>
      <c r="BPK748" s="28"/>
      <c r="BPL748" s="28"/>
      <c r="BPM748" s="28"/>
      <c r="BPN748" s="28"/>
      <c r="BPO748" s="28"/>
      <c r="BPP748" s="28"/>
      <c r="BPQ748" s="28"/>
      <c r="BPR748" s="28"/>
      <c r="BPS748" s="28"/>
      <c r="BPT748" s="28"/>
      <c r="BPU748" s="28"/>
      <c r="BPV748" s="28"/>
      <c r="BPW748" s="28"/>
      <c r="BPX748" s="28"/>
      <c r="BPY748" s="28"/>
      <c r="BPZ748" s="28"/>
      <c r="BQA748" s="28"/>
      <c r="BQB748" s="28"/>
      <c r="BQC748" s="28"/>
      <c r="BQD748" s="28"/>
      <c r="BQE748" s="28"/>
      <c r="BQF748" s="28"/>
      <c r="BQG748" s="28"/>
      <c r="BQH748" s="28"/>
      <c r="BQI748" s="28"/>
      <c r="BQJ748" s="28"/>
      <c r="BQK748" s="28"/>
      <c r="BQL748" s="28"/>
      <c r="BQM748" s="28"/>
      <c r="BQN748" s="28"/>
      <c r="BQO748" s="28"/>
      <c r="BQP748" s="28"/>
      <c r="BQQ748" s="28"/>
      <c r="BQR748" s="28"/>
      <c r="BQS748" s="28"/>
      <c r="BQT748" s="28"/>
      <c r="BQU748" s="28"/>
      <c r="BQV748" s="28"/>
      <c r="BQW748" s="28"/>
      <c r="BQX748" s="28"/>
      <c r="BQY748" s="28"/>
      <c r="BQZ748" s="28"/>
      <c r="BRA748" s="28"/>
      <c r="BRB748" s="28"/>
      <c r="BRC748" s="28"/>
      <c r="BRD748" s="28"/>
      <c r="BRE748" s="28"/>
      <c r="BRF748" s="28"/>
      <c r="BRG748" s="28"/>
      <c r="BRH748" s="28"/>
      <c r="BRI748" s="28"/>
      <c r="BRJ748" s="28"/>
      <c r="BRK748" s="28"/>
      <c r="BRL748" s="28"/>
      <c r="BRM748" s="28"/>
      <c r="BRN748" s="28"/>
      <c r="BRO748" s="28"/>
      <c r="BRP748" s="28"/>
      <c r="BRQ748" s="28"/>
      <c r="BRR748" s="28"/>
      <c r="BRS748" s="28"/>
      <c r="BRT748" s="28"/>
      <c r="BRU748" s="28"/>
      <c r="BRV748" s="28"/>
      <c r="BRW748" s="28"/>
      <c r="BRX748" s="28"/>
      <c r="BRY748" s="28"/>
      <c r="BRZ748" s="28"/>
      <c r="BSA748" s="28"/>
      <c r="BSB748" s="28"/>
      <c r="BSC748" s="28"/>
      <c r="BSD748" s="28"/>
      <c r="BSE748" s="28"/>
      <c r="BSF748" s="28"/>
      <c r="BSG748" s="28"/>
      <c r="BSH748" s="28"/>
      <c r="BSI748" s="28"/>
      <c r="BSJ748" s="28"/>
      <c r="BSK748" s="28"/>
      <c r="BSL748" s="28"/>
      <c r="BSM748" s="28"/>
      <c r="BSN748" s="28"/>
      <c r="BSO748" s="28"/>
      <c r="BSP748" s="28"/>
      <c r="BSQ748" s="28"/>
      <c r="BSR748" s="28"/>
      <c r="BSS748" s="28"/>
      <c r="BST748" s="28"/>
      <c r="BSU748" s="28"/>
      <c r="BSV748" s="28"/>
      <c r="BSW748" s="28"/>
      <c r="BSX748" s="28"/>
      <c r="BSY748" s="28"/>
      <c r="BSZ748" s="28"/>
      <c r="BTA748" s="28"/>
      <c r="BTB748" s="28"/>
      <c r="BTC748" s="28"/>
      <c r="BTD748" s="28"/>
      <c r="BTE748" s="28"/>
      <c r="BTF748" s="28"/>
      <c r="BTG748" s="28"/>
      <c r="BTH748" s="28"/>
      <c r="BTI748" s="28"/>
      <c r="BTJ748" s="28"/>
      <c r="BTK748" s="28"/>
      <c r="BTL748" s="28"/>
      <c r="BTM748" s="28"/>
      <c r="BTN748" s="28"/>
      <c r="BTO748" s="28"/>
      <c r="BTP748" s="28"/>
      <c r="BTQ748" s="28"/>
      <c r="BTR748" s="28"/>
      <c r="BTS748" s="28"/>
      <c r="BTT748" s="28"/>
      <c r="BTU748" s="28"/>
      <c r="BTV748" s="28"/>
      <c r="BTW748" s="28"/>
      <c r="BTX748" s="28"/>
      <c r="BTY748" s="28"/>
      <c r="BTZ748" s="28"/>
      <c r="BUA748" s="28"/>
      <c r="BUB748" s="28"/>
      <c r="BUC748" s="28"/>
      <c r="BUD748" s="28"/>
      <c r="BUE748" s="28"/>
      <c r="BUF748" s="28"/>
      <c r="BUG748" s="28"/>
      <c r="BUH748" s="28"/>
      <c r="BUI748" s="28"/>
      <c r="BUJ748" s="28"/>
      <c r="BUK748" s="28"/>
      <c r="BUL748" s="28"/>
      <c r="BUM748" s="28"/>
      <c r="BUN748" s="28"/>
      <c r="BUO748" s="28"/>
      <c r="BUP748" s="28"/>
      <c r="BUQ748" s="28"/>
      <c r="BUR748" s="28"/>
      <c r="BUS748" s="28"/>
      <c r="BUT748" s="28"/>
      <c r="BUU748" s="28"/>
      <c r="BUV748" s="28"/>
      <c r="BUW748" s="28"/>
      <c r="BUX748" s="28"/>
      <c r="BUY748" s="28"/>
      <c r="BUZ748" s="28"/>
      <c r="BVA748" s="28"/>
      <c r="BVB748" s="28"/>
      <c r="BVC748" s="28"/>
      <c r="BVD748" s="28"/>
      <c r="BVE748" s="28"/>
      <c r="BVF748" s="28"/>
      <c r="BVG748" s="28"/>
      <c r="BVH748" s="28"/>
      <c r="BVI748" s="28"/>
      <c r="BVJ748" s="28"/>
      <c r="BVK748" s="28"/>
      <c r="BVL748" s="28"/>
      <c r="BVM748" s="28"/>
      <c r="BVN748" s="28"/>
      <c r="BVO748" s="28"/>
      <c r="BVP748" s="28"/>
      <c r="BVQ748" s="28"/>
      <c r="BVR748" s="28"/>
      <c r="BVS748" s="28"/>
      <c r="BVT748" s="28"/>
      <c r="BVU748" s="28"/>
      <c r="BVV748" s="28"/>
      <c r="BVW748" s="28"/>
      <c r="BVX748" s="28"/>
      <c r="BVY748" s="28"/>
      <c r="BVZ748" s="28"/>
      <c r="BWA748" s="28"/>
      <c r="BWB748" s="28"/>
      <c r="BWC748" s="28"/>
      <c r="BWD748" s="28"/>
      <c r="BWE748" s="28"/>
      <c r="BWF748" s="28"/>
      <c r="BWG748" s="28"/>
      <c r="BWH748" s="28"/>
      <c r="BWI748" s="28"/>
      <c r="BWJ748" s="28"/>
      <c r="BWK748" s="28"/>
      <c r="BWL748" s="28"/>
      <c r="BWM748" s="28"/>
      <c r="BWN748" s="28"/>
      <c r="BWO748" s="28"/>
      <c r="BWP748" s="28"/>
      <c r="BWQ748" s="28"/>
      <c r="BWR748" s="28"/>
      <c r="BWS748" s="28"/>
      <c r="BWT748" s="28"/>
      <c r="BWU748" s="28"/>
      <c r="BWV748" s="28"/>
      <c r="BWW748" s="28"/>
      <c r="BWX748" s="28"/>
      <c r="BWY748" s="28"/>
      <c r="BWZ748" s="28"/>
      <c r="BXA748" s="28"/>
      <c r="BXB748" s="28"/>
      <c r="BXC748" s="28"/>
      <c r="BXD748" s="28"/>
      <c r="BXE748" s="28"/>
      <c r="BXF748" s="28"/>
      <c r="BXG748" s="28"/>
      <c r="BXH748" s="28"/>
      <c r="BXI748" s="28"/>
      <c r="BXJ748" s="28"/>
      <c r="BXK748" s="28"/>
      <c r="BXL748" s="28"/>
      <c r="BXM748" s="28"/>
      <c r="BXN748" s="28"/>
      <c r="BXO748" s="28"/>
      <c r="BXP748" s="28"/>
      <c r="BXQ748" s="28"/>
      <c r="BXR748" s="28"/>
      <c r="BXS748" s="28"/>
      <c r="BXT748" s="28"/>
      <c r="BXU748" s="28"/>
      <c r="BXV748" s="28"/>
      <c r="BXW748" s="28"/>
      <c r="BXX748" s="28"/>
      <c r="BXY748" s="28"/>
      <c r="BXZ748" s="28"/>
      <c r="BYA748" s="28"/>
      <c r="BYB748" s="28"/>
      <c r="BYC748" s="28"/>
      <c r="BYD748" s="28"/>
      <c r="BYE748" s="28"/>
      <c r="BYF748" s="28"/>
      <c r="BYG748" s="28"/>
      <c r="BYH748" s="28"/>
      <c r="BYI748" s="28"/>
      <c r="BYJ748" s="28"/>
      <c r="BYK748" s="28"/>
      <c r="BYL748" s="28"/>
      <c r="BYM748" s="28"/>
      <c r="BYN748" s="28"/>
      <c r="BYO748" s="28"/>
      <c r="BYP748" s="28"/>
      <c r="BYQ748" s="28"/>
      <c r="BYR748" s="28"/>
      <c r="BYS748" s="28"/>
      <c r="BYT748" s="28"/>
      <c r="BYU748" s="28"/>
      <c r="BYV748" s="28"/>
      <c r="BYW748" s="28"/>
      <c r="BYX748" s="28"/>
      <c r="BYY748" s="28"/>
      <c r="BYZ748" s="28"/>
      <c r="BZA748" s="28"/>
      <c r="BZB748" s="28"/>
      <c r="BZC748" s="28"/>
      <c r="BZD748" s="28"/>
      <c r="BZE748" s="28"/>
      <c r="BZF748" s="28"/>
      <c r="BZG748" s="28"/>
      <c r="BZH748" s="28"/>
      <c r="BZI748" s="28"/>
      <c r="BZJ748" s="28"/>
      <c r="BZK748" s="28"/>
      <c r="BZL748" s="28"/>
      <c r="BZM748" s="28"/>
      <c r="BZN748" s="28"/>
      <c r="BZO748" s="28"/>
      <c r="BZP748" s="28"/>
      <c r="BZQ748" s="28"/>
      <c r="BZR748" s="28"/>
      <c r="BZS748" s="28"/>
      <c r="BZT748" s="28"/>
      <c r="BZU748" s="28"/>
      <c r="BZV748" s="28"/>
      <c r="BZW748" s="28"/>
      <c r="BZX748" s="28"/>
      <c r="BZY748" s="28"/>
      <c r="BZZ748" s="28"/>
      <c r="CAA748" s="28"/>
      <c r="CAB748" s="28"/>
      <c r="CAC748" s="28"/>
      <c r="CAD748" s="28"/>
      <c r="CAE748" s="28"/>
      <c r="CAF748" s="28"/>
      <c r="CAG748" s="28"/>
      <c r="CAH748" s="28"/>
      <c r="CAI748" s="28"/>
      <c r="CAJ748" s="28"/>
      <c r="CAK748" s="28"/>
      <c r="CAL748" s="28"/>
      <c r="CAM748" s="28"/>
      <c r="CAN748" s="28"/>
      <c r="CAO748" s="28"/>
      <c r="CAP748" s="28"/>
      <c r="CAQ748" s="28"/>
      <c r="CAR748" s="28"/>
      <c r="CAS748" s="28"/>
      <c r="CAT748" s="28"/>
      <c r="CAU748" s="28"/>
      <c r="CAV748" s="28"/>
      <c r="CAW748" s="28"/>
      <c r="CAX748" s="28"/>
      <c r="CAY748" s="28"/>
      <c r="CAZ748" s="28"/>
      <c r="CBA748" s="28"/>
      <c r="CBB748" s="28"/>
      <c r="CBC748" s="28"/>
      <c r="CBD748" s="28"/>
      <c r="CBE748" s="28"/>
      <c r="CBF748" s="28"/>
      <c r="CBG748" s="28"/>
      <c r="CBH748" s="28"/>
      <c r="CBI748" s="28"/>
      <c r="CBJ748" s="28"/>
      <c r="CBK748" s="28"/>
      <c r="CBL748" s="28"/>
      <c r="CBM748" s="28"/>
      <c r="CBN748" s="28"/>
      <c r="CBO748" s="28"/>
      <c r="CBP748" s="28"/>
      <c r="CBQ748" s="28"/>
      <c r="CBR748" s="28"/>
      <c r="CBS748" s="28"/>
      <c r="CBT748" s="28"/>
      <c r="CBU748" s="28"/>
      <c r="CBV748" s="28"/>
      <c r="CBW748" s="28"/>
      <c r="CBX748" s="28"/>
      <c r="CBY748" s="28"/>
      <c r="CBZ748" s="28"/>
      <c r="CCA748" s="28"/>
      <c r="CCB748" s="28"/>
      <c r="CCC748" s="28"/>
      <c r="CCD748" s="28"/>
      <c r="CCE748" s="28"/>
      <c r="CCF748" s="28"/>
      <c r="CCG748" s="28"/>
      <c r="CCH748" s="28"/>
      <c r="CCI748" s="28"/>
      <c r="CCJ748" s="28"/>
      <c r="CCK748" s="28"/>
      <c r="CCL748" s="28"/>
      <c r="CCM748" s="28"/>
      <c r="CCN748" s="28"/>
      <c r="CCO748" s="28"/>
      <c r="CCP748" s="28"/>
      <c r="CCQ748" s="28"/>
      <c r="CCR748" s="28"/>
      <c r="CCS748" s="28"/>
      <c r="CCT748" s="28"/>
      <c r="CCU748" s="28"/>
      <c r="CCV748" s="28"/>
      <c r="CCW748" s="28"/>
      <c r="CCX748" s="28"/>
      <c r="CCY748" s="28"/>
      <c r="CCZ748" s="28"/>
      <c r="CDA748" s="28"/>
      <c r="CDB748" s="28"/>
      <c r="CDC748" s="28"/>
      <c r="CDD748" s="28"/>
      <c r="CDE748" s="28"/>
      <c r="CDF748" s="28"/>
      <c r="CDG748" s="28"/>
      <c r="CDH748" s="28"/>
      <c r="CDI748" s="28"/>
      <c r="CDJ748" s="28"/>
      <c r="CDK748" s="28"/>
      <c r="CDL748" s="28"/>
      <c r="CDM748" s="28"/>
      <c r="CDN748" s="28"/>
      <c r="CDO748" s="28"/>
      <c r="CDP748" s="28"/>
      <c r="CDQ748" s="28"/>
      <c r="CDR748" s="28"/>
      <c r="CDS748" s="28"/>
      <c r="CDT748" s="28"/>
      <c r="CDU748" s="28"/>
      <c r="CDV748" s="28"/>
      <c r="CDW748" s="28"/>
      <c r="CDX748" s="28"/>
      <c r="CDY748" s="28"/>
      <c r="CDZ748" s="28"/>
      <c r="CEA748" s="28"/>
      <c r="CEB748" s="28"/>
      <c r="CEC748" s="28"/>
      <c r="CED748" s="28"/>
      <c r="CEE748" s="28"/>
      <c r="CEF748" s="28"/>
      <c r="CEG748" s="28"/>
      <c r="CEH748" s="28"/>
      <c r="CEI748" s="28"/>
      <c r="CEJ748" s="28"/>
      <c r="CEK748" s="28"/>
      <c r="CEL748" s="28"/>
      <c r="CEM748" s="28"/>
      <c r="CEN748" s="28"/>
      <c r="CEO748" s="28"/>
      <c r="CEP748" s="28"/>
      <c r="CEQ748" s="28"/>
      <c r="CER748" s="28"/>
      <c r="CES748" s="28"/>
      <c r="CET748" s="28"/>
      <c r="CEU748" s="28"/>
      <c r="CEV748" s="28"/>
      <c r="CEW748" s="28"/>
      <c r="CEX748" s="28"/>
      <c r="CEY748" s="28"/>
      <c r="CEZ748" s="28"/>
      <c r="CFA748" s="28"/>
      <c r="CFB748" s="28"/>
      <c r="CFC748" s="28"/>
      <c r="CFD748" s="28"/>
      <c r="CFE748" s="28"/>
      <c r="CFF748" s="28"/>
      <c r="CFG748" s="28"/>
      <c r="CFH748" s="28"/>
      <c r="CFI748" s="28"/>
      <c r="CFJ748" s="28"/>
      <c r="CFK748" s="28"/>
      <c r="CFL748" s="28"/>
      <c r="CFM748" s="28"/>
      <c r="CFN748" s="28"/>
      <c r="CFO748" s="28"/>
      <c r="CFP748" s="28"/>
      <c r="CFQ748" s="28"/>
      <c r="CFR748" s="28"/>
      <c r="CFS748" s="28"/>
      <c r="CFT748" s="28"/>
      <c r="CFU748" s="28"/>
      <c r="CFV748" s="28"/>
      <c r="CFW748" s="28"/>
      <c r="CFX748" s="28"/>
      <c r="CFY748" s="28"/>
      <c r="CFZ748" s="28"/>
      <c r="CGA748" s="28"/>
      <c r="CGB748" s="28"/>
      <c r="CGC748" s="28"/>
      <c r="CGD748" s="28"/>
      <c r="CGE748" s="28"/>
      <c r="CGF748" s="28"/>
      <c r="CGG748" s="28"/>
      <c r="CGH748" s="28"/>
      <c r="CGI748" s="28"/>
      <c r="CGJ748" s="28"/>
      <c r="CGK748" s="28"/>
      <c r="CGL748" s="28"/>
      <c r="CGM748" s="28"/>
      <c r="CGN748" s="28"/>
      <c r="CGO748" s="28"/>
      <c r="CGP748" s="28"/>
      <c r="CGQ748" s="28"/>
      <c r="CGR748" s="28"/>
      <c r="CGS748" s="28"/>
      <c r="CGT748" s="28"/>
      <c r="CGU748" s="28"/>
      <c r="CGV748" s="28"/>
      <c r="CGW748" s="28"/>
      <c r="CGX748" s="28"/>
      <c r="CGY748" s="28"/>
      <c r="CGZ748" s="28"/>
      <c r="CHA748" s="28"/>
      <c r="CHB748" s="28"/>
      <c r="CHC748" s="28"/>
      <c r="CHD748" s="28"/>
      <c r="CHE748" s="28"/>
      <c r="CHF748" s="28"/>
      <c r="CHG748" s="28"/>
      <c r="CHH748" s="28"/>
      <c r="CHI748" s="28"/>
      <c r="CHJ748" s="28"/>
      <c r="CHK748" s="28"/>
      <c r="CHL748" s="28"/>
      <c r="CHM748" s="28"/>
      <c r="CHN748" s="28"/>
      <c r="CHO748" s="28"/>
      <c r="CHP748" s="28"/>
      <c r="CHQ748" s="28"/>
      <c r="CHR748" s="28"/>
      <c r="CHS748" s="28"/>
      <c r="CHT748" s="28"/>
      <c r="CHU748" s="28"/>
      <c r="CHV748" s="28"/>
      <c r="CHW748" s="28"/>
      <c r="CHX748" s="28"/>
      <c r="CHY748" s="28"/>
      <c r="CHZ748" s="28"/>
      <c r="CIA748" s="28"/>
      <c r="CIB748" s="28"/>
      <c r="CIC748" s="28"/>
      <c r="CID748" s="28"/>
      <c r="CIE748" s="28"/>
      <c r="CIF748" s="28"/>
      <c r="CIG748" s="28"/>
      <c r="CIH748" s="28"/>
      <c r="CII748" s="28"/>
      <c r="CIJ748" s="28"/>
      <c r="CIK748" s="28"/>
      <c r="CIL748" s="28"/>
      <c r="CIM748" s="28"/>
      <c r="CIN748" s="28"/>
      <c r="CIO748" s="28"/>
      <c r="CIP748" s="28"/>
      <c r="CIQ748" s="28"/>
      <c r="CIR748" s="28"/>
      <c r="CIS748" s="28"/>
      <c r="CIT748" s="28"/>
      <c r="CIU748" s="28"/>
      <c r="CIV748" s="28"/>
      <c r="CIW748" s="28"/>
      <c r="CIX748" s="28"/>
      <c r="CIY748" s="28"/>
      <c r="CIZ748" s="28"/>
      <c r="CJA748" s="28"/>
      <c r="CJB748" s="28"/>
      <c r="CJC748" s="28"/>
      <c r="CJD748" s="28"/>
      <c r="CJE748" s="28"/>
      <c r="CJF748" s="28"/>
      <c r="CJG748" s="28"/>
      <c r="CJH748" s="28"/>
      <c r="CJI748" s="28"/>
      <c r="CJJ748" s="28"/>
      <c r="CJK748" s="28"/>
      <c r="CJL748" s="28"/>
      <c r="CJM748" s="28"/>
      <c r="CJN748" s="28"/>
      <c r="CJO748" s="28"/>
      <c r="CJP748" s="28"/>
      <c r="CJQ748" s="28"/>
      <c r="CJR748" s="28"/>
      <c r="CJS748" s="28"/>
      <c r="CJT748" s="28"/>
      <c r="CJU748" s="28"/>
      <c r="CJV748" s="28"/>
      <c r="CJW748" s="28"/>
      <c r="CJX748" s="28"/>
      <c r="CJY748" s="28"/>
      <c r="CJZ748" s="28"/>
      <c r="CKA748" s="28"/>
      <c r="CKB748" s="28"/>
      <c r="CKC748" s="28"/>
      <c r="CKD748" s="28"/>
      <c r="CKE748" s="28"/>
      <c r="CKF748" s="28"/>
      <c r="CKG748" s="28"/>
      <c r="CKH748" s="28"/>
      <c r="CKI748" s="28"/>
      <c r="CKJ748" s="28"/>
      <c r="CKK748" s="28"/>
      <c r="CKL748" s="28"/>
      <c r="CKM748" s="28"/>
      <c r="CKN748" s="28"/>
      <c r="CKO748" s="28"/>
      <c r="CKP748" s="28"/>
      <c r="CKQ748" s="28"/>
      <c r="CKR748" s="28"/>
      <c r="CKS748" s="28"/>
      <c r="CKT748" s="28"/>
      <c r="CKU748" s="28"/>
      <c r="CKV748" s="28"/>
      <c r="CKW748" s="28"/>
      <c r="CKX748" s="28"/>
      <c r="CKY748" s="28"/>
      <c r="CKZ748" s="28"/>
      <c r="CLA748" s="28"/>
      <c r="CLB748" s="28"/>
      <c r="CLC748" s="28"/>
      <c r="CLD748" s="28"/>
      <c r="CLE748" s="28"/>
      <c r="CLF748" s="28"/>
      <c r="CLG748" s="28"/>
      <c r="CLH748" s="28"/>
      <c r="CLI748" s="28"/>
      <c r="CLJ748" s="28"/>
      <c r="CLK748" s="28"/>
      <c r="CLL748" s="28"/>
      <c r="CLM748" s="28"/>
      <c r="CLN748" s="28"/>
      <c r="CLO748" s="28"/>
      <c r="CLP748" s="28"/>
      <c r="CLQ748" s="28"/>
      <c r="CLR748" s="28"/>
      <c r="CLS748" s="28"/>
      <c r="CLT748" s="28"/>
      <c r="CLU748" s="28"/>
      <c r="CLV748" s="28"/>
      <c r="CLW748" s="28"/>
      <c r="CLX748" s="28"/>
      <c r="CLY748" s="28"/>
      <c r="CLZ748" s="28"/>
      <c r="CMA748" s="28"/>
      <c r="CMB748" s="28"/>
      <c r="CMC748" s="28"/>
      <c r="CMD748" s="28"/>
      <c r="CME748" s="28"/>
      <c r="CMF748" s="28"/>
      <c r="CMG748" s="28"/>
      <c r="CMH748" s="28"/>
      <c r="CMI748" s="28"/>
      <c r="CMJ748" s="28"/>
      <c r="CMK748" s="28"/>
      <c r="CML748" s="28"/>
      <c r="CMM748" s="28"/>
      <c r="CMN748" s="28"/>
      <c r="CMO748" s="28"/>
      <c r="CMP748" s="28"/>
      <c r="CMQ748" s="28"/>
      <c r="CMR748" s="28"/>
      <c r="CMS748" s="28"/>
      <c r="CMT748" s="28"/>
      <c r="CMU748" s="28"/>
      <c r="CMV748" s="28"/>
      <c r="CMW748" s="28"/>
      <c r="CMX748" s="28"/>
      <c r="CMY748" s="28"/>
      <c r="CMZ748" s="28"/>
      <c r="CNA748" s="28"/>
      <c r="CNB748" s="28"/>
      <c r="CNC748" s="28"/>
      <c r="CND748" s="28"/>
      <c r="CNE748" s="28"/>
      <c r="CNF748" s="28"/>
      <c r="CNG748" s="28"/>
      <c r="CNH748" s="28"/>
      <c r="CNI748" s="28"/>
      <c r="CNJ748" s="28"/>
      <c r="CNK748" s="28"/>
      <c r="CNL748" s="28"/>
      <c r="CNM748" s="28"/>
      <c r="CNN748" s="28"/>
      <c r="CNO748" s="28"/>
      <c r="CNP748" s="28"/>
      <c r="CNQ748" s="28"/>
      <c r="CNR748" s="28"/>
      <c r="CNS748" s="28"/>
      <c r="CNT748" s="28"/>
      <c r="CNU748" s="28"/>
      <c r="CNV748" s="28"/>
      <c r="CNW748" s="28"/>
      <c r="CNX748" s="28"/>
      <c r="CNY748" s="28"/>
      <c r="CNZ748" s="28"/>
      <c r="COA748" s="28"/>
      <c r="COB748" s="28"/>
      <c r="COC748" s="28"/>
      <c r="COD748" s="28"/>
      <c r="COE748" s="28"/>
      <c r="COF748" s="28"/>
      <c r="COG748" s="28"/>
      <c r="COH748" s="28"/>
      <c r="COI748" s="28"/>
      <c r="COJ748" s="28"/>
      <c r="COK748" s="28"/>
      <c r="COL748" s="28"/>
      <c r="COM748" s="28"/>
      <c r="CON748" s="28"/>
      <c r="COO748" s="28"/>
      <c r="COP748" s="28"/>
      <c r="COQ748" s="28"/>
      <c r="COR748" s="28"/>
      <c r="COS748" s="28"/>
      <c r="COT748" s="28"/>
      <c r="COU748" s="28"/>
      <c r="COV748" s="28"/>
      <c r="COW748" s="28"/>
      <c r="COX748" s="28"/>
      <c r="COY748" s="28"/>
      <c r="COZ748" s="28"/>
      <c r="CPA748" s="28"/>
      <c r="CPB748" s="28"/>
      <c r="CPC748" s="28"/>
      <c r="CPD748" s="28"/>
      <c r="CPE748" s="28"/>
      <c r="CPF748" s="28"/>
      <c r="CPG748" s="28"/>
      <c r="CPH748" s="28"/>
      <c r="CPI748" s="28"/>
      <c r="CPJ748" s="28"/>
      <c r="CPK748" s="28"/>
      <c r="CPL748" s="28"/>
      <c r="CPM748" s="28"/>
      <c r="CPN748" s="28"/>
      <c r="CPO748" s="28"/>
      <c r="CPP748" s="28"/>
      <c r="CPQ748" s="28"/>
      <c r="CPR748" s="28"/>
      <c r="CPS748" s="28"/>
      <c r="CPT748" s="28"/>
      <c r="CPU748" s="28"/>
      <c r="CPV748" s="28"/>
      <c r="CPW748" s="28"/>
      <c r="CPX748" s="28"/>
      <c r="CPY748" s="28"/>
      <c r="CPZ748" s="28"/>
      <c r="CQA748" s="28"/>
      <c r="CQB748" s="28"/>
      <c r="CQC748" s="28"/>
      <c r="CQD748" s="28"/>
      <c r="CQE748" s="28"/>
      <c r="CQF748" s="28"/>
      <c r="CQG748" s="28"/>
      <c r="CQH748" s="28"/>
      <c r="CQI748" s="28"/>
      <c r="CQJ748" s="28"/>
      <c r="CQK748" s="28"/>
      <c r="CQL748" s="28"/>
      <c r="CQM748" s="28"/>
      <c r="CQN748" s="28"/>
      <c r="CQO748" s="28"/>
      <c r="CQP748" s="28"/>
      <c r="CQQ748" s="28"/>
      <c r="CQR748" s="28"/>
      <c r="CQS748" s="28"/>
      <c r="CQT748" s="28"/>
      <c r="CQU748" s="28"/>
      <c r="CQV748" s="28"/>
      <c r="CQW748" s="28"/>
      <c r="CQX748" s="28"/>
      <c r="CQY748" s="28"/>
      <c r="CQZ748" s="28"/>
      <c r="CRA748" s="28"/>
      <c r="CRB748" s="28"/>
      <c r="CRC748" s="28"/>
      <c r="CRD748" s="28"/>
      <c r="CRE748" s="28"/>
      <c r="CRF748" s="28"/>
      <c r="CRG748" s="28"/>
      <c r="CRH748" s="28"/>
      <c r="CRI748" s="28"/>
      <c r="CRJ748" s="28"/>
      <c r="CRK748" s="28"/>
      <c r="CRL748" s="28"/>
      <c r="CRM748" s="28"/>
      <c r="CRN748" s="28"/>
      <c r="CRO748" s="28"/>
      <c r="CRP748" s="28"/>
      <c r="CRQ748" s="28"/>
      <c r="CRR748" s="28"/>
      <c r="CRS748" s="28"/>
      <c r="CRT748" s="28"/>
      <c r="CRU748" s="28"/>
      <c r="CRV748" s="28"/>
      <c r="CRW748" s="28"/>
      <c r="CRX748" s="28"/>
      <c r="CRY748" s="28"/>
      <c r="CRZ748" s="28"/>
      <c r="CSA748" s="28"/>
      <c r="CSB748" s="28"/>
      <c r="CSC748" s="28"/>
      <c r="CSD748" s="28"/>
      <c r="CSE748" s="28"/>
      <c r="CSF748" s="28"/>
      <c r="CSG748" s="28"/>
      <c r="CSH748" s="28"/>
      <c r="CSI748" s="28"/>
      <c r="CSJ748" s="28"/>
      <c r="CSK748" s="28"/>
      <c r="CSL748" s="28"/>
      <c r="CSM748" s="28"/>
      <c r="CSN748" s="28"/>
      <c r="CSO748" s="28"/>
      <c r="CSP748" s="28"/>
      <c r="CSQ748" s="28"/>
      <c r="CSR748" s="28"/>
      <c r="CSS748" s="28"/>
      <c r="CST748" s="28"/>
      <c r="CSU748" s="28"/>
      <c r="CSV748" s="28"/>
      <c r="CSW748" s="28"/>
      <c r="CSX748" s="28"/>
      <c r="CSY748" s="28"/>
      <c r="CSZ748" s="28"/>
      <c r="CTA748" s="28"/>
      <c r="CTB748" s="28"/>
      <c r="CTC748" s="28"/>
      <c r="CTD748" s="28"/>
      <c r="CTE748" s="28"/>
      <c r="CTF748" s="28"/>
      <c r="CTG748" s="28"/>
      <c r="CTH748" s="28"/>
      <c r="CTI748" s="28"/>
      <c r="CTJ748" s="28"/>
      <c r="CTK748" s="28"/>
      <c r="CTL748" s="28"/>
      <c r="CTM748" s="28"/>
      <c r="CTN748" s="28"/>
      <c r="CTO748" s="28"/>
      <c r="CTP748" s="28"/>
      <c r="CTQ748" s="28"/>
      <c r="CTR748" s="28"/>
      <c r="CTS748" s="28"/>
      <c r="CTT748" s="28"/>
      <c r="CTU748" s="28"/>
      <c r="CTV748" s="28"/>
      <c r="CTW748" s="28"/>
      <c r="CTX748" s="28"/>
      <c r="CTY748" s="28"/>
      <c r="CTZ748" s="28"/>
      <c r="CUA748" s="28"/>
      <c r="CUB748" s="28"/>
      <c r="CUC748" s="28"/>
      <c r="CUD748" s="28"/>
      <c r="CUE748" s="28"/>
      <c r="CUF748" s="28"/>
      <c r="CUG748" s="28"/>
      <c r="CUH748" s="28"/>
      <c r="CUI748" s="28"/>
      <c r="CUJ748" s="28"/>
      <c r="CUK748" s="28"/>
      <c r="CUL748" s="28"/>
      <c r="CUM748" s="28"/>
      <c r="CUN748" s="28"/>
      <c r="CUO748" s="28"/>
      <c r="CUP748" s="28"/>
      <c r="CUQ748" s="28"/>
      <c r="CUR748" s="28"/>
      <c r="CUS748" s="28"/>
      <c r="CUT748" s="28"/>
      <c r="CUU748" s="28"/>
      <c r="CUV748" s="28"/>
      <c r="CUW748" s="28"/>
      <c r="CUX748" s="28"/>
      <c r="CUY748" s="28"/>
      <c r="CUZ748" s="28"/>
      <c r="CVA748" s="28"/>
      <c r="CVB748" s="28"/>
      <c r="CVC748" s="28"/>
      <c r="CVD748" s="28"/>
      <c r="CVE748" s="28"/>
      <c r="CVF748" s="28"/>
      <c r="CVG748" s="28"/>
      <c r="CVH748" s="28"/>
      <c r="CVI748" s="28"/>
      <c r="CVJ748" s="28"/>
      <c r="CVK748" s="28"/>
      <c r="CVL748" s="28"/>
      <c r="CVM748" s="28"/>
      <c r="CVN748" s="28"/>
      <c r="CVO748" s="28"/>
      <c r="CVP748" s="28"/>
      <c r="CVQ748" s="28"/>
      <c r="CVR748" s="28"/>
      <c r="CVS748" s="28"/>
      <c r="CVT748" s="28"/>
      <c r="CVU748" s="28"/>
      <c r="CVV748" s="28"/>
      <c r="CVW748" s="28"/>
      <c r="CVX748" s="28"/>
      <c r="CVY748" s="28"/>
      <c r="CVZ748" s="28"/>
      <c r="CWA748" s="28"/>
      <c r="CWB748" s="28"/>
      <c r="CWC748" s="28"/>
      <c r="CWD748" s="28"/>
      <c r="CWE748" s="28"/>
      <c r="CWF748" s="28"/>
      <c r="CWG748" s="28"/>
      <c r="CWH748" s="28"/>
      <c r="CWI748" s="28"/>
      <c r="CWJ748" s="28"/>
      <c r="CWK748" s="28"/>
      <c r="CWL748" s="28"/>
      <c r="CWM748" s="28"/>
      <c r="CWN748" s="28"/>
      <c r="CWO748" s="28"/>
      <c r="CWP748" s="28"/>
      <c r="CWQ748" s="28"/>
      <c r="CWR748" s="28"/>
      <c r="CWS748" s="28"/>
      <c r="CWT748" s="28"/>
      <c r="CWU748" s="28"/>
      <c r="CWV748" s="28"/>
      <c r="CWW748" s="28"/>
      <c r="CWX748" s="28"/>
      <c r="CWY748" s="28"/>
      <c r="CWZ748" s="28"/>
      <c r="CXA748" s="28"/>
      <c r="CXB748" s="28"/>
      <c r="CXC748" s="28"/>
      <c r="CXD748" s="28"/>
      <c r="CXE748" s="28"/>
      <c r="CXF748" s="28"/>
      <c r="CXG748" s="28"/>
      <c r="CXH748" s="28"/>
      <c r="CXI748" s="28"/>
      <c r="CXJ748" s="28"/>
      <c r="CXK748" s="28"/>
      <c r="CXL748" s="28"/>
      <c r="CXM748" s="28"/>
      <c r="CXN748" s="28"/>
      <c r="CXO748" s="28"/>
      <c r="CXP748" s="28"/>
      <c r="CXQ748" s="28"/>
      <c r="CXR748" s="28"/>
      <c r="CXS748" s="28"/>
      <c r="CXT748" s="28"/>
      <c r="CXU748" s="28"/>
      <c r="CXV748" s="28"/>
      <c r="CXW748" s="28"/>
      <c r="CXX748" s="28"/>
      <c r="CXY748" s="28"/>
      <c r="CXZ748" s="28"/>
      <c r="CYA748" s="28"/>
      <c r="CYB748" s="28"/>
      <c r="CYC748" s="28"/>
      <c r="CYD748" s="28"/>
      <c r="CYE748" s="28"/>
      <c r="CYF748" s="28"/>
      <c r="CYG748" s="28"/>
      <c r="CYH748" s="28"/>
      <c r="CYI748" s="28"/>
      <c r="CYJ748" s="28"/>
      <c r="CYK748" s="28"/>
      <c r="CYL748" s="28"/>
      <c r="CYM748" s="28"/>
      <c r="CYN748" s="28"/>
      <c r="CYO748" s="28"/>
      <c r="CYP748" s="28"/>
      <c r="CYQ748" s="28"/>
      <c r="CYR748" s="28"/>
      <c r="CYS748" s="28"/>
      <c r="CYT748" s="28"/>
      <c r="CYU748" s="28"/>
      <c r="CYV748" s="28"/>
      <c r="CYW748" s="28"/>
      <c r="CYX748" s="28"/>
      <c r="CYY748" s="28"/>
      <c r="CYZ748" s="28"/>
      <c r="CZA748" s="28"/>
      <c r="CZB748" s="28"/>
      <c r="CZC748" s="28"/>
      <c r="CZD748" s="28"/>
      <c r="CZE748" s="28"/>
      <c r="CZF748" s="28"/>
      <c r="CZG748" s="28"/>
      <c r="CZH748" s="28"/>
      <c r="CZI748" s="28"/>
      <c r="CZJ748" s="28"/>
      <c r="CZK748" s="28"/>
      <c r="CZL748" s="28"/>
      <c r="CZM748" s="28"/>
      <c r="CZN748" s="28"/>
      <c r="CZO748" s="28"/>
      <c r="CZP748" s="28"/>
      <c r="CZQ748" s="28"/>
      <c r="CZR748" s="28"/>
      <c r="CZS748" s="28"/>
      <c r="CZT748" s="28"/>
      <c r="CZU748" s="28"/>
      <c r="CZV748" s="28"/>
      <c r="CZW748" s="28"/>
      <c r="CZX748" s="28"/>
      <c r="CZY748" s="28"/>
      <c r="CZZ748" s="28"/>
      <c r="DAA748" s="28"/>
      <c r="DAB748" s="28"/>
      <c r="DAC748" s="28"/>
      <c r="DAD748" s="28"/>
      <c r="DAE748" s="28"/>
      <c r="DAF748" s="28"/>
      <c r="DAG748" s="28"/>
      <c r="DAH748" s="28"/>
      <c r="DAI748" s="28"/>
      <c r="DAJ748" s="28"/>
      <c r="DAK748" s="28"/>
      <c r="DAL748" s="28"/>
      <c r="DAM748" s="28"/>
      <c r="DAN748" s="28"/>
      <c r="DAO748" s="28"/>
      <c r="DAP748" s="28"/>
      <c r="DAQ748" s="28"/>
      <c r="DAR748" s="28"/>
      <c r="DAS748" s="28"/>
      <c r="DAT748" s="28"/>
      <c r="DAU748" s="28"/>
      <c r="DAV748" s="28"/>
      <c r="DAW748" s="28"/>
      <c r="DAX748" s="28"/>
      <c r="DAY748" s="28"/>
      <c r="DAZ748" s="28"/>
      <c r="DBA748" s="28"/>
      <c r="DBB748" s="28"/>
      <c r="DBC748" s="28"/>
      <c r="DBD748" s="28"/>
      <c r="DBE748" s="28"/>
      <c r="DBF748" s="28"/>
      <c r="DBG748" s="28"/>
      <c r="DBH748" s="28"/>
      <c r="DBI748" s="28"/>
      <c r="DBJ748" s="28"/>
      <c r="DBK748" s="28"/>
      <c r="DBL748" s="28"/>
      <c r="DBM748" s="28"/>
      <c r="DBN748" s="28"/>
      <c r="DBO748" s="28"/>
      <c r="DBP748" s="28"/>
      <c r="DBQ748" s="28"/>
      <c r="DBR748" s="28"/>
      <c r="DBS748" s="28"/>
      <c r="DBT748" s="28"/>
      <c r="DBU748" s="28"/>
      <c r="DBV748" s="28"/>
      <c r="DBW748" s="28"/>
      <c r="DBX748" s="28"/>
      <c r="DBY748" s="28"/>
      <c r="DBZ748" s="28"/>
      <c r="DCA748" s="28"/>
      <c r="DCB748" s="28"/>
      <c r="DCC748" s="28"/>
      <c r="DCD748" s="28"/>
      <c r="DCE748" s="28"/>
      <c r="DCF748" s="28"/>
      <c r="DCG748" s="28"/>
      <c r="DCH748" s="28"/>
      <c r="DCI748" s="28"/>
      <c r="DCJ748" s="28"/>
      <c r="DCK748" s="28"/>
      <c r="DCL748" s="28"/>
      <c r="DCM748" s="28"/>
      <c r="DCN748" s="28"/>
      <c r="DCO748" s="28"/>
      <c r="DCP748" s="28"/>
      <c r="DCQ748" s="28"/>
      <c r="DCR748" s="28"/>
      <c r="DCS748" s="28"/>
      <c r="DCT748" s="28"/>
      <c r="DCU748" s="28"/>
      <c r="DCV748" s="28"/>
      <c r="DCW748" s="28"/>
      <c r="DCX748" s="28"/>
      <c r="DCY748" s="28"/>
      <c r="DCZ748" s="28"/>
      <c r="DDA748" s="28"/>
      <c r="DDB748" s="28"/>
      <c r="DDC748" s="28"/>
      <c r="DDD748" s="28"/>
      <c r="DDE748" s="28"/>
      <c r="DDF748" s="28"/>
      <c r="DDG748" s="28"/>
      <c r="DDH748" s="28"/>
      <c r="DDI748" s="28"/>
      <c r="DDJ748" s="28"/>
      <c r="DDK748" s="28"/>
      <c r="DDL748" s="28"/>
      <c r="DDM748" s="28"/>
      <c r="DDN748" s="28"/>
      <c r="DDO748" s="28"/>
      <c r="DDP748" s="28"/>
      <c r="DDQ748" s="28"/>
      <c r="DDR748" s="28"/>
      <c r="DDS748" s="28"/>
      <c r="DDT748" s="28"/>
      <c r="DDU748" s="28"/>
      <c r="DDV748" s="28"/>
      <c r="DDW748" s="28"/>
      <c r="DDX748" s="28"/>
      <c r="DDY748" s="28"/>
      <c r="DDZ748" s="28"/>
      <c r="DEA748" s="28"/>
      <c r="DEB748" s="28"/>
      <c r="DEC748" s="28"/>
      <c r="DED748" s="28"/>
      <c r="DEE748" s="28"/>
      <c r="DEF748" s="28"/>
      <c r="DEG748" s="28"/>
      <c r="DEH748" s="28"/>
      <c r="DEI748" s="28"/>
      <c r="DEJ748" s="28"/>
      <c r="DEK748" s="28"/>
      <c r="DEL748" s="28"/>
      <c r="DEM748" s="28"/>
      <c r="DEN748" s="28"/>
      <c r="DEO748" s="28"/>
      <c r="DEP748" s="28"/>
      <c r="DEQ748" s="28"/>
      <c r="DER748" s="28"/>
      <c r="DES748" s="28"/>
      <c r="DET748" s="28"/>
      <c r="DEU748" s="28"/>
      <c r="DEV748" s="28"/>
      <c r="DEW748" s="28"/>
      <c r="DEX748" s="28"/>
      <c r="DEY748" s="28"/>
      <c r="DEZ748" s="28"/>
      <c r="DFA748" s="28"/>
      <c r="DFB748" s="28"/>
      <c r="DFC748" s="28"/>
      <c r="DFD748" s="28"/>
      <c r="DFE748" s="28"/>
      <c r="DFF748" s="28"/>
      <c r="DFG748" s="28"/>
      <c r="DFH748" s="28"/>
      <c r="DFI748" s="28"/>
      <c r="DFJ748" s="28"/>
      <c r="DFK748" s="28"/>
      <c r="DFL748" s="28"/>
      <c r="DFM748" s="28"/>
      <c r="DFN748" s="28"/>
      <c r="DFO748" s="28"/>
      <c r="DFP748" s="28"/>
      <c r="DFQ748" s="28"/>
      <c r="DFR748" s="28"/>
      <c r="DFS748" s="28"/>
      <c r="DFT748" s="28"/>
      <c r="DFU748" s="28"/>
      <c r="DFV748" s="28"/>
      <c r="DFW748" s="28"/>
      <c r="DFX748" s="28"/>
      <c r="DFY748" s="28"/>
      <c r="DFZ748" s="28"/>
      <c r="DGA748" s="28"/>
      <c r="DGB748" s="28"/>
      <c r="DGC748" s="28"/>
      <c r="DGD748" s="28"/>
      <c r="DGE748" s="28"/>
      <c r="DGF748" s="28"/>
      <c r="DGG748" s="28"/>
      <c r="DGH748" s="28"/>
      <c r="DGI748" s="28"/>
      <c r="DGJ748" s="28"/>
      <c r="DGK748" s="28"/>
      <c r="DGL748" s="28"/>
      <c r="DGM748" s="28"/>
      <c r="DGN748" s="28"/>
      <c r="DGO748" s="28"/>
      <c r="DGP748" s="28"/>
      <c r="DGQ748" s="28"/>
      <c r="DGR748" s="28"/>
      <c r="DGS748" s="28"/>
      <c r="DGT748" s="28"/>
      <c r="DGU748" s="28"/>
      <c r="DGV748" s="28"/>
      <c r="DGW748" s="28"/>
      <c r="DGX748" s="28"/>
      <c r="DGY748" s="28"/>
      <c r="DGZ748" s="28"/>
      <c r="DHA748" s="28"/>
      <c r="DHB748" s="28"/>
      <c r="DHC748" s="28"/>
      <c r="DHD748" s="28"/>
      <c r="DHE748" s="28"/>
      <c r="DHF748" s="28"/>
      <c r="DHG748" s="28"/>
      <c r="DHH748" s="28"/>
      <c r="DHI748" s="28"/>
      <c r="DHJ748" s="28"/>
      <c r="DHK748" s="28"/>
      <c r="DHL748" s="28"/>
      <c r="DHM748" s="28"/>
      <c r="DHN748" s="28"/>
      <c r="DHO748" s="28"/>
      <c r="DHP748" s="28"/>
      <c r="DHQ748" s="28"/>
      <c r="DHR748" s="28"/>
      <c r="DHS748" s="28"/>
      <c r="DHT748" s="28"/>
      <c r="DHU748" s="28"/>
      <c r="DHV748" s="28"/>
      <c r="DHW748" s="28"/>
      <c r="DHX748" s="28"/>
      <c r="DHY748" s="28"/>
      <c r="DHZ748" s="28"/>
      <c r="DIA748" s="28"/>
      <c r="DIB748" s="28"/>
      <c r="DIC748" s="28"/>
      <c r="DID748" s="28"/>
      <c r="DIE748" s="28"/>
      <c r="DIF748" s="28"/>
      <c r="DIG748" s="28"/>
      <c r="DIH748" s="28"/>
      <c r="DII748" s="28"/>
      <c r="DIJ748" s="28"/>
      <c r="DIK748" s="28"/>
      <c r="DIL748" s="28"/>
      <c r="DIM748" s="28"/>
      <c r="DIN748" s="28"/>
      <c r="DIO748" s="28"/>
      <c r="DIP748" s="28"/>
      <c r="DIQ748" s="28"/>
      <c r="DIR748" s="28"/>
      <c r="DIS748" s="28"/>
      <c r="DIT748" s="28"/>
      <c r="DIU748" s="28"/>
      <c r="DIV748" s="28"/>
      <c r="DIW748" s="28"/>
      <c r="DIX748" s="28"/>
      <c r="DIY748" s="28"/>
      <c r="DIZ748" s="28"/>
      <c r="DJA748" s="28"/>
      <c r="DJB748" s="28"/>
      <c r="DJC748" s="28"/>
      <c r="DJD748" s="28"/>
      <c r="DJE748" s="28"/>
      <c r="DJF748" s="28"/>
      <c r="DJG748" s="28"/>
      <c r="DJH748" s="28"/>
      <c r="DJI748" s="28"/>
      <c r="DJJ748" s="28"/>
      <c r="DJK748" s="28"/>
      <c r="DJL748" s="28"/>
      <c r="DJM748" s="28"/>
      <c r="DJN748" s="28"/>
      <c r="DJO748" s="28"/>
      <c r="DJP748" s="28"/>
      <c r="DJQ748" s="28"/>
      <c r="DJR748" s="28"/>
      <c r="DJS748" s="28"/>
      <c r="DJT748" s="28"/>
      <c r="DJU748" s="28"/>
      <c r="DJV748" s="28"/>
      <c r="DJW748" s="28"/>
      <c r="DJX748" s="28"/>
      <c r="DJY748" s="28"/>
      <c r="DJZ748" s="28"/>
      <c r="DKA748" s="28"/>
      <c r="DKB748" s="28"/>
      <c r="DKC748" s="28"/>
      <c r="DKD748" s="28"/>
      <c r="DKE748" s="28"/>
      <c r="DKF748" s="28"/>
      <c r="DKG748" s="28"/>
      <c r="DKH748" s="28"/>
      <c r="DKI748" s="28"/>
      <c r="DKJ748" s="28"/>
      <c r="DKK748" s="28"/>
      <c r="DKL748" s="28"/>
      <c r="DKM748" s="28"/>
      <c r="DKN748" s="28"/>
      <c r="DKO748" s="28"/>
      <c r="DKP748" s="28"/>
      <c r="DKQ748" s="28"/>
      <c r="DKR748" s="28"/>
      <c r="DKS748" s="28"/>
      <c r="DKT748" s="28"/>
      <c r="DKU748" s="28"/>
      <c r="DKV748" s="28"/>
      <c r="DKW748" s="28"/>
      <c r="DKX748" s="28"/>
      <c r="DKY748" s="28"/>
      <c r="DKZ748" s="28"/>
      <c r="DLA748" s="28"/>
      <c r="DLB748" s="28"/>
      <c r="DLC748" s="28"/>
      <c r="DLD748" s="28"/>
      <c r="DLE748" s="28"/>
      <c r="DLF748" s="28"/>
      <c r="DLG748" s="28"/>
      <c r="DLH748" s="28"/>
      <c r="DLI748" s="28"/>
      <c r="DLJ748" s="28"/>
      <c r="DLK748" s="28"/>
      <c r="DLL748" s="28"/>
      <c r="DLM748" s="28"/>
      <c r="DLN748" s="28"/>
      <c r="DLO748" s="28"/>
      <c r="DLP748" s="28"/>
      <c r="DLQ748" s="28"/>
      <c r="DLR748" s="28"/>
      <c r="DLS748" s="28"/>
      <c r="DLT748" s="28"/>
      <c r="DLU748" s="28"/>
      <c r="DLV748" s="28"/>
      <c r="DLW748" s="28"/>
      <c r="DLX748" s="28"/>
      <c r="DLY748" s="28"/>
      <c r="DLZ748" s="28"/>
      <c r="DMA748" s="28"/>
      <c r="DMB748" s="28"/>
      <c r="DMC748" s="28"/>
      <c r="DMD748" s="28"/>
      <c r="DME748" s="28"/>
      <c r="DMF748" s="28"/>
      <c r="DMG748" s="28"/>
      <c r="DMH748" s="28"/>
      <c r="DMI748" s="28"/>
      <c r="DMJ748" s="28"/>
      <c r="DMK748" s="28"/>
      <c r="DML748" s="28"/>
      <c r="DMM748" s="28"/>
      <c r="DMN748" s="28"/>
      <c r="DMO748" s="28"/>
      <c r="DMP748" s="28"/>
      <c r="DMQ748" s="28"/>
      <c r="DMR748" s="28"/>
      <c r="DMS748" s="28"/>
      <c r="DMT748" s="28"/>
      <c r="DMU748" s="28"/>
      <c r="DMV748" s="28"/>
      <c r="DMW748" s="28"/>
      <c r="DMX748" s="28"/>
      <c r="DMY748" s="28"/>
      <c r="DMZ748" s="28"/>
      <c r="DNA748" s="28"/>
      <c r="DNB748" s="28"/>
      <c r="DNC748" s="28"/>
      <c r="DND748" s="28"/>
      <c r="DNE748" s="28"/>
      <c r="DNF748" s="28"/>
      <c r="DNG748" s="28"/>
      <c r="DNH748" s="28"/>
      <c r="DNI748" s="28"/>
      <c r="DNJ748" s="28"/>
      <c r="DNK748" s="28"/>
      <c r="DNL748" s="28"/>
      <c r="DNM748" s="28"/>
      <c r="DNN748" s="28"/>
      <c r="DNO748" s="28"/>
      <c r="DNP748" s="28"/>
      <c r="DNQ748" s="28"/>
      <c r="DNR748" s="28"/>
      <c r="DNS748" s="28"/>
      <c r="DNT748" s="28"/>
      <c r="DNU748" s="28"/>
      <c r="DNV748" s="28"/>
      <c r="DNW748" s="28"/>
      <c r="DNX748" s="28"/>
      <c r="DNY748" s="28"/>
      <c r="DNZ748" s="28"/>
      <c r="DOA748" s="28"/>
      <c r="DOB748" s="28"/>
      <c r="DOC748" s="28"/>
      <c r="DOD748" s="28"/>
      <c r="DOE748" s="28"/>
      <c r="DOF748" s="28"/>
      <c r="DOG748" s="28"/>
      <c r="DOH748" s="28"/>
      <c r="DOI748" s="28"/>
      <c r="DOJ748" s="28"/>
      <c r="DOK748" s="28"/>
      <c r="DOL748" s="28"/>
      <c r="DOM748" s="28"/>
      <c r="DON748" s="28"/>
      <c r="DOO748" s="28"/>
      <c r="DOP748" s="28"/>
      <c r="DOQ748" s="28"/>
      <c r="DOR748" s="28"/>
      <c r="DOS748" s="28"/>
      <c r="DOT748" s="28"/>
      <c r="DOU748" s="28"/>
      <c r="DOV748" s="28"/>
      <c r="DOW748" s="28"/>
      <c r="DOX748" s="28"/>
      <c r="DOY748" s="28"/>
      <c r="DOZ748" s="28"/>
      <c r="DPA748" s="28"/>
      <c r="DPB748" s="28"/>
      <c r="DPC748" s="28"/>
      <c r="DPD748" s="28"/>
      <c r="DPE748" s="28"/>
      <c r="DPF748" s="28"/>
      <c r="DPG748" s="28"/>
      <c r="DPH748" s="28"/>
      <c r="DPI748" s="28"/>
      <c r="DPJ748" s="28"/>
      <c r="DPK748" s="28"/>
      <c r="DPL748" s="28"/>
      <c r="DPM748" s="28"/>
      <c r="DPN748" s="28"/>
      <c r="DPO748" s="28"/>
      <c r="DPP748" s="28"/>
      <c r="DPQ748" s="28"/>
      <c r="DPR748" s="28"/>
      <c r="DPS748" s="28"/>
      <c r="DPT748" s="28"/>
      <c r="DPU748" s="28"/>
      <c r="DPV748" s="28"/>
      <c r="DPW748" s="28"/>
      <c r="DPX748" s="28"/>
      <c r="DPY748" s="28"/>
      <c r="DPZ748" s="28"/>
      <c r="DQA748" s="28"/>
      <c r="DQB748" s="28"/>
      <c r="DQC748" s="28"/>
      <c r="DQD748" s="28"/>
      <c r="DQE748" s="28"/>
      <c r="DQF748" s="28"/>
      <c r="DQG748" s="28"/>
      <c r="DQH748" s="28"/>
      <c r="DQI748" s="28"/>
      <c r="DQJ748" s="28"/>
      <c r="DQK748" s="28"/>
      <c r="DQL748" s="28"/>
      <c r="DQM748" s="28"/>
      <c r="DQN748" s="28"/>
      <c r="DQO748" s="28"/>
      <c r="DQP748" s="28"/>
      <c r="DQQ748" s="28"/>
      <c r="DQR748" s="28"/>
      <c r="DQS748" s="28"/>
      <c r="DQT748" s="28"/>
      <c r="DQU748" s="28"/>
      <c r="DQV748" s="28"/>
      <c r="DQW748" s="28"/>
      <c r="DQX748" s="28"/>
      <c r="DQY748" s="28"/>
      <c r="DQZ748" s="28"/>
      <c r="DRA748" s="28"/>
      <c r="DRB748" s="28"/>
      <c r="DRC748" s="28"/>
      <c r="DRD748" s="28"/>
      <c r="DRE748" s="28"/>
      <c r="DRF748" s="28"/>
      <c r="DRG748" s="28"/>
      <c r="DRH748" s="28"/>
      <c r="DRI748" s="28"/>
      <c r="DRJ748" s="28"/>
      <c r="DRK748" s="28"/>
      <c r="DRL748" s="28"/>
      <c r="DRM748" s="28"/>
      <c r="DRN748" s="28"/>
      <c r="DRO748" s="28"/>
      <c r="DRP748" s="28"/>
      <c r="DRQ748" s="28"/>
      <c r="DRR748" s="28"/>
      <c r="DRS748" s="28"/>
      <c r="DRT748" s="28"/>
      <c r="DRU748" s="28"/>
      <c r="DRV748" s="28"/>
      <c r="DRW748" s="28"/>
      <c r="DRX748" s="28"/>
      <c r="DRY748" s="28"/>
      <c r="DRZ748" s="28"/>
      <c r="DSA748" s="28"/>
      <c r="DSB748" s="28"/>
      <c r="DSC748" s="28"/>
      <c r="DSD748" s="28"/>
      <c r="DSE748" s="28"/>
      <c r="DSF748" s="28"/>
      <c r="DSG748" s="28"/>
      <c r="DSH748" s="28"/>
      <c r="DSI748" s="28"/>
      <c r="DSJ748" s="28"/>
      <c r="DSK748" s="28"/>
      <c r="DSL748" s="28"/>
      <c r="DSM748" s="28"/>
      <c r="DSN748" s="28"/>
      <c r="DSO748" s="28"/>
      <c r="DSP748" s="28"/>
      <c r="DSQ748" s="28"/>
      <c r="DSR748" s="28"/>
      <c r="DSS748" s="28"/>
      <c r="DST748" s="28"/>
      <c r="DSU748" s="28"/>
      <c r="DSV748" s="28"/>
      <c r="DSW748" s="28"/>
      <c r="DSX748" s="28"/>
      <c r="DSY748" s="28"/>
      <c r="DSZ748" s="28"/>
      <c r="DTA748" s="28"/>
      <c r="DTB748" s="28"/>
      <c r="DTC748" s="28"/>
      <c r="DTD748" s="28"/>
      <c r="DTE748" s="28"/>
      <c r="DTF748" s="28"/>
      <c r="DTG748" s="28"/>
      <c r="DTH748" s="28"/>
      <c r="DTI748" s="28"/>
      <c r="DTJ748" s="28"/>
      <c r="DTK748" s="28"/>
      <c r="DTL748" s="28"/>
      <c r="DTM748" s="28"/>
      <c r="DTN748" s="28"/>
      <c r="DTO748" s="28"/>
      <c r="DTP748" s="28"/>
      <c r="DTQ748" s="28"/>
      <c r="DTR748" s="28"/>
      <c r="DTS748" s="28"/>
      <c r="DTT748" s="28"/>
      <c r="DTU748" s="28"/>
      <c r="DTV748" s="28"/>
      <c r="DTW748" s="28"/>
      <c r="DTX748" s="28"/>
      <c r="DTY748" s="28"/>
      <c r="DTZ748" s="28"/>
      <c r="DUA748" s="28"/>
      <c r="DUB748" s="28"/>
      <c r="DUC748" s="28"/>
      <c r="DUD748" s="28"/>
      <c r="DUE748" s="28"/>
      <c r="DUF748" s="28"/>
      <c r="DUG748" s="28"/>
      <c r="DUH748" s="28"/>
      <c r="DUI748" s="28"/>
      <c r="DUJ748" s="28"/>
      <c r="DUK748" s="28"/>
      <c r="DUL748" s="28"/>
      <c r="DUM748" s="28"/>
      <c r="DUN748" s="28"/>
      <c r="DUO748" s="28"/>
      <c r="DUP748" s="28"/>
      <c r="DUQ748" s="28"/>
      <c r="DUR748" s="28"/>
      <c r="DUS748" s="28"/>
      <c r="DUT748" s="28"/>
      <c r="DUU748" s="28"/>
      <c r="DUV748" s="28"/>
      <c r="DUW748" s="28"/>
      <c r="DUX748" s="28"/>
      <c r="DUY748" s="28"/>
      <c r="DUZ748" s="28"/>
      <c r="DVA748" s="28"/>
      <c r="DVB748" s="28"/>
      <c r="DVC748" s="28"/>
      <c r="DVD748" s="28"/>
      <c r="DVE748" s="28"/>
      <c r="DVF748" s="28"/>
      <c r="DVG748" s="28"/>
      <c r="DVH748" s="28"/>
      <c r="DVI748" s="28"/>
      <c r="DVJ748" s="28"/>
      <c r="DVK748" s="28"/>
      <c r="DVL748" s="28"/>
      <c r="DVM748" s="28"/>
      <c r="DVN748" s="28"/>
      <c r="DVO748" s="28"/>
      <c r="DVP748" s="28"/>
      <c r="DVQ748" s="28"/>
      <c r="DVR748" s="28"/>
      <c r="DVS748" s="28"/>
      <c r="DVT748" s="28"/>
      <c r="DVU748" s="28"/>
      <c r="DVV748" s="28"/>
      <c r="DVW748" s="28"/>
      <c r="DVX748" s="28"/>
      <c r="DVY748" s="28"/>
      <c r="DVZ748" s="28"/>
      <c r="DWA748" s="28"/>
      <c r="DWB748" s="28"/>
      <c r="DWC748" s="28"/>
      <c r="DWD748" s="28"/>
      <c r="DWE748" s="28"/>
      <c r="DWF748" s="28"/>
      <c r="DWG748" s="28"/>
      <c r="DWH748" s="28"/>
      <c r="DWI748" s="28"/>
      <c r="DWJ748" s="28"/>
      <c r="DWK748" s="28"/>
      <c r="DWL748" s="28"/>
      <c r="DWM748" s="28"/>
      <c r="DWN748" s="28"/>
      <c r="DWO748" s="28"/>
      <c r="DWP748" s="28"/>
      <c r="DWQ748" s="28"/>
      <c r="DWR748" s="28"/>
      <c r="DWS748" s="28"/>
      <c r="DWT748" s="28"/>
      <c r="DWU748" s="28"/>
      <c r="DWV748" s="28"/>
      <c r="DWW748" s="28"/>
      <c r="DWX748" s="28"/>
      <c r="DWY748" s="28"/>
      <c r="DWZ748" s="28"/>
      <c r="DXA748" s="28"/>
      <c r="DXB748" s="28"/>
      <c r="DXC748" s="28"/>
      <c r="DXD748" s="28"/>
      <c r="DXE748" s="28"/>
      <c r="DXF748" s="28"/>
      <c r="DXG748" s="28"/>
      <c r="DXH748" s="28"/>
      <c r="DXI748" s="28"/>
      <c r="DXJ748" s="28"/>
      <c r="DXK748" s="28"/>
      <c r="DXL748" s="28"/>
      <c r="DXM748" s="28"/>
      <c r="DXN748" s="28"/>
      <c r="DXO748" s="28"/>
      <c r="DXP748" s="28"/>
      <c r="DXQ748" s="28"/>
      <c r="DXR748" s="28"/>
      <c r="DXS748" s="28"/>
      <c r="DXT748" s="28"/>
      <c r="DXU748" s="28"/>
      <c r="DXV748" s="28"/>
      <c r="DXW748" s="28"/>
      <c r="DXX748" s="28"/>
      <c r="DXY748" s="28"/>
      <c r="DXZ748" s="28"/>
      <c r="DYA748" s="28"/>
      <c r="DYB748" s="28"/>
      <c r="DYC748" s="28"/>
      <c r="DYD748" s="28"/>
      <c r="DYE748" s="28"/>
      <c r="DYF748" s="28"/>
      <c r="DYG748" s="28"/>
      <c r="DYH748" s="28"/>
      <c r="DYI748" s="28"/>
      <c r="DYJ748" s="28"/>
      <c r="DYK748" s="28"/>
      <c r="DYL748" s="28"/>
      <c r="DYM748" s="28"/>
      <c r="DYN748" s="28"/>
      <c r="DYO748" s="28"/>
      <c r="DYP748" s="28"/>
      <c r="DYQ748" s="28"/>
      <c r="DYR748" s="28"/>
      <c r="DYS748" s="28"/>
      <c r="DYT748" s="28"/>
      <c r="DYU748" s="28"/>
      <c r="DYV748" s="28"/>
      <c r="DYW748" s="28"/>
      <c r="DYX748" s="28"/>
      <c r="DYY748" s="28"/>
      <c r="DYZ748" s="28"/>
      <c r="DZA748" s="28"/>
      <c r="DZB748" s="28"/>
      <c r="DZC748" s="28"/>
      <c r="DZD748" s="28"/>
      <c r="DZE748" s="28"/>
      <c r="DZF748" s="28"/>
      <c r="DZG748" s="28"/>
      <c r="DZH748" s="28"/>
      <c r="DZI748" s="28"/>
      <c r="DZJ748" s="28"/>
      <c r="DZK748" s="28"/>
      <c r="DZL748" s="28"/>
      <c r="DZM748" s="28"/>
      <c r="DZN748" s="28"/>
      <c r="DZO748" s="28"/>
      <c r="DZP748" s="28"/>
      <c r="DZQ748" s="28"/>
      <c r="DZR748" s="28"/>
      <c r="DZS748" s="28"/>
      <c r="DZT748" s="28"/>
      <c r="DZU748" s="28"/>
      <c r="DZV748" s="28"/>
      <c r="DZW748" s="28"/>
      <c r="DZX748" s="28"/>
      <c r="DZY748" s="28"/>
      <c r="DZZ748" s="28"/>
      <c r="EAA748" s="28"/>
      <c r="EAB748" s="28"/>
      <c r="EAC748" s="28"/>
      <c r="EAD748" s="28"/>
      <c r="EAE748" s="28"/>
      <c r="EAF748" s="28"/>
      <c r="EAG748" s="28"/>
      <c r="EAH748" s="28"/>
      <c r="EAI748" s="28"/>
      <c r="EAJ748" s="28"/>
      <c r="EAK748" s="28"/>
      <c r="EAL748" s="28"/>
      <c r="EAM748" s="28"/>
      <c r="EAN748" s="28"/>
      <c r="EAO748" s="28"/>
      <c r="EAP748" s="28"/>
      <c r="EAQ748" s="28"/>
      <c r="EAR748" s="28"/>
      <c r="EAS748" s="28"/>
      <c r="EAT748" s="28"/>
      <c r="EAU748" s="28"/>
      <c r="EAV748" s="28"/>
      <c r="EAW748" s="28"/>
      <c r="EAX748" s="28"/>
      <c r="EAY748" s="28"/>
      <c r="EAZ748" s="28"/>
      <c r="EBA748" s="28"/>
      <c r="EBB748" s="28"/>
      <c r="EBC748" s="28"/>
      <c r="EBD748" s="28"/>
      <c r="EBE748" s="28"/>
      <c r="EBF748" s="28"/>
      <c r="EBG748" s="28"/>
      <c r="EBH748" s="28"/>
      <c r="EBI748" s="28"/>
      <c r="EBJ748" s="28"/>
      <c r="EBK748" s="28"/>
      <c r="EBL748" s="28"/>
      <c r="EBM748" s="28"/>
      <c r="EBN748" s="28"/>
      <c r="EBO748" s="28"/>
      <c r="EBP748" s="28"/>
      <c r="EBQ748" s="28"/>
      <c r="EBR748" s="28"/>
      <c r="EBS748" s="28"/>
      <c r="EBT748" s="28"/>
      <c r="EBU748" s="28"/>
      <c r="EBV748" s="28"/>
      <c r="EBW748" s="28"/>
      <c r="EBX748" s="28"/>
      <c r="EBY748" s="28"/>
      <c r="EBZ748" s="28"/>
      <c r="ECA748" s="28"/>
      <c r="ECB748" s="28"/>
      <c r="ECC748" s="28"/>
      <c r="ECD748" s="28"/>
      <c r="ECE748" s="28"/>
      <c r="ECF748" s="28"/>
      <c r="ECG748" s="28"/>
      <c r="ECH748" s="28"/>
      <c r="ECI748" s="28"/>
      <c r="ECJ748" s="28"/>
      <c r="ECK748" s="28"/>
      <c r="ECL748" s="28"/>
      <c r="ECM748" s="28"/>
      <c r="ECN748" s="28"/>
      <c r="ECO748" s="28"/>
      <c r="ECP748" s="28"/>
      <c r="ECQ748" s="28"/>
      <c r="ECR748" s="28"/>
      <c r="ECS748" s="28"/>
      <c r="ECT748" s="28"/>
      <c r="ECU748" s="28"/>
      <c r="ECV748" s="28"/>
      <c r="ECW748" s="28"/>
      <c r="ECX748" s="28"/>
      <c r="ECY748" s="28"/>
      <c r="ECZ748" s="28"/>
      <c r="EDA748" s="28"/>
      <c r="EDB748" s="28"/>
      <c r="EDC748" s="28"/>
      <c r="EDD748" s="28"/>
      <c r="EDE748" s="28"/>
      <c r="EDF748" s="28"/>
      <c r="EDG748" s="28"/>
      <c r="EDH748" s="28"/>
      <c r="EDI748" s="28"/>
      <c r="EDJ748" s="28"/>
      <c r="EDK748" s="28"/>
      <c r="EDL748" s="28"/>
      <c r="EDM748" s="28"/>
      <c r="EDN748" s="28"/>
      <c r="EDO748" s="28"/>
      <c r="EDP748" s="28"/>
      <c r="EDQ748" s="28"/>
      <c r="EDR748" s="28"/>
      <c r="EDS748" s="28"/>
      <c r="EDT748" s="28"/>
      <c r="EDU748" s="28"/>
      <c r="EDV748" s="28"/>
      <c r="EDW748" s="28"/>
      <c r="EDX748" s="28"/>
      <c r="EDY748" s="28"/>
      <c r="EDZ748" s="28"/>
      <c r="EEA748" s="28"/>
      <c r="EEB748" s="28"/>
      <c r="EEC748" s="28"/>
      <c r="EED748" s="28"/>
      <c r="EEE748" s="28"/>
      <c r="EEF748" s="28"/>
      <c r="EEG748" s="28"/>
      <c r="EEH748" s="28"/>
      <c r="EEI748" s="28"/>
      <c r="EEJ748" s="28"/>
      <c r="EEK748" s="28"/>
      <c r="EEL748" s="28"/>
      <c r="EEM748" s="28"/>
      <c r="EEN748" s="28"/>
      <c r="EEO748" s="28"/>
      <c r="EEP748" s="28"/>
      <c r="EEQ748" s="28"/>
      <c r="EER748" s="28"/>
      <c r="EES748" s="28"/>
      <c r="EET748" s="28"/>
      <c r="EEU748" s="28"/>
      <c r="EEV748" s="28"/>
      <c r="EEW748" s="28"/>
      <c r="EEX748" s="28"/>
      <c r="EEY748" s="28"/>
      <c r="EEZ748" s="28"/>
      <c r="EFA748" s="28"/>
      <c r="EFB748" s="28"/>
      <c r="EFC748" s="28"/>
      <c r="EFD748" s="28"/>
      <c r="EFE748" s="28"/>
      <c r="EFF748" s="28"/>
      <c r="EFG748" s="28"/>
      <c r="EFH748" s="28"/>
      <c r="EFI748" s="28"/>
      <c r="EFJ748" s="28"/>
      <c r="EFK748" s="28"/>
      <c r="EFL748" s="28"/>
      <c r="EFM748" s="28"/>
      <c r="EFN748" s="28"/>
      <c r="EFO748" s="28"/>
      <c r="EFP748" s="28"/>
      <c r="EFQ748" s="28"/>
      <c r="EFR748" s="28"/>
      <c r="EFS748" s="28"/>
      <c r="EFT748" s="28"/>
      <c r="EFU748" s="28"/>
      <c r="EFV748" s="28"/>
      <c r="EFW748" s="28"/>
      <c r="EFX748" s="28"/>
      <c r="EFY748" s="28"/>
      <c r="EFZ748" s="28"/>
      <c r="EGA748" s="28"/>
      <c r="EGB748" s="28"/>
      <c r="EGC748" s="28"/>
      <c r="EGD748" s="28"/>
      <c r="EGE748" s="28"/>
      <c r="EGF748" s="28"/>
      <c r="EGG748" s="28"/>
      <c r="EGH748" s="28"/>
      <c r="EGI748" s="28"/>
      <c r="EGJ748" s="28"/>
      <c r="EGK748" s="28"/>
      <c r="EGL748" s="28"/>
      <c r="EGM748" s="28"/>
      <c r="EGN748" s="28"/>
      <c r="EGO748" s="28"/>
      <c r="EGP748" s="28"/>
      <c r="EGQ748" s="28"/>
      <c r="EGR748" s="28"/>
      <c r="EGS748" s="28"/>
      <c r="EGT748" s="28"/>
      <c r="EGU748" s="28"/>
      <c r="EGV748" s="28"/>
      <c r="EGW748" s="28"/>
      <c r="EGX748" s="28"/>
      <c r="EGY748" s="28"/>
      <c r="EGZ748" s="28"/>
      <c r="EHA748" s="28"/>
      <c r="EHB748" s="28"/>
      <c r="EHC748" s="28"/>
      <c r="EHD748" s="28"/>
      <c r="EHE748" s="28"/>
      <c r="EHF748" s="28"/>
      <c r="EHG748" s="28"/>
      <c r="EHH748" s="28"/>
      <c r="EHI748" s="28"/>
      <c r="EHJ748" s="28"/>
      <c r="EHK748" s="28"/>
      <c r="EHL748" s="28"/>
      <c r="EHM748" s="28"/>
      <c r="EHN748" s="28"/>
      <c r="EHO748" s="28"/>
      <c r="EHP748" s="28"/>
      <c r="EHQ748" s="28"/>
      <c r="EHR748" s="28"/>
      <c r="EHS748" s="28"/>
      <c r="EHT748" s="28"/>
      <c r="EHU748" s="28"/>
      <c r="EHV748" s="28"/>
      <c r="EHW748" s="28"/>
      <c r="EHX748" s="28"/>
      <c r="EHY748" s="28"/>
      <c r="EHZ748" s="28"/>
      <c r="EIA748" s="28"/>
      <c r="EIB748" s="28"/>
      <c r="EIC748" s="28"/>
      <c r="EID748" s="28"/>
      <c r="EIE748" s="28"/>
      <c r="EIF748" s="28"/>
      <c r="EIG748" s="28"/>
      <c r="EIH748" s="28"/>
      <c r="EII748" s="28"/>
      <c r="EIJ748" s="28"/>
      <c r="EIK748" s="28"/>
      <c r="EIL748" s="28"/>
      <c r="EIM748" s="28"/>
      <c r="EIN748" s="28"/>
      <c r="EIO748" s="28"/>
      <c r="EIP748" s="28"/>
      <c r="EIQ748" s="28"/>
      <c r="EIR748" s="28"/>
      <c r="EIS748" s="28"/>
      <c r="EIT748" s="28"/>
      <c r="EIU748" s="28"/>
      <c r="EIV748" s="28"/>
      <c r="EIW748" s="28"/>
      <c r="EIX748" s="28"/>
      <c r="EIY748" s="28"/>
      <c r="EIZ748" s="28"/>
      <c r="EJA748" s="28"/>
      <c r="EJB748" s="28"/>
      <c r="EJC748" s="28"/>
      <c r="EJD748" s="28"/>
      <c r="EJE748" s="28"/>
      <c r="EJF748" s="28"/>
      <c r="EJG748" s="28"/>
      <c r="EJH748" s="28"/>
      <c r="EJI748" s="28"/>
      <c r="EJJ748" s="28"/>
      <c r="EJK748" s="28"/>
      <c r="EJL748" s="28"/>
      <c r="EJM748" s="28"/>
      <c r="EJN748" s="28"/>
      <c r="EJO748" s="28"/>
      <c r="EJP748" s="28"/>
      <c r="EJQ748" s="28"/>
      <c r="EJR748" s="28"/>
      <c r="EJS748" s="28"/>
      <c r="EJT748" s="28"/>
      <c r="EJU748" s="28"/>
      <c r="EJV748" s="28"/>
      <c r="EJW748" s="28"/>
      <c r="EJX748" s="28"/>
      <c r="EJY748" s="28"/>
      <c r="EJZ748" s="28"/>
      <c r="EKA748" s="28"/>
      <c r="EKB748" s="28"/>
      <c r="EKC748" s="28"/>
      <c r="EKD748" s="28"/>
      <c r="EKE748" s="28"/>
      <c r="EKF748" s="28"/>
      <c r="EKG748" s="28"/>
      <c r="EKH748" s="28"/>
      <c r="EKI748" s="28"/>
      <c r="EKJ748" s="28"/>
      <c r="EKK748" s="28"/>
      <c r="EKL748" s="28"/>
      <c r="EKM748" s="28"/>
      <c r="EKN748" s="28"/>
      <c r="EKO748" s="28"/>
      <c r="EKP748" s="28"/>
      <c r="EKQ748" s="28"/>
      <c r="EKR748" s="28"/>
      <c r="EKS748" s="28"/>
      <c r="EKT748" s="28"/>
      <c r="EKU748" s="28"/>
      <c r="EKV748" s="28"/>
      <c r="EKW748" s="28"/>
      <c r="EKX748" s="28"/>
      <c r="EKY748" s="28"/>
      <c r="EKZ748" s="28"/>
      <c r="ELA748" s="28"/>
      <c r="ELB748" s="28"/>
      <c r="ELC748" s="28"/>
      <c r="ELD748" s="28"/>
      <c r="ELE748" s="28"/>
      <c r="ELF748" s="28"/>
      <c r="ELG748" s="28"/>
      <c r="ELH748" s="28"/>
      <c r="ELI748" s="28"/>
      <c r="ELJ748" s="28"/>
      <c r="ELK748" s="28"/>
      <c r="ELL748" s="28"/>
      <c r="ELM748" s="28"/>
      <c r="ELN748" s="28"/>
      <c r="ELO748" s="28"/>
      <c r="ELP748" s="28"/>
      <c r="ELQ748" s="28"/>
      <c r="ELR748" s="28"/>
      <c r="ELS748" s="28"/>
      <c r="ELT748" s="28"/>
      <c r="ELU748" s="28"/>
      <c r="ELV748" s="28"/>
      <c r="ELW748" s="28"/>
      <c r="ELX748" s="28"/>
      <c r="ELY748" s="28"/>
      <c r="ELZ748" s="28"/>
      <c r="EMA748" s="28"/>
      <c r="EMB748" s="28"/>
      <c r="EMC748" s="28"/>
      <c r="EMD748" s="28"/>
      <c r="EME748" s="28"/>
      <c r="EMF748" s="28"/>
      <c r="EMG748" s="28"/>
      <c r="EMH748" s="28"/>
      <c r="EMI748" s="28"/>
      <c r="EMJ748" s="28"/>
      <c r="EMK748" s="28"/>
      <c r="EML748" s="28"/>
      <c r="EMM748" s="28"/>
      <c r="EMN748" s="28"/>
      <c r="EMO748" s="28"/>
      <c r="EMP748" s="28"/>
      <c r="EMQ748" s="28"/>
      <c r="EMR748" s="28"/>
      <c r="EMS748" s="28"/>
      <c r="EMT748" s="28"/>
      <c r="EMU748" s="28"/>
      <c r="EMV748" s="28"/>
      <c r="EMW748" s="28"/>
      <c r="EMX748" s="28"/>
      <c r="EMY748" s="28"/>
      <c r="EMZ748" s="28"/>
      <c r="ENA748" s="28"/>
      <c r="ENB748" s="28"/>
      <c r="ENC748" s="28"/>
      <c r="END748" s="28"/>
      <c r="ENE748" s="28"/>
      <c r="ENF748" s="28"/>
      <c r="ENG748" s="28"/>
      <c r="ENH748" s="28"/>
      <c r="ENI748" s="28"/>
      <c r="ENJ748" s="28"/>
      <c r="ENK748" s="28"/>
      <c r="ENL748" s="28"/>
      <c r="ENM748" s="28"/>
      <c r="ENN748" s="28"/>
      <c r="ENO748" s="28"/>
      <c r="ENP748" s="28"/>
      <c r="ENQ748" s="28"/>
      <c r="ENR748" s="28"/>
      <c r="ENS748" s="28"/>
      <c r="ENT748" s="28"/>
      <c r="ENU748" s="28"/>
      <c r="ENV748" s="28"/>
      <c r="ENW748" s="28"/>
      <c r="ENX748" s="28"/>
      <c r="ENY748" s="28"/>
      <c r="ENZ748" s="28"/>
      <c r="EOA748" s="28"/>
      <c r="EOB748" s="28"/>
      <c r="EOC748" s="28"/>
      <c r="EOD748" s="28"/>
      <c r="EOE748" s="28"/>
      <c r="EOF748" s="28"/>
      <c r="EOG748" s="28"/>
      <c r="EOH748" s="28"/>
      <c r="EOI748" s="28"/>
      <c r="EOJ748" s="28"/>
      <c r="EOK748" s="28"/>
      <c r="EOL748" s="28"/>
      <c r="EOM748" s="28"/>
      <c r="EON748" s="28"/>
      <c r="EOO748" s="28"/>
      <c r="EOP748" s="28"/>
      <c r="EOQ748" s="28"/>
      <c r="EOR748" s="28"/>
      <c r="EOS748" s="28"/>
      <c r="EOT748" s="28"/>
      <c r="EOU748" s="28"/>
      <c r="EOV748" s="28"/>
      <c r="EOW748" s="28"/>
      <c r="EOX748" s="28"/>
      <c r="EOY748" s="28"/>
      <c r="EOZ748" s="28"/>
      <c r="EPA748" s="28"/>
      <c r="EPB748" s="28"/>
      <c r="EPC748" s="28"/>
      <c r="EPD748" s="28"/>
      <c r="EPE748" s="28"/>
      <c r="EPF748" s="28"/>
      <c r="EPG748" s="28"/>
      <c r="EPH748" s="28"/>
      <c r="EPI748" s="28"/>
      <c r="EPJ748" s="28"/>
      <c r="EPK748" s="28"/>
      <c r="EPL748" s="28"/>
      <c r="EPM748" s="28"/>
      <c r="EPN748" s="28"/>
      <c r="EPO748" s="28"/>
      <c r="EPP748" s="28"/>
      <c r="EPQ748" s="28"/>
      <c r="EPR748" s="28"/>
      <c r="EPS748" s="28"/>
      <c r="EPT748" s="28"/>
      <c r="EPU748" s="28"/>
      <c r="EPV748" s="28"/>
      <c r="EPW748" s="28"/>
      <c r="EPX748" s="28"/>
      <c r="EPY748" s="28"/>
      <c r="EPZ748" s="28"/>
      <c r="EQA748" s="28"/>
      <c r="EQB748" s="28"/>
      <c r="EQC748" s="28"/>
      <c r="EQD748" s="28"/>
      <c r="EQE748" s="28"/>
      <c r="EQF748" s="28"/>
      <c r="EQG748" s="28"/>
      <c r="EQH748" s="28"/>
      <c r="EQI748" s="28"/>
      <c r="EQJ748" s="28"/>
      <c r="EQK748" s="28"/>
      <c r="EQL748" s="28"/>
      <c r="EQM748" s="28"/>
      <c r="EQN748" s="28"/>
      <c r="EQO748" s="28"/>
      <c r="EQP748" s="28"/>
      <c r="EQQ748" s="28"/>
      <c r="EQR748" s="28"/>
      <c r="EQS748" s="28"/>
      <c r="EQT748" s="28"/>
      <c r="EQU748" s="28"/>
      <c r="EQV748" s="28"/>
      <c r="EQW748" s="28"/>
      <c r="EQX748" s="28"/>
      <c r="EQY748" s="28"/>
      <c r="EQZ748" s="28"/>
      <c r="ERA748" s="28"/>
      <c r="ERB748" s="28"/>
      <c r="ERC748" s="28"/>
      <c r="ERD748" s="28"/>
      <c r="ERE748" s="28"/>
      <c r="ERF748" s="28"/>
      <c r="ERG748" s="28"/>
      <c r="ERH748" s="28"/>
      <c r="ERI748" s="28"/>
      <c r="ERJ748" s="28"/>
      <c r="ERK748" s="28"/>
      <c r="ERL748" s="28"/>
      <c r="ERM748" s="28"/>
      <c r="ERN748" s="28"/>
      <c r="ERO748" s="28"/>
      <c r="ERP748" s="28"/>
      <c r="ERQ748" s="28"/>
      <c r="ERR748" s="28"/>
      <c r="ERS748" s="28"/>
      <c r="ERT748" s="28"/>
      <c r="ERU748" s="28"/>
      <c r="ERV748" s="28"/>
      <c r="ERW748" s="28"/>
      <c r="ERX748" s="28"/>
      <c r="ERY748" s="28"/>
      <c r="ERZ748" s="28"/>
      <c r="ESA748" s="28"/>
      <c r="ESB748" s="28"/>
      <c r="ESC748" s="28"/>
      <c r="ESD748" s="28"/>
      <c r="ESE748" s="28"/>
      <c r="ESF748" s="28"/>
      <c r="ESG748" s="28"/>
      <c r="ESH748" s="28"/>
      <c r="ESI748" s="28"/>
      <c r="ESJ748" s="28"/>
      <c r="ESK748" s="28"/>
      <c r="ESL748" s="28"/>
      <c r="ESM748" s="28"/>
      <c r="ESN748" s="28"/>
      <c r="ESO748" s="28"/>
      <c r="ESP748" s="28"/>
      <c r="ESQ748" s="28"/>
      <c r="ESR748" s="28"/>
      <c r="ESS748" s="28"/>
      <c r="EST748" s="28"/>
      <c r="ESU748" s="28"/>
      <c r="ESV748" s="28"/>
      <c r="ESW748" s="28"/>
      <c r="ESX748" s="28"/>
      <c r="ESY748" s="28"/>
      <c r="ESZ748" s="28"/>
      <c r="ETA748" s="28"/>
      <c r="ETB748" s="28"/>
      <c r="ETC748" s="28"/>
      <c r="ETD748" s="28"/>
      <c r="ETE748" s="28"/>
      <c r="ETF748" s="28"/>
      <c r="ETG748" s="28"/>
      <c r="ETH748" s="28"/>
      <c r="ETI748" s="28"/>
      <c r="ETJ748" s="28"/>
      <c r="ETK748" s="28"/>
      <c r="ETL748" s="28"/>
      <c r="ETM748" s="28"/>
      <c r="ETN748" s="28"/>
      <c r="ETO748" s="28"/>
      <c r="ETP748" s="28"/>
      <c r="ETQ748" s="28"/>
      <c r="ETR748" s="28"/>
      <c r="ETS748" s="28"/>
      <c r="ETT748" s="28"/>
      <c r="ETU748" s="28"/>
      <c r="ETV748" s="28"/>
      <c r="ETW748" s="28"/>
      <c r="ETX748" s="28"/>
      <c r="ETY748" s="28"/>
      <c r="ETZ748" s="28"/>
      <c r="EUA748" s="28"/>
      <c r="EUB748" s="28"/>
      <c r="EUC748" s="28"/>
      <c r="EUD748" s="28"/>
      <c r="EUE748" s="28"/>
      <c r="EUF748" s="28"/>
      <c r="EUG748" s="28"/>
      <c r="EUH748" s="28"/>
      <c r="EUI748" s="28"/>
      <c r="EUJ748" s="28"/>
      <c r="EUK748" s="28"/>
      <c r="EUL748" s="28"/>
      <c r="EUM748" s="28"/>
      <c r="EUN748" s="28"/>
      <c r="EUO748" s="28"/>
      <c r="EUP748" s="28"/>
      <c r="EUQ748" s="28"/>
      <c r="EUR748" s="28"/>
      <c r="EUS748" s="28"/>
      <c r="EUT748" s="28"/>
      <c r="EUU748" s="28"/>
      <c r="EUV748" s="28"/>
      <c r="EUW748" s="28"/>
      <c r="EUX748" s="28"/>
      <c r="EUY748" s="28"/>
      <c r="EUZ748" s="28"/>
      <c r="EVA748" s="28"/>
      <c r="EVB748" s="28"/>
      <c r="EVC748" s="28"/>
      <c r="EVD748" s="28"/>
      <c r="EVE748" s="28"/>
      <c r="EVF748" s="28"/>
      <c r="EVG748" s="28"/>
      <c r="EVH748" s="28"/>
      <c r="EVI748" s="28"/>
      <c r="EVJ748" s="28"/>
      <c r="EVK748" s="28"/>
      <c r="EVL748" s="28"/>
      <c r="EVM748" s="28"/>
      <c r="EVN748" s="28"/>
      <c r="EVO748" s="28"/>
      <c r="EVP748" s="28"/>
      <c r="EVQ748" s="28"/>
      <c r="EVR748" s="28"/>
      <c r="EVS748" s="28"/>
      <c r="EVT748" s="28"/>
      <c r="EVU748" s="28"/>
      <c r="EVV748" s="28"/>
      <c r="EVW748" s="28"/>
      <c r="EVX748" s="28"/>
      <c r="EVY748" s="28"/>
      <c r="EVZ748" s="28"/>
      <c r="EWA748" s="28"/>
      <c r="EWB748" s="28"/>
      <c r="EWC748" s="28"/>
      <c r="EWD748" s="28"/>
      <c r="EWE748" s="28"/>
      <c r="EWF748" s="28"/>
      <c r="EWG748" s="28"/>
      <c r="EWH748" s="28"/>
      <c r="EWI748" s="28"/>
      <c r="EWJ748" s="28"/>
      <c r="EWK748" s="28"/>
      <c r="EWL748" s="28"/>
      <c r="EWM748" s="28"/>
      <c r="EWN748" s="28"/>
      <c r="EWO748" s="28"/>
      <c r="EWP748" s="28"/>
      <c r="EWQ748" s="28"/>
      <c r="EWR748" s="28"/>
      <c r="EWS748" s="28"/>
      <c r="EWT748" s="28"/>
      <c r="EWU748" s="28"/>
      <c r="EWV748" s="28"/>
      <c r="EWW748" s="28"/>
      <c r="EWX748" s="28"/>
      <c r="EWY748" s="28"/>
      <c r="EWZ748" s="28"/>
      <c r="EXA748" s="28"/>
      <c r="EXB748" s="28"/>
      <c r="EXC748" s="28"/>
      <c r="EXD748" s="28"/>
      <c r="EXE748" s="28"/>
      <c r="EXF748" s="28"/>
      <c r="EXG748" s="28"/>
      <c r="EXH748" s="28"/>
      <c r="EXI748" s="28"/>
      <c r="EXJ748" s="28"/>
      <c r="EXK748" s="28"/>
      <c r="EXL748" s="28"/>
      <c r="EXM748" s="28"/>
      <c r="EXN748" s="28"/>
      <c r="EXO748" s="28"/>
      <c r="EXP748" s="28"/>
      <c r="EXQ748" s="28"/>
      <c r="EXR748" s="28"/>
      <c r="EXS748" s="28"/>
      <c r="EXT748" s="28"/>
      <c r="EXU748" s="28"/>
      <c r="EXV748" s="28"/>
      <c r="EXW748" s="28"/>
      <c r="EXX748" s="28"/>
      <c r="EXY748" s="28"/>
      <c r="EXZ748" s="28"/>
      <c r="EYA748" s="28"/>
      <c r="EYB748" s="28"/>
      <c r="EYC748" s="28"/>
      <c r="EYD748" s="28"/>
      <c r="EYE748" s="28"/>
      <c r="EYF748" s="28"/>
      <c r="EYG748" s="28"/>
      <c r="EYH748" s="28"/>
      <c r="EYI748" s="28"/>
      <c r="EYJ748" s="28"/>
      <c r="EYK748" s="28"/>
      <c r="EYL748" s="28"/>
      <c r="EYM748" s="28"/>
      <c r="EYN748" s="28"/>
      <c r="EYO748" s="28"/>
      <c r="EYP748" s="28"/>
      <c r="EYQ748" s="28"/>
      <c r="EYR748" s="28"/>
      <c r="EYS748" s="28"/>
      <c r="EYT748" s="28"/>
      <c r="EYU748" s="28"/>
      <c r="EYV748" s="28"/>
      <c r="EYW748" s="28"/>
      <c r="EYX748" s="28"/>
      <c r="EYY748" s="28"/>
      <c r="EYZ748" s="28"/>
      <c r="EZA748" s="28"/>
      <c r="EZB748" s="28"/>
      <c r="EZC748" s="28"/>
      <c r="EZD748" s="28"/>
      <c r="EZE748" s="28"/>
      <c r="EZF748" s="28"/>
      <c r="EZG748" s="28"/>
      <c r="EZH748" s="28"/>
      <c r="EZI748" s="28"/>
      <c r="EZJ748" s="28"/>
      <c r="EZK748" s="28"/>
      <c r="EZL748" s="28"/>
      <c r="EZM748" s="28"/>
      <c r="EZN748" s="28"/>
      <c r="EZO748" s="28"/>
      <c r="EZP748" s="28"/>
      <c r="EZQ748" s="28"/>
      <c r="EZR748" s="28"/>
      <c r="EZS748" s="28"/>
      <c r="EZT748" s="28"/>
      <c r="EZU748" s="28"/>
      <c r="EZV748" s="28"/>
      <c r="EZW748" s="28"/>
      <c r="EZX748" s="28"/>
      <c r="EZY748" s="28"/>
      <c r="EZZ748" s="28"/>
      <c r="FAA748" s="28"/>
      <c r="FAB748" s="28"/>
      <c r="FAC748" s="28"/>
      <c r="FAD748" s="28"/>
      <c r="FAE748" s="28"/>
      <c r="FAF748" s="28"/>
      <c r="FAG748" s="28"/>
      <c r="FAH748" s="28"/>
      <c r="FAI748" s="28"/>
      <c r="FAJ748" s="28"/>
      <c r="FAK748" s="28"/>
      <c r="FAL748" s="28"/>
      <c r="FAM748" s="28"/>
      <c r="FAN748" s="28"/>
      <c r="FAO748" s="28"/>
      <c r="FAP748" s="28"/>
      <c r="FAQ748" s="28"/>
      <c r="FAR748" s="28"/>
      <c r="FAS748" s="28"/>
      <c r="FAT748" s="28"/>
      <c r="FAU748" s="28"/>
      <c r="FAV748" s="28"/>
      <c r="FAW748" s="28"/>
      <c r="FAX748" s="28"/>
      <c r="FAY748" s="28"/>
      <c r="FAZ748" s="28"/>
      <c r="FBA748" s="28"/>
      <c r="FBB748" s="28"/>
      <c r="FBC748" s="28"/>
      <c r="FBD748" s="28"/>
      <c r="FBE748" s="28"/>
      <c r="FBF748" s="28"/>
      <c r="FBG748" s="28"/>
      <c r="FBH748" s="28"/>
      <c r="FBI748" s="28"/>
      <c r="FBJ748" s="28"/>
      <c r="FBK748" s="28"/>
      <c r="FBL748" s="28"/>
      <c r="FBM748" s="28"/>
      <c r="FBN748" s="28"/>
      <c r="FBO748" s="28"/>
      <c r="FBP748" s="28"/>
      <c r="FBQ748" s="28"/>
      <c r="FBR748" s="28"/>
      <c r="FBS748" s="28"/>
      <c r="FBT748" s="28"/>
      <c r="FBU748" s="28"/>
      <c r="FBV748" s="28"/>
      <c r="FBW748" s="28"/>
      <c r="FBX748" s="28"/>
      <c r="FBY748" s="28"/>
      <c r="FBZ748" s="28"/>
      <c r="FCA748" s="28"/>
      <c r="FCB748" s="28"/>
      <c r="FCC748" s="28"/>
      <c r="FCD748" s="28"/>
      <c r="FCE748" s="28"/>
      <c r="FCF748" s="28"/>
      <c r="FCG748" s="28"/>
      <c r="FCH748" s="28"/>
      <c r="FCI748" s="28"/>
      <c r="FCJ748" s="28"/>
      <c r="FCK748" s="28"/>
      <c r="FCL748" s="28"/>
      <c r="FCM748" s="28"/>
      <c r="FCN748" s="28"/>
      <c r="FCO748" s="28"/>
      <c r="FCP748" s="28"/>
      <c r="FCQ748" s="28"/>
      <c r="FCR748" s="28"/>
      <c r="FCS748" s="28"/>
      <c r="FCT748" s="28"/>
      <c r="FCU748" s="28"/>
      <c r="FCV748" s="28"/>
      <c r="FCW748" s="28"/>
      <c r="FCX748" s="28"/>
      <c r="FCY748" s="28"/>
      <c r="FCZ748" s="28"/>
      <c r="FDA748" s="28"/>
      <c r="FDB748" s="28"/>
      <c r="FDC748" s="28"/>
      <c r="FDD748" s="28"/>
      <c r="FDE748" s="28"/>
      <c r="FDF748" s="28"/>
      <c r="FDG748" s="28"/>
      <c r="FDH748" s="28"/>
      <c r="FDI748" s="28"/>
      <c r="FDJ748" s="28"/>
      <c r="FDK748" s="28"/>
      <c r="FDL748" s="28"/>
      <c r="FDM748" s="28"/>
      <c r="FDN748" s="28"/>
      <c r="FDO748" s="28"/>
      <c r="FDP748" s="28"/>
      <c r="FDQ748" s="28"/>
      <c r="FDR748" s="28"/>
      <c r="FDS748" s="28"/>
      <c r="FDT748" s="28"/>
      <c r="FDU748" s="28"/>
      <c r="FDV748" s="28"/>
      <c r="FDW748" s="28"/>
      <c r="FDX748" s="28"/>
      <c r="FDY748" s="28"/>
      <c r="FDZ748" s="28"/>
      <c r="FEA748" s="28"/>
      <c r="FEB748" s="28"/>
      <c r="FEC748" s="28"/>
      <c r="FED748" s="28"/>
      <c r="FEE748" s="28"/>
      <c r="FEF748" s="28"/>
      <c r="FEG748" s="28"/>
      <c r="FEH748" s="28"/>
      <c r="FEI748" s="28"/>
      <c r="FEJ748" s="28"/>
      <c r="FEK748" s="28"/>
      <c r="FEL748" s="28"/>
      <c r="FEM748" s="28"/>
      <c r="FEN748" s="28"/>
      <c r="FEO748" s="28"/>
      <c r="FEP748" s="28"/>
      <c r="FEQ748" s="28"/>
      <c r="FER748" s="28"/>
      <c r="FES748" s="28"/>
      <c r="FET748" s="28"/>
      <c r="FEU748" s="28"/>
      <c r="FEV748" s="28"/>
      <c r="FEW748" s="28"/>
      <c r="FEX748" s="28"/>
      <c r="FEY748" s="28"/>
      <c r="FEZ748" s="28"/>
      <c r="FFA748" s="28"/>
      <c r="FFB748" s="28"/>
      <c r="FFC748" s="28"/>
      <c r="FFD748" s="28"/>
      <c r="FFE748" s="28"/>
      <c r="FFF748" s="28"/>
      <c r="FFG748" s="28"/>
      <c r="FFH748" s="28"/>
      <c r="FFI748" s="28"/>
      <c r="FFJ748" s="28"/>
      <c r="FFK748" s="28"/>
      <c r="FFL748" s="28"/>
      <c r="FFM748" s="28"/>
      <c r="FFN748" s="28"/>
      <c r="FFO748" s="28"/>
      <c r="FFP748" s="28"/>
      <c r="FFQ748" s="28"/>
      <c r="FFR748" s="28"/>
      <c r="FFS748" s="28"/>
      <c r="FFT748" s="28"/>
      <c r="FFU748" s="28"/>
      <c r="FFV748" s="28"/>
      <c r="FFW748" s="28"/>
      <c r="FFX748" s="28"/>
      <c r="FFY748" s="28"/>
      <c r="FFZ748" s="28"/>
      <c r="FGA748" s="28"/>
      <c r="FGB748" s="28"/>
      <c r="FGC748" s="28"/>
      <c r="FGD748" s="28"/>
      <c r="FGE748" s="28"/>
      <c r="FGF748" s="28"/>
      <c r="FGG748" s="28"/>
      <c r="FGH748" s="28"/>
      <c r="FGI748" s="28"/>
      <c r="FGJ748" s="28"/>
      <c r="FGK748" s="28"/>
      <c r="FGL748" s="28"/>
      <c r="FGM748" s="28"/>
      <c r="FGN748" s="28"/>
      <c r="FGO748" s="28"/>
      <c r="FGP748" s="28"/>
      <c r="FGQ748" s="28"/>
      <c r="FGR748" s="28"/>
      <c r="FGS748" s="28"/>
      <c r="FGT748" s="28"/>
      <c r="FGU748" s="28"/>
      <c r="FGV748" s="28"/>
      <c r="FGW748" s="28"/>
      <c r="FGX748" s="28"/>
      <c r="FGY748" s="28"/>
      <c r="FGZ748" s="28"/>
      <c r="FHA748" s="28"/>
      <c r="FHB748" s="28"/>
      <c r="FHC748" s="28"/>
      <c r="FHD748" s="28"/>
      <c r="FHE748" s="28"/>
      <c r="FHF748" s="28"/>
      <c r="FHG748" s="28"/>
      <c r="FHH748" s="28"/>
      <c r="FHI748" s="28"/>
      <c r="FHJ748" s="28"/>
      <c r="FHK748" s="28"/>
      <c r="FHL748" s="28"/>
      <c r="FHM748" s="28"/>
      <c r="FHN748" s="28"/>
      <c r="FHO748" s="28"/>
      <c r="FHP748" s="28"/>
      <c r="FHQ748" s="28"/>
      <c r="FHR748" s="28"/>
      <c r="FHS748" s="28"/>
      <c r="FHT748" s="28"/>
      <c r="FHU748" s="28"/>
      <c r="FHV748" s="28"/>
      <c r="FHW748" s="28"/>
      <c r="FHX748" s="28"/>
      <c r="FHY748" s="28"/>
      <c r="FHZ748" s="28"/>
      <c r="FIA748" s="28"/>
      <c r="FIB748" s="28"/>
      <c r="FIC748" s="28"/>
      <c r="FID748" s="28"/>
      <c r="FIE748" s="28"/>
      <c r="FIF748" s="28"/>
      <c r="FIG748" s="28"/>
      <c r="FIH748" s="28"/>
      <c r="FII748" s="28"/>
      <c r="FIJ748" s="28"/>
      <c r="FIK748" s="28"/>
      <c r="FIL748" s="28"/>
      <c r="FIM748" s="28"/>
      <c r="FIN748" s="28"/>
      <c r="FIO748" s="28"/>
      <c r="FIP748" s="28"/>
      <c r="FIQ748" s="28"/>
      <c r="FIR748" s="28"/>
      <c r="FIS748" s="28"/>
      <c r="FIT748" s="28"/>
      <c r="FIU748" s="28"/>
      <c r="FIV748" s="28"/>
      <c r="FIW748" s="28"/>
      <c r="FIX748" s="28"/>
      <c r="FIY748" s="28"/>
      <c r="FIZ748" s="28"/>
      <c r="FJA748" s="28"/>
      <c r="FJB748" s="28"/>
      <c r="FJC748" s="28"/>
      <c r="FJD748" s="28"/>
      <c r="FJE748" s="28"/>
      <c r="FJF748" s="28"/>
      <c r="FJG748" s="28"/>
      <c r="FJH748" s="28"/>
      <c r="FJI748" s="28"/>
      <c r="FJJ748" s="28"/>
      <c r="FJK748" s="28"/>
      <c r="FJL748" s="28"/>
      <c r="FJM748" s="28"/>
      <c r="FJN748" s="28"/>
      <c r="FJO748" s="28"/>
      <c r="FJP748" s="28"/>
      <c r="FJQ748" s="28"/>
      <c r="FJR748" s="28"/>
      <c r="FJS748" s="28"/>
      <c r="FJT748" s="28"/>
      <c r="FJU748" s="28"/>
      <c r="FJV748" s="28"/>
      <c r="FJW748" s="28"/>
      <c r="FJX748" s="28"/>
      <c r="FJY748" s="28"/>
      <c r="FJZ748" s="28"/>
      <c r="FKA748" s="28"/>
      <c r="FKB748" s="28"/>
      <c r="FKC748" s="28"/>
      <c r="FKD748" s="28"/>
      <c r="FKE748" s="28"/>
      <c r="FKF748" s="28"/>
      <c r="FKG748" s="28"/>
      <c r="FKH748" s="28"/>
      <c r="FKI748" s="28"/>
      <c r="FKJ748" s="28"/>
      <c r="FKK748" s="28"/>
      <c r="FKL748" s="28"/>
      <c r="FKM748" s="28"/>
      <c r="FKN748" s="28"/>
      <c r="FKO748" s="28"/>
      <c r="FKP748" s="28"/>
      <c r="FKQ748" s="28"/>
      <c r="FKR748" s="28"/>
      <c r="FKS748" s="28"/>
      <c r="FKT748" s="28"/>
      <c r="FKU748" s="28"/>
      <c r="FKV748" s="28"/>
      <c r="FKW748" s="28"/>
      <c r="FKX748" s="28"/>
      <c r="FKY748" s="28"/>
      <c r="FKZ748" s="28"/>
      <c r="FLA748" s="28"/>
      <c r="FLB748" s="28"/>
      <c r="FLC748" s="28"/>
      <c r="FLD748" s="28"/>
      <c r="FLE748" s="28"/>
      <c r="FLF748" s="28"/>
      <c r="FLG748" s="28"/>
      <c r="FLH748" s="28"/>
      <c r="FLI748" s="28"/>
      <c r="FLJ748" s="28"/>
      <c r="FLK748" s="28"/>
      <c r="FLL748" s="28"/>
      <c r="FLM748" s="28"/>
      <c r="FLN748" s="28"/>
      <c r="FLO748" s="28"/>
      <c r="FLP748" s="28"/>
      <c r="FLQ748" s="28"/>
      <c r="FLR748" s="28"/>
      <c r="FLS748" s="28"/>
      <c r="FLT748" s="28"/>
      <c r="FLU748" s="28"/>
      <c r="FLV748" s="28"/>
      <c r="FLW748" s="28"/>
      <c r="FLX748" s="28"/>
      <c r="FLY748" s="28"/>
      <c r="FLZ748" s="28"/>
      <c r="FMA748" s="28"/>
      <c r="FMB748" s="28"/>
      <c r="FMC748" s="28"/>
      <c r="FMD748" s="28"/>
      <c r="FME748" s="28"/>
      <c r="FMF748" s="28"/>
      <c r="FMG748" s="28"/>
      <c r="FMH748" s="28"/>
      <c r="FMI748" s="28"/>
      <c r="FMJ748" s="28"/>
      <c r="FMK748" s="28"/>
      <c r="FML748" s="28"/>
      <c r="FMM748" s="28"/>
      <c r="FMN748" s="28"/>
      <c r="FMO748" s="28"/>
      <c r="FMP748" s="28"/>
      <c r="FMQ748" s="28"/>
      <c r="FMR748" s="28"/>
      <c r="FMS748" s="28"/>
      <c r="FMT748" s="28"/>
      <c r="FMU748" s="28"/>
      <c r="FMV748" s="28"/>
      <c r="FMW748" s="28"/>
      <c r="FMX748" s="28"/>
      <c r="FMY748" s="28"/>
      <c r="FMZ748" s="28"/>
      <c r="FNA748" s="28"/>
      <c r="FNB748" s="28"/>
      <c r="FNC748" s="28"/>
      <c r="FND748" s="28"/>
      <c r="FNE748" s="28"/>
      <c r="FNF748" s="28"/>
      <c r="FNG748" s="28"/>
      <c r="FNH748" s="28"/>
      <c r="FNI748" s="28"/>
      <c r="FNJ748" s="28"/>
      <c r="FNK748" s="28"/>
      <c r="FNL748" s="28"/>
      <c r="FNM748" s="28"/>
      <c r="FNN748" s="28"/>
      <c r="FNO748" s="28"/>
      <c r="FNP748" s="28"/>
      <c r="FNQ748" s="28"/>
      <c r="FNR748" s="28"/>
      <c r="FNS748" s="28"/>
      <c r="FNT748" s="28"/>
      <c r="FNU748" s="28"/>
      <c r="FNV748" s="28"/>
      <c r="FNW748" s="28"/>
      <c r="FNX748" s="28"/>
      <c r="FNY748" s="28"/>
      <c r="FNZ748" s="28"/>
      <c r="FOA748" s="28"/>
      <c r="FOB748" s="28"/>
      <c r="FOC748" s="28"/>
      <c r="FOD748" s="28"/>
      <c r="FOE748" s="28"/>
      <c r="FOF748" s="28"/>
      <c r="FOG748" s="28"/>
      <c r="FOH748" s="28"/>
      <c r="FOI748" s="28"/>
      <c r="FOJ748" s="28"/>
      <c r="FOK748" s="28"/>
      <c r="FOL748" s="28"/>
      <c r="FOM748" s="28"/>
      <c r="FON748" s="28"/>
      <c r="FOO748" s="28"/>
      <c r="FOP748" s="28"/>
      <c r="FOQ748" s="28"/>
      <c r="FOR748" s="28"/>
      <c r="FOS748" s="28"/>
      <c r="FOT748" s="28"/>
      <c r="FOU748" s="28"/>
      <c r="FOV748" s="28"/>
      <c r="FOW748" s="28"/>
      <c r="FOX748" s="28"/>
      <c r="FOY748" s="28"/>
      <c r="FOZ748" s="28"/>
      <c r="FPA748" s="28"/>
      <c r="FPB748" s="28"/>
      <c r="FPC748" s="28"/>
      <c r="FPD748" s="28"/>
      <c r="FPE748" s="28"/>
      <c r="FPF748" s="28"/>
      <c r="FPG748" s="28"/>
      <c r="FPH748" s="28"/>
      <c r="FPI748" s="28"/>
      <c r="FPJ748" s="28"/>
      <c r="FPK748" s="28"/>
      <c r="FPL748" s="28"/>
      <c r="FPM748" s="28"/>
      <c r="FPN748" s="28"/>
      <c r="FPO748" s="28"/>
      <c r="FPP748" s="28"/>
      <c r="FPQ748" s="28"/>
      <c r="FPR748" s="28"/>
      <c r="FPS748" s="28"/>
      <c r="FPT748" s="28"/>
      <c r="FPU748" s="28"/>
      <c r="FPV748" s="28"/>
      <c r="FPW748" s="28"/>
      <c r="FPX748" s="28"/>
      <c r="FPY748" s="28"/>
      <c r="FPZ748" s="28"/>
      <c r="FQA748" s="28"/>
      <c r="FQB748" s="28"/>
      <c r="FQC748" s="28"/>
      <c r="FQD748" s="28"/>
      <c r="FQE748" s="28"/>
      <c r="FQF748" s="28"/>
      <c r="FQG748" s="28"/>
      <c r="FQH748" s="28"/>
      <c r="FQI748" s="28"/>
      <c r="FQJ748" s="28"/>
      <c r="FQK748" s="28"/>
      <c r="FQL748" s="28"/>
      <c r="FQM748" s="28"/>
      <c r="FQN748" s="28"/>
      <c r="FQO748" s="28"/>
      <c r="FQP748" s="28"/>
      <c r="FQQ748" s="28"/>
      <c r="FQR748" s="28"/>
      <c r="FQS748" s="28"/>
      <c r="FQT748" s="28"/>
      <c r="FQU748" s="28"/>
      <c r="FQV748" s="28"/>
      <c r="FQW748" s="28"/>
      <c r="FQX748" s="28"/>
      <c r="FQY748" s="28"/>
      <c r="FQZ748" s="28"/>
      <c r="FRA748" s="28"/>
      <c r="FRB748" s="28"/>
      <c r="FRC748" s="28"/>
      <c r="FRD748" s="28"/>
      <c r="FRE748" s="28"/>
      <c r="FRF748" s="28"/>
      <c r="FRG748" s="28"/>
      <c r="FRH748" s="28"/>
      <c r="FRI748" s="28"/>
      <c r="FRJ748" s="28"/>
      <c r="FRK748" s="28"/>
      <c r="FRL748" s="28"/>
      <c r="FRM748" s="28"/>
      <c r="FRN748" s="28"/>
      <c r="FRO748" s="28"/>
      <c r="FRP748" s="28"/>
      <c r="FRQ748" s="28"/>
      <c r="FRR748" s="28"/>
      <c r="FRS748" s="28"/>
      <c r="FRT748" s="28"/>
      <c r="FRU748" s="28"/>
      <c r="FRV748" s="28"/>
      <c r="FRW748" s="28"/>
      <c r="FRX748" s="28"/>
      <c r="FRY748" s="28"/>
      <c r="FRZ748" s="28"/>
      <c r="FSA748" s="28"/>
      <c r="FSB748" s="28"/>
      <c r="FSC748" s="28"/>
      <c r="FSD748" s="28"/>
      <c r="FSE748" s="28"/>
      <c r="FSF748" s="28"/>
      <c r="FSG748" s="28"/>
      <c r="FSH748" s="28"/>
      <c r="FSI748" s="28"/>
      <c r="FSJ748" s="28"/>
      <c r="FSK748" s="28"/>
      <c r="FSL748" s="28"/>
      <c r="FSM748" s="28"/>
      <c r="FSN748" s="28"/>
      <c r="FSO748" s="28"/>
      <c r="FSP748" s="28"/>
      <c r="FSQ748" s="28"/>
      <c r="FSR748" s="28"/>
      <c r="FSS748" s="28"/>
      <c r="FST748" s="28"/>
      <c r="FSU748" s="28"/>
      <c r="FSV748" s="28"/>
      <c r="FSW748" s="28"/>
      <c r="FSX748" s="28"/>
      <c r="FSY748" s="28"/>
      <c r="FSZ748" s="28"/>
      <c r="FTA748" s="28"/>
      <c r="FTB748" s="28"/>
      <c r="FTC748" s="28"/>
      <c r="FTD748" s="28"/>
      <c r="FTE748" s="28"/>
      <c r="FTF748" s="28"/>
      <c r="FTG748" s="28"/>
      <c r="FTH748" s="28"/>
      <c r="FTI748" s="28"/>
      <c r="FTJ748" s="28"/>
      <c r="FTK748" s="28"/>
      <c r="FTL748" s="28"/>
      <c r="FTM748" s="28"/>
      <c r="FTN748" s="28"/>
      <c r="FTO748" s="28"/>
      <c r="FTP748" s="28"/>
      <c r="FTQ748" s="28"/>
      <c r="FTR748" s="28"/>
      <c r="FTS748" s="28"/>
      <c r="FTT748" s="28"/>
      <c r="FTU748" s="28"/>
      <c r="FTV748" s="28"/>
      <c r="FTW748" s="28"/>
      <c r="FTX748" s="28"/>
      <c r="FTY748" s="28"/>
      <c r="FTZ748" s="28"/>
      <c r="FUA748" s="28"/>
      <c r="FUB748" s="28"/>
      <c r="FUC748" s="28"/>
      <c r="FUD748" s="28"/>
      <c r="FUE748" s="28"/>
      <c r="FUF748" s="28"/>
      <c r="FUG748" s="28"/>
      <c r="FUH748" s="28"/>
      <c r="FUI748" s="28"/>
      <c r="FUJ748" s="28"/>
      <c r="FUK748" s="28"/>
      <c r="FUL748" s="28"/>
      <c r="FUM748" s="28"/>
      <c r="FUN748" s="28"/>
      <c r="FUO748" s="28"/>
      <c r="FUP748" s="28"/>
      <c r="FUQ748" s="28"/>
      <c r="FUR748" s="28"/>
      <c r="FUS748" s="28"/>
      <c r="FUT748" s="28"/>
      <c r="FUU748" s="28"/>
      <c r="FUV748" s="28"/>
      <c r="FUW748" s="28"/>
      <c r="FUX748" s="28"/>
      <c r="FUY748" s="28"/>
      <c r="FUZ748" s="28"/>
      <c r="FVA748" s="28"/>
      <c r="FVB748" s="28"/>
      <c r="FVC748" s="28"/>
      <c r="FVD748" s="28"/>
      <c r="FVE748" s="28"/>
      <c r="FVF748" s="28"/>
      <c r="FVG748" s="28"/>
      <c r="FVH748" s="28"/>
      <c r="FVI748" s="28"/>
      <c r="FVJ748" s="28"/>
      <c r="FVK748" s="28"/>
      <c r="FVL748" s="28"/>
      <c r="FVM748" s="28"/>
      <c r="FVN748" s="28"/>
      <c r="FVO748" s="28"/>
      <c r="FVP748" s="28"/>
      <c r="FVQ748" s="28"/>
      <c r="FVR748" s="28"/>
      <c r="FVS748" s="28"/>
      <c r="FVT748" s="28"/>
      <c r="FVU748" s="28"/>
      <c r="FVV748" s="28"/>
      <c r="FVW748" s="28"/>
      <c r="FVX748" s="28"/>
      <c r="FVY748" s="28"/>
      <c r="FVZ748" s="28"/>
      <c r="FWA748" s="28"/>
      <c r="FWB748" s="28"/>
      <c r="FWC748" s="28"/>
      <c r="FWD748" s="28"/>
      <c r="FWE748" s="28"/>
      <c r="FWF748" s="28"/>
      <c r="FWG748" s="28"/>
      <c r="FWH748" s="28"/>
      <c r="FWI748" s="28"/>
      <c r="FWJ748" s="28"/>
      <c r="FWK748" s="28"/>
      <c r="FWL748" s="28"/>
      <c r="FWM748" s="28"/>
      <c r="FWN748" s="28"/>
      <c r="FWO748" s="28"/>
      <c r="FWP748" s="28"/>
      <c r="FWQ748" s="28"/>
      <c r="FWR748" s="28"/>
      <c r="FWS748" s="28"/>
      <c r="FWT748" s="28"/>
      <c r="FWU748" s="28"/>
      <c r="FWV748" s="28"/>
      <c r="FWW748" s="28"/>
      <c r="FWX748" s="28"/>
      <c r="FWY748" s="28"/>
      <c r="FWZ748" s="28"/>
      <c r="FXA748" s="28"/>
      <c r="FXB748" s="28"/>
      <c r="FXC748" s="28"/>
      <c r="FXD748" s="28"/>
      <c r="FXE748" s="28"/>
      <c r="FXF748" s="28"/>
      <c r="FXG748" s="28"/>
      <c r="FXH748" s="28"/>
      <c r="FXI748" s="28"/>
      <c r="FXJ748" s="28"/>
      <c r="FXK748" s="28"/>
      <c r="FXL748" s="28"/>
      <c r="FXM748" s="28"/>
      <c r="FXN748" s="28"/>
      <c r="FXO748" s="28"/>
      <c r="FXP748" s="28"/>
      <c r="FXQ748" s="28"/>
      <c r="FXR748" s="28"/>
      <c r="FXS748" s="28"/>
      <c r="FXT748" s="28"/>
      <c r="FXU748" s="28"/>
      <c r="FXV748" s="28"/>
      <c r="FXW748" s="28"/>
      <c r="FXX748" s="28"/>
      <c r="FXY748" s="28"/>
      <c r="FXZ748" s="28"/>
      <c r="FYA748" s="28"/>
      <c r="FYB748" s="28"/>
      <c r="FYC748" s="28"/>
      <c r="FYD748" s="28"/>
      <c r="FYE748" s="28"/>
      <c r="FYF748" s="28"/>
      <c r="FYG748" s="28"/>
      <c r="FYH748" s="28"/>
      <c r="FYI748" s="28"/>
      <c r="FYJ748" s="28"/>
      <c r="FYK748" s="28"/>
      <c r="FYL748" s="28"/>
      <c r="FYM748" s="28"/>
      <c r="FYN748" s="28"/>
      <c r="FYO748" s="28"/>
      <c r="FYP748" s="28"/>
      <c r="FYQ748" s="28"/>
      <c r="FYR748" s="28"/>
      <c r="FYS748" s="28"/>
      <c r="FYT748" s="28"/>
      <c r="FYU748" s="28"/>
      <c r="FYV748" s="28"/>
      <c r="FYW748" s="28"/>
      <c r="FYX748" s="28"/>
      <c r="FYY748" s="28"/>
      <c r="FYZ748" s="28"/>
      <c r="FZA748" s="28"/>
      <c r="FZB748" s="28"/>
      <c r="FZC748" s="28"/>
      <c r="FZD748" s="28"/>
      <c r="FZE748" s="28"/>
      <c r="FZF748" s="28"/>
      <c r="FZG748" s="28"/>
      <c r="FZH748" s="28"/>
      <c r="FZI748" s="28"/>
      <c r="FZJ748" s="28"/>
      <c r="FZK748" s="28"/>
      <c r="FZL748" s="28"/>
      <c r="FZM748" s="28"/>
      <c r="FZN748" s="28"/>
      <c r="FZO748" s="28"/>
      <c r="FZP748" s="28"/>
      <c r="FZQ748" s="28"/>
      <c r="FZR748" s="28"/>
      <c r="FZS748" s="28"/>
      <c r="FZT748" s="28"/>
      <c r="FZU748" s="28"/>
      <c r="FZV748" s="28"/>
      <c r="FZW748" s="28"/>
      <c r="FZX748" s="28"/>
      <c r="FZY748" s="28"/>
      <c r="FZZ748" s="28"/>
      <c r="GAA748" s="28"/>
      <c r="GAB748" s="28"/>
      <c r="GAC748" s="28"/>
      <c r="GAD748" s="28"/>
      <c r="GAE748" s="28"/>
      <c r="GAF748" s="28"/>
      <c r="GAG748" s="28"/>
      <c r="GAH748" s="28"/>
      <c r="GAI748" s="28"/>
      <c r="GAJ748" s="28"/>
      <c r="GAK748" s="28"/>
      <c r="GAL748" s="28"/>
      <c r="GAM748" s="28"/>
      <c r="GAN748" s="28"/>
      <c r="GAO748" s="28"/>
      <c r="GAP748" s="28"/>
      <c r="GAQ748" s="28"/>
      <c r="GAR748" s="28"/>
      <c r="GAS748" s="28"/>
      <c r="GAT748" s="28"/>
      <c r="GAU748" s="28"/>
      <c r="GAV748" s="28"/>
      <c r="GAW748" s="28"/>
      <c r="GAX748" s="28"/>
      <c r="GAY748" s="28"/>
      <c r="GAZ748" s="28"/>
      <c r="GBA748" s="28"/>
      <c r="GBB748" s="28"/>
      <c r="GBC748" s="28"/>
      <c r="GBD748" s="28"/>
      <c r="GBE748" s="28"/>
      <c r="GBF748" s="28"/>
      <c r="GBG748" s="28"/>
      <c r="GBH748" s="28"/>
      <c r="GBI748" s="28"/>
      <c r="GBJ748" s="28"/>
      <c r="GBK748" s="28"/>
      <c r="GBL748" s="28"/>
      <c r="GBM748" s="28"/>
      <c r="GBN748" s="28"/>
      <c r="GBO748" s="28"/>
      <c r="GBP748" s="28"/>
      <c r="GBQ748" s="28"/>
      <c r="GBR748" s="28"/>
      <c r="GBS748" s="28"/>
      <c r="GBT748" s="28"/>
      <c r="GBU748" s="28"/>
      <c r="GBV748" s="28"/>
      <c r="GBW748" s="28"/>
      <c r="GBX748" s="28"/>
      <c r="GBY748" s="28"/>
      <c r="GBZ748" s="28"/>
      <c r="GCA748" s="28"/>
      <c r="GCB748" s="28"/>
      <c r="GCC748" s="28"/>
      <c r="GCD748" s="28"/>
      <c r="GCE748" s="28"/>
      <c r="GCF748" s="28"/>
      <c r="GCG748" s="28"/>
      <c r="GCH748" s="28"/>
      <c r="GCI748" s="28"/>
      <c r="GCJ748" s="28"/>
      <c r="GCK748" s="28"/>
      <c r="GCL748" s="28"/>
      <c r="GCM748" s="28"/>
      <c r="GCN748" s="28"/>
      <c r="GCO748" s="28"/>
      <c r="GCP748" s="28"/>
      <c r="GCQ748" s="28"/>
      <c r="GCR748" s="28"/>
      <c r="GCS748" s="28"/>
      <c r="GCT748" s="28"/>
      <c r="GCU748" s="28"/>
      <c r="GCV748" s="28"/>
      <c r="GCW748" s="28"/>
      <c r="GCX748" s="28"/>
      <c r="GCY748" s="28"/>
      <c r="GCZ748" s="28"/>
      <c r="GDA748" s="28"/>
      <c r="GDB748" s="28"/>
      <c r="GDC748" s="28"/>
      <c r="GDD748" s="28"/>
      <c r="GDE748" s="28"/>
      <c r="GDF748" s="28"/>
      <c r="GDG748" s="28"/>
      <c r="GDH748" s="28"/>
      <c r="GDI748" s="28"/>
      <c r="GDJ748" s="28"/>
      <c r="GDK748" s="28"/>
      <c r="GDL748" s="28"/>
      <c r="GDM748" s="28"/>
      <c r="GDN748" s="28"/>
      <c r="GDO748" s="28"/>
      <c r="GDP748" s="28"/>
      <c r="GDQ748" s="28"/>
      <c r="GDR748" s="28"/>
      <c r="GDS748" s="28"/>
      <c r="GDT748" s="28"/>
      <c r="GDU748" s="28"/>
      <c r="GDV748" s="28"/>
      <c r="GDW748" s="28"/>
      <c r="GDX748" s="28"/>
      <c r="GDY748" s="28"/>
      <c r="GDZ748" s="28"/>
      <c r="GEA748" s="28"/>
      <c r="GEB748" s="28"/>
      <c r="GEC748" s="28"/>
      <c r="GED748" s="28"/>
      <c r="GEE748" s="28"/>
      <c r="GEF748" s="28"/>
      <c r="GEG748" s="28"/>
      <c r="GEH748" s="28"/>
      <c r="GEI748" s="28"/>
      <c r="GEJ748" s="28"/>
      <c r="GEK748" s="28"/>
      <c r="GEL748" s="28"/>
      <c r="GEM748" s="28"/>
      <c r="GEN748" s="28"/>
      <c r="GEO748" s="28"/>
      <c r="GEP748" s="28"/>
      <c r="GEQ748" s="28"/>
      <c r="GER748" s="28"/>
      <c r="GES748" s="28"/>
      <c r="GET748" s="28"/>
      <c r="GEU748" s="28"/>
      <c r="GEV748" s="28"/>
      <c r="GEW748" s="28"/>
      <c r="GEX748" s="28"/>
      <c r="GEY748" s="28"/>
      <c r="GEZ748" s="28"/>
      <c r="GFA748" s="28"/>
      <c r="GFB748" s="28"/>
      <c r="GFC748" s="28"/>
      <c r="GFD748" s="28"/>
      <c r="GFE748" s="28"/>
      <c r="GFF748" s="28"/>
      <c r="GFG748" s="28"/>
      <c r="GFH748" s="28"/>
      <c r="GFI748" s="28"/>
      <c r="GFJ748" s="28"/>
      <c r="GFK748" s="28"/>
      <c r="GFL748" s="28"/>
      <c r="GFM748" s="28"/>
      <c r="GFN748" s="28"/>
      <c r="GFO748" s="28"/>
      <c r="GFP748" s="28"/>
      <c r="GFQ748" s="28"/>
      <c r="GFR748" s="28"/>
      <c r="GFS748" s="28"/>
      <c r="GFT748" s="28"/>
      <c r="GFU748" s="28"/>
      <c r="GFV748" s="28"/>
      <c r="GFW748" s="28"/>
      <c r="GFX748" s="28"/>
      <c r="GFY748" s="28"/>
      <c r="GFZ748" s="28"/>
      <c r="GGA748" s="28"/>
      <c r="GGB748" s="28"/>
      <c r="GGC748" s="28"/>
      <c r="GGD748" s="28"/>
      <c r="GGE748" s="28"/>
      <c r="GGF748" s="28"/>
      <c r="GGG748" s="28"/>
      <c r="GGH748" s="28"/>
      <c r="GGI748" s="28"/>
      <c r="GGJ748" s="28"/>
      <c r="GGK748" s="28"/>
      <c r="GGL748" s="28"/>
      <c r="GGM748" s="28"/>
      <c r="GGN748" s="28"/>
      <c r="GGO748" s="28"/>
      <c r="GGP748" s="28"/>
      <c r="GGQ748" s="28"/>
      <c r="GGR748" s="28"/>
      <c r="GGS748" s="28"/>
      <c r="GGT748" s="28"/>
      <c r="GGU748" s="28"/>
      <c r="GGV748" s="28"/>
      <c r="GGW748" s="28"/>
      <c r="GGX748" s="28"/>
      <c r="GGY748" s="28"/>
      <c r="GGZ748" s="28"/>
      <c r="GHA748" s="28"/>
      <c r="GHB748" s="28"/>
      <c r="GHC748" s="28"/>
      <c r="GHD748" s="28"/>
      <c r="GHE748" s="28"/>
      <c r="GHF748" s="28"/>
      <c r="GHG748" s="28"/>
      <c r="GHH748" s="28"/>
      <c r="GHI748" s="28"/>
      <c r="GHJ748" s="28"/>
      <c r="GHK748" s="28"/>
      <c r="GHL748" s="28"/>
      <c r="GHM748" s="28"/>
      <c r="GHN748" s="28"/>
      <c r="GHO748" s="28"/>
      <c r="GHP748" s="28"/>
      <c r="GHQ748" s="28"/>
      <c r="GHR748" s="28"/>
      <c r="GHS748" s="28"/>
      <c r="GHT748" s="28"/>
      <c r="GHU748" s="28"/>
      <c r="GHV748" s="28"/>
      <c r="GHW748" s="28"/>
      <c r="GHX748" s="28"/>
      <c r="GHY748" s="28"/>
      <c r="GHZ748" s="28"/>
      <c r="GIA748" s="28"/>
      <c r="GIB748" s="28"/>
      <c r="GIC748" s="28"/>
      <c r="GID748" s="28"/>
      <c r="GIE748" s="28"/>
      <c r="GIF748" s="28"/>
      <c r="GIG748" s="28"/>
      <c r="GIH748" s="28"/>
      <c r="GII748" s="28"/>
      <c r="GIJ748" s="28"/>
      <c r="GIK748" s="28"/>
      <c r="GIL748" s="28"/>
      <c r="GIM748" s="28"/>
      <c r="GIN748" s="28"/>
      <c r="GIO748" s="28"/>
      <c r="GIP748" s="28"/>
      <c r="GIQ748" s="28"/>
      <c r="GIR748" s="28"/>
      <c r="GIS748" s="28"/>
      <c r="GIT748" s="28"/>
      <c r="GIU748" s="28"/>
      <c r="GIV748" s="28"/>
      <c r="GIW748" s="28"/>
      <c r="GIX748" s="28"/>
      <c r="GIY748" s="28"/>
      <c r="GIZ748" s="28"/>
      <c r="GJA748" s="28"/>
      <c r="GJB748" s="28"/>
      <c r="GJC748" s="28"/>
      <c r="GJD748" s="28"/>
      <c r="GJE748" s="28"/>
      <c r="GJF748" s="28"/>
      <c r="GJG748" s="28"/>
      <c r="GJH748" s="28"/>
      <c r="GJI748" s="28"/>
      <c r="GJJ748" s="28"/>
      <c r="GJK748" s="28"/>
      <c r="GJL748" s="28"/>
      <c r="GJM748" s="28"/>
      <c r="GJN748" s="28"/>
      <c r="GJO748" s="28"/>
      <c r="GJP748" s="28"/>
      <c r="GJQ748" s="28"/>
      <c r="GJR748" s="28"/>
      <c r="GJS748" s="28"/>
      <c r="GJT748" s="28"/>
      <c r="GJU748" s="28"/>
      <c r="GJV748" s="28"/>
      <c r="GJW748" s="28"/>
      <c r="GJX748" s="28"/>
      <c r="GJY748" s="28"/>
      <c r="GJZ748" s="28"/>
      <c r="GKA748" s="28"/>
      <c r="GKB748" s="28"/>
      <c r="GKC748" s="28"/>
      <c r="GKD748" s="28"/>
      <c r="GKE748" s="28"/>
      <c r="GKF748" s="28"/>
      <c r="GKG748" s="28"/>
      <c r="GKH748" s="28"/>
      <c r="GKI748" s="28"/>
      <c r="GKJ748" s="28"/>
      <c r="GKK748" s="28"/>
      <c r="GKL748" s="28"/>
      <c r="GKM748" s="28"/>
      <c r="GKN748" s="28"/>
      <c r="GKO748" s="28"/>
      <c r="GKP748" s="28"/>
      <c r="GKQ748" s="28"/>
      <c r="GKR748" s="28"/>
      <c r="GKS748" s="28"/>
      <c r="GKT748" s="28"/>
      <c r="GKU748" s="28"/>
      <c r="GKV748" s="28"/>
      <c r="GKW748" s="28"/>
      <c r="GKX748" s="28"/>
      <c r="GKY748" s="28"/>
      <c r="GKZ748" s="28"/>
      <c r="GLA748" s="28"/>
      <c r="GLB748" s="28"/>
      <c r="GLC748" s="28"/>
      <c r="GLD748" s="28"/>
      <c r="GLE748" s="28"/>
      <c r="GLF748" s="28"/>
      <c r="GLG748" s="28"/>
      <c r="GLH748" s="28"/>
      <c r="GLI748" s="28"/>
      <c r="GLJ748" s="28"/>
      <c r="GLK748" s="28"/>
      <c r="GLL748" s="28"/>
      <c r="GLM748" s="28"/>
      <c r="GLN748" s="28"/>
      <c r="GLO748" s="28"/>
      <c r="GLP748" s="28"/>
      <c r="GLQ748" s="28"/>
      <c r="GLR748" s="28"/>
      <c r="GLS748" s="28"/>
      <c r="GLT748" s="28"/>
      <c r="GLU748" s="28"/>
      <c r="GLV748" s="28"/>
      <c r="GLW748" s="28"/>
      <c r="GLX748" s="28"/>
      <c r="GLY748" s="28"/>
      <c r="GLZ748" s="28"/>
      <c r="GMA748" s="28"/>
      <c r="GMB748" s="28"/>
      <c r="GMC748" s="28"/>
      <c r="GMD748" s="28"/>
      <c r="GME748" s="28"/>
      <c r="GMF748" s="28"/>
      <c r="GMG748" s="28"/>
      <c r="GMH748" s="28"/>
      <c r="GMI748" s="28"/>
      <c r="GMJ748" s="28"/>
      <c r="GMK748" s="28"/>
      <c r="GML748" s="28"/>
      <c r="GMM748" s="28"/>
      <c r="GMN748" s="28"/>
      <c r="GMO748" s="28"/>
      <c r="GMP748" s="28"/>
      <c r="GMQ748" s="28"/>
      <c r="GMR748" s="28"/>
      <c r="GMS748" s="28"/>
      <c r="GMT748" s="28"/>
      <c r="GMU748" s="28"/>
      <c r="GMV748" s="28"/>
      <c r="GMW748" s="28"/>
      <c r="GMX748" s="28"/>
      <c r="GMY748" s="28"/>
      <c r="GMZ748" s="28"/>
      <c r="GNA748" s="28"/>
      <c r="GNB748" s="28"/>
      <c r="GNC748" s="28"/>
      <c r="GND748" s="28"/>
      <c r="GNE748" s="28"/>
      <c r="GNF748" s="28"/>
      <c r="GNG748" s="28"/>
      <c r="GNH748" s="28"/>
      <c r="GNI748" s="28"/>
      <c r="GNJ748" s="28"/>
      <c r="GNK748" s="28"/>
      <c r="GNL748" s="28"/>
      <c r="GNM748" s="28"/>
      <c r="GNN748" s="28"/>
      <c r="GNO748" s="28"/>
      <c r="GNP748" s="28"/>
      <c r="GNQ748" s="28"/>
      <c r="GNR748" s="28"/>
      <c r="GNS748" s="28"/>
      <c r="GNT748" s="28"/>
      <c r="GNU748" s="28"/>
      <c r="GNV748" s="28"/>
      <c r="GNW748" s="28"/>
      <c r="GNX748" s="28"/>
      <c r="GNY748" s="28"/>
      <c r="GNZ748" s="28"/>
      <c r="GOA748" s="28"/>
      <c r="GOB748" s="28"/>
      <c r="GOC748" s="28"/>
      <c r="GOD748" s="28"/>
      <c r="GOE748" s="28"/>
      <c r="GOF748" s="28"/>
      <c r="GOG748" s="28"/>
      <c r="GOH748" s="28"/>
      <c r="GOI748" s="28"/>
      <c r="GOJ748" s="28"/>
      <c r="GOK748" s="28"/>
      <c r="GOL748" s="28"/>
      <c r="GOM748" s="28"/>
      <c r="GON748" s="28"/>
      <c r="GOO748" s="28"/>
      <c r="GOP748" s="28"/>
      <c r="GOQ748" s="28"/>
      <c r="GOR748" s="28"/>
      <c r="GOS748" s="28"/>
      <c r="GOT748" s="28"/>
      <c r="GOU748" s="28"/>
      <c r="GOV748" s="28"/>
      <c r="GOW748" s="28"/>
      <c r="GOX748" s="28"/>
      <c r="GOY748" s="28"/>
      <c r="GOZ748" s="28"/>
      <c r="GPA748" s="28"/>
      <c r="GPB748" s="28"/>
      <c r="GPC748" s="28"/>
      <c r="GPD748" s="28"/>
      <c r="GPE748" s="28"/>
      <c r="GPF748" s="28"/>
      <c r="GPG748" s="28"/>
      <c r="GPH748" s="28"/>
      <c r="GPI748" s="28"/>
      <c r="GPJ748" s="28"/>
      <c r="GPK748" s="28"/>
      <c r="GPL748" s="28"/>
      <c r="GPM748" s="28"/>
      <c r="GPN748" s="28"/>
      <c r="GPO748" s="28"/>
      <c r="GPP748" s="28"/>
      <c r="GPQ748" s="28"/>
      <c r="GPR748" s="28"/>
      <c r="GPS748" s="28"/>
      <c r="GPT748" s="28"/>
      <c r="GPU748" s="28"/>
      <c r="GPV748" s="28"/>
      <c r="GPW748" s="28"/>
      <c r="GPX748" s="28"/>
      <c r="GPY748" s="28"/>
      <c r="GPZ748" s="28"/>
      <c r="GQA748" s="28"/>
      <c r="GQB748" s="28"/>
      <c r="GQC748" s="28"/>
      <c r="GQD748" s="28"/>
      <c r="GQE748" s="28"/>
      <c r="GQF748" s="28"/>
      <c r="GQG748" s="28"/>
      <c r="GQH748" s="28"/>
      <c r="GQI748" s="28"/>
      <c r="GQJ748" s="28"/>
      <c r="GQK748" s="28"/>
      <c r="GQL748" s="28"/>
      <c r="GQM748" s="28"/>
      <c r="GQN748" s="28"/>
      <c r="GQO748" s="28"/>
      <c r="GQP748" s="28"/>
      <c r="GQQ748" s="28"/>
      <c r="GQR748" s="28"/>
      <c r="GQS748" s="28"/>
      <c r="GQT748" s="28"/>
      <c r="GQU748" s="28"/>
      <c r="GQV748" s="28"/>
      <c r="GQW748" s="28"/>
      <c r="GQX748" s="28"/>
      <c r="GQY748" s="28"/>
      <c r="GQZ748" s="28"/>
      <c r="GRA748" s="28"/>
      <c r="GRB748" s="28"/>
      <c r="GRC748" s="28"/>
      <c r="GRD748" s="28"/>
      <c r="GRE748" s="28"/>
      <c r="GRF748" s="28"/>
      <c r="GRG748" s="28"/>
      <c r="GRH748" s="28"/>
      <c r="GRI748" s="28"/>
      <c r="GRJ748" s="28"/>
      <c r="GRK748" s="28"/>
      <c r="GRL748" s="28"/>
      <c r="GRM748" s="28"/>
      <c r="GRN748" s="28"/>
      <c r="GRO748" s="28"/>
      <c r="GRP748" s="28"/>
      <c r="GRQ748" s="28"/>
      <c r="GRR748" s="28"/>
      <c r="GRS748" s="28"/>
      <c r="GRT748" s="28"/>
      <c r="GRU748" s="28"/>
      <c r="GRV748" s="28"/>
      <c r="GRW748" s="28"/>
      <c r="GRX748" s="28"/>
      <c r="GRY748" s="28"/>
      <c r="GRZ748" s="28"/>
      <c r="GSA748" s="28"/>
      <c r="GSB748" s="28"/>
      <c r="GSC748" s="28"/>
      <c r="GSD748" s="28"/>
      <c r="GSE748" s="28"/>
      <c r="GSF748" s="28"/>
      <c r="GSG748" s="28"/>
      <c r="GSH748" s="28"/>
      <c r="GSI748" s="28"/>
      <c r="GSJ748" s="28"/>
      <c r="GSK748" s="28"/>
      <c r="GSL748" s="28"/>
      <c r="GSM748" s="28"/>
      <c r="GSN748" s="28"/>
      <c r="GSO748" s="28"/>
      <c r="GSP748" s="28"/>
      <c r="GSQ748" s="28"/>
      <c r="GSR748" s="28"/>
      <c r="GSS748" s="28"/>
      <c r="GST748" s="28"/>
      <c r="GSU748" s="28"/>
      <c r="GSV748" s="28"/>
      <c r="GSW748" s="28"/>
      <c r="GSX748" s="28"/>
      <c r="GSY748" s="28"/>
      <c r="GSZ748" s="28"/>
      <c r="GTA748" s="28"/>
      <c r="GTB748" s="28"/>
      <c r="GTC748" s="28"/>
      <c r="GTD748" s="28"/>
      <c r="GTE748" s="28"/>
      <c r="GTF748" s="28"/>
      <c r="GTG748" s="28"/>
      <c r="GTH748" s="28"/>
      <c r="GTI748" s="28"/>
      <c r="GTJ748" s="28"/>
      <c r="GTK748" s="28"/>
      <c r="GTL748" s="28"/>
      <c r="GTM748" s="28"/>
      <c r="GTN748" s="28"/>
      <c r="GTO748" s="28"/>
      <c r="GTP748" s="28"/>
      <c r="GTQ748" s="28"/>
      <c r="GTR748" s="28"/>
      <c r="GTS748" s="28"/>
      <c r="GTT748" s="28"/>
      <c r="GTU748" s="28"/>
      <c r="GTV748" s="28"/>
      <c r="GTW748" s="28"/>
      <c r="GTX748" s="28"/>
      <c r="GTY748" s="28"/>
      <c r="GTZ748" s="28"/>
      <c r="GUA748" s="28"/>
      <c r="GUB748" s="28"/>
      <c r="GUC748" s="28"/>
      <c r="GUD748" s="28"/>
      <c r="GUE748" s="28"/>
      <c r="GUF748" s="28"/>
      <c r="GUG748" s="28"/>
      <c r="GUH748" s="28"/>
      <c r="GUI748" s="28"/>
      <c r="GUJ748" s="28"/>
      <c r="GUK748" s="28"/>
      <c r="GUL748" s="28"/>
      <c r="GUM748" s="28"/>
      <c r="GUN748" s="28"/>
      <c r="GUO748" s="28"/>
      <c r="GUP748" s="28"/>
      <c r="GUQ748" s="28"/>
      <c r="GUR748" s="28"/>
      <c r="GUS748" s="28"/>
      <c r="GUT748" s="28"/>
      <c r="GUU748" s="28"/>
      <c r="GUV748" s="28"/>
      <c r="GUW748" s="28"/>
      <c r="GUX748" s="28"/>
      <c r="GUY748" s="28"/>
      <c r="GUZ748" s="28"/>
      <c r="GVA748" s="28"/>
      <c r="GVB748" s="28"/>
      <c r="GVC748" s="28"/>
      <c r="GVD748" s="28"/>
      <c r="GVE748" s="28"/>
      <c r="GVF748" s="28"/>
      <c r="GVG748" s="28"/>
      <c r="GVH748" s="28"/>
      <c r="GVI748" s="28"/>
      <c r="GVJ748" s="28"/>
      <c r="GVK748" s="28"/>
      <c r="GVL748" s="28"/>
      <c r="GVM748" s="28"/>
      <c r="GVN748" s="28"/>
      <c r="GVO748" s="28"/>
      <c r="GVP748" s="28"/>
      <c r="GVQ748" s="28"/>
      <c r="GVR748" s="28"/>
      <c r="GVS748" s="28"/>
      <c r="GVT748" s="28"/>
      <c r="GVU748" s="28"/>
      <c r="GVV748" s="28"/>
      <c r="GVW748" s="28"/>
      <c r="GVX748" s="28"/>
      <c r="GVY748" s="28"/>
      <c r="GVZ748" s="28"/>
      <c r="GWA748" s="28"/>
      <c r="GWB748" s="28"/>
      <c r="GWC748" s="28"/>
      <c r="GWD748" s="28"/>
      <c r="GWE748" s="28"/>
      <c r="GWF748" s="28"/>
      <c r="GWG748" s="28"/>
      <c r="GWH748" s="28"/>
      <c r="GWI748" s="28"/>
      <c r="GWJ748" s="28"/>
      <c r="GWK748" s="28"/>
      <c r="GWL748" s="28"/>
      <c r="GWM748" s="28"/>
      <c r="GWN748" s="28"/>
      <c r="GWO748" s="28"/>
      <c r="GWP748" s="28"/>
      <c r="GWQ748" s="28"/>
      <c r="GWR748" s="28"/>
      <c r="GWS748" s="28"/>
      <c r="GWT748" s="28"/>
      <c r="GWU748" s="28"/>
      <c r="GWV748" s="28"/>
      <c r="GWW748" s="28"/>
      <c r="GWX748" s="28"/>
      <c r="GWY748" s="28"/>
      <c r="GWZ748" s="28"/>
      <c r="GXA748" s="28"/>
      <c r="GXB748" s="28"/>
      <c r="GXC748" s="28"/>
      <c r="GXD748" s="28"/>
      <c r="GXE748" s="28"/>
      <c r="GXF748" s="28"/>
      <c r="GXG748" s="28"/>
      <c r="GXH748" s="28"/>
      <c r="GXI748" s="28"/>
      <c r="GXJ748" s="28"/>
      <c r="GXK748" s="28"/>
      <c r="GXL748" s="28"/>
      <c r="GXM748" s="28"/>
      <c r="GXN748" s="28"/>
      <c r="GXO748" s="28"/>
      <c r="GXP748" s="28"/>
      <c r="GXQ748" s="28"/>
      <c r="GXR748" s="28"/>
      <c r="GXS748" s="28"/>
      <c r="GXT748" s="28"/>
      <c r="GXU748" s="28"/>
      <c r="GXV748" s="28"/>
      <c r="GXW748" s="28"/>
      <c r="GXX748" s="28"/>
      <c r="GXY748" s="28"/>
      <c r="GXZ748" s="28"/>
      <c r="GYA748" s="28"/>
      <c r="GYB748" s="28"/>
      <c r="GYC748" s="28"/>
      <c r="GYD748" s="28"/>
      <c r="GYE748" s="28"/>
      <c r="GYF748" s="28"/>
      <c r="GYG748" s="28"/>
      <c r="GYH748" s="28"/>
      <c r="GYI748" s="28"/>
      <c r="GYJ748" s="28"/>
      <c r="GYK748" s="28"/>
      <c r="GYL748" s="28"/>
      <c r="GYM748" s="28"/>
      <c r="GYN748" s="28"/>
      <c r="GYO748" s="28"/>
      <c r="GYP748" s="28"/>
      <c r="GYQ748" s="28"/>
      <c r="GYR748" s="28"/>
      <c r="GYS748" s="28"/>
      <c r="GYT748" s="28"/>
      <c r="GYU748" s="28"/>
      <c r="GYV748" s="28"/>
      <c r="GYW748" s="28"/>
      <c r="GYX748" s="28"/>
      <c r="GYY748" s="28"/>
      <c r="GYZ748" s="28"/>
      <c r="GZA748" s="28"/>
      <c r="GZB748" s="28"/>
      <c r="GZC748" s="28"/>
      <c r="GZD748" s="28"/>
      <c r="GZE748" s="28"/>
      <c r="GZF748" s="28"/>
      <c r="GZG748" s="28"/>
      <c r="GZH748" s="28"/>
      <c r="GZI748" s="28"/>
      <c r="GZJ748" s="28"/>
      <c r="GZK748" s="28"/>
      <c r="GZL748" s="28"/>
      <c r="GZM748" s="28"/>
      <c r="GZN748" s="28"/>
      <c r="GZO748" s="28"/>
      <c r="GZP748" s="28"/>
      <c r="GZQ748" s="28"/>
      <c r="GZR748" s="28"/>
      <c r="GZS748" s="28"/>
      <c r="GZT748" s="28"/>
      <c r="GZU748" s="28"/>
      <c r="GZV748" s="28"/>
      <c r="GZW748" s="28"/>
      <c r="GZX748" s="28"/>
      <c r="GZY748" s="28"/>
      <c r="GZZ748" s="28"/>
      <c r="HAA748" s="28"/>
      <c r="HAB748" s="28"/>
      <c r="HAC748" s="28"/>
      <c r="HAD748" s="28"/>
      <c r="HAE748" s="28"/>
      <c r="HAF748" s="28"/>
      <c r="HAG748" s="28"/>
      <c r="HAH748" s="28"/>
      <c r="HAI748" s="28"/>
      <c r="HAJ748" s="28"/>
      <c r="HAK748" s="28"/>
      <c r="HAL748" s="28"/>
      <c r="HAM748" s="28"/>
      <c r="HAN748" s="28"/>
      <c r="HAO748" s="28"/>
      <c r="HAP748" s="28"/>
      <c r="HAQ748" s="28"/>
      <c r="HAR748" s="28"/>
      <c r="HAS748" s="28"/>
      <c r="HAT748" s="28"/>
      <c r="HAU748" s="28"/>
      <c r="HAV748" s="28"/>
      <c r="HAW748" s="28"/>
      <c r="HAX748" s="28"/>
      <c r="HAY748" s="28"/>
      <c r="HAZ748" s="28"/>
      <c r="HBA748" s="28"/>
      <c r="HBB748" s="28"/>
      <c r="HBC748" s="28"/>
      <c r="HBD748" s="28"/>
      <c r="HBE748" s="28"/>
      <c r="HBF748" s="28"/>
      <c r="HBG748" s="28"/>
      <c r="HBH748" s="28"/>
      <c r="HBI748" s="28"/>
      <c r="HBJ748" s="28"/>
      <c r="HBK748" s="28"/>
      <c r="HBL748" s="28"/>
      <c r="HBM748" s="28"/>
      <c r="HBN748" s="28"/>
      <c r="HBO748" s="28"/>
      <c r="HBP748" s="28"/>
      <c r="HBQ748" s="28"/>
      <c r="HBR748" s="28"/>
      <c r="HBS748" s="28"/>
      <c r="HBT748" s="28"/>
      <c r="HBU748" s="28"/>
      <c r="HBV748" s="28"/>
      <c r="HBW748" s="28"/>
      <c r="HBX748" s="28"/>
      <c r="HBY748" s="28"/>
      <c r="HBZ748" s="28"/>
      <c r="HCA748" s="28"/>
      <c r="HCB748" s="28"/>
      <c r="HCC748" s="28"/>
      <c r="HCD748" s="28"/>
      <c r="HCE748" s="28"/>
      <c r="HCF748" s="28"/>
      <c r="HCG748" s="28"/>
      <c r="HCH748" s="28"/>
      <c r="HCI748" s="28"/>
      <c r="HCJ748" s="28"/>
      <c r="HCK748" s="28"/>
      <c r="HCL748" s="28"/>
      <c r="HCM748" s="28"/>
      <c r="HCN748" s="28"/>
      <c r="HCO748" s="28"/>
      <c r="HCP748" s="28"/>
      <c r="HCQ748" s="28"/>
      <c r="HCR748" s="28"/>
      <c r="HCS748" s="28"/>
      <c r="HCT748" s="28"/>
      <c r="HCU748" s="28"/>
      <c r="HCV748" s="28"/>
      <c r="HCW748" s="28"/>
      <c r="HCX748" s="28"/>
      <c r="HCY748" s="28"/>
      <c r="HCZ748" s="28"/>
      <c r="HDA748" s="28"/>
      <c r="HDB748" s="28"/>
      <c r="HDC748" s="28"/>
      <c r="HDD748" s="28"/>
      <c r="HDE748" s="28"/>
      <c r="HDF748" s="28"/>
      <c r="HDG748" s="28"/>
      <c r="HDH748" s="28"/>
      <c r="HDI748" s="28"/>
      <c r="HDJ748" s="28"/>
      <c r="HDK748" s="28"/>
      <c r="HDL748" s="28"/>
      <c r="HDM748" s="28"/>
      <c r="HDN748" s="28"/>
      <c r="HDO748" s="28"/>
      <c r="HDP748" s="28"/>
      <c r="HDQ748" s="28"/>
      <c r="HDR748" s="28"/>
      <c r="HDS748" s="28"/>
      <c r="HDT748" s="28"/>
      <c r="HDU748" s="28"/>
      <c r="HDV748" s="28"/>
      <c r="HDW748" s="28"/>
      <c r="HDX748" s="28"/>
      <c r="HDY748" s="28"/>
      <c r="HDZ748" s="28"/>
      <c r="HEA748" s="28"/>
      <c r="HEB748" s="28"/>
      <c r="HEC748" s="28"/>
      <c r="HED748" s="28"/>
      <c r="HEE748" s="28"/>
      <c r="HEF748" s="28"/>
      <c r="HEG748" s="28"/>
      <c r="HEH748" s="28"/>
      <c r="HEI748" s="28"/>
      <c r="HEJ748" s="28"/>
      <c r="HEK748" s="28"/>
      <c r="HEL748" s="28"/>
      <c r="HEM748" s="28"/>
      <c r="HEN748" s="28"/>
      <c r="HEO748" s="28"/>
      <c r="HEP748" s="28"/>
      <c r="HEQ748" s="28"/>
      <c r="HER748" s="28"/>
      <c r="HES748" s="28"/>
      <c r="HET748" s="28"/>
      <c r="HEU748" s="28"/>
      <c r="HEV748" s="28"/>
      <c r="HEW748" s="28"/>
      <c r="HEX748" s="28"/>
      <c r="HEY748" s="28"/>
      <c r="HEZ748" s="28"/>
      <c r="HFA748" s="28"/>
      <c r="HFB748" s="28"/>
      <c r="HFC748" s="28"/>
      <c r="HFD748" s="28"/>
      <c r="HFE748" s="28"/>
      <c r="HFF748" s="28"/>
      <c r="HFG748" s="28"/>
      <c r="HFH748" s="28"/>
      <c r="HFI748" s="28"/>
      <c r="HFJ748" s="28"/>
      <c r="HFK748" s="28"/>
      <c r="HFL748" s="28"/>
      <c r="HFM748" s="28"/>
      <c r="HFN748" s="28"/>
      <c r="HFO748" s="28"/>
      <c r="HFP748" s="28"/>
      <c r="HFQ748" s="28"/>
      <c r="HFR748" s="28"/>
      <c r="HFS748" s="28"/>
      <c r="HFT748" s="28"/>
      <c r="HFU748" s="28"/>
      <c r="HFV748" s="28"/>
      <c r="HFW748" s="28"/>
      <c r="HFX748" s="28"/>
      <c r="HFY748" s="28"/>
      <c r="HFZ748" s="28"/>
      <c r="HGA748" s="28"/>
      <c r="HGB748" s="28"/>
      <c r="HGC748" s="28"/>
      <c r="HGD748" s="28"/>
      <c r="HGE748" s="28"/>
      <c r="HGF748" s="28"/>
      <c r="HGG748" s="28"/>
      <c r="HGH748" s="28"/>
      <c r="HGI748" s="28"/>
      <c r="HGJ748" s="28"/>
      <c r="HGK748" s="28"/>
      <c r="HGL748" s="28"/>
      <c r="HGM748" s="28"/>
      <c r="HGN748" s="28"/>
      <c r="HGO748" s="28"/>
      <c r="HGP748" s="28"/>
      <c r="HGQ748" s="28"/>
      <c r="HGR748" s="28"/>
      <c r="HGS748" s="28"/>
      <c r="HGT748" s="28"/>
      <c r="HGU748" s="28"/>
      <c r="HGV748" s="28"/>
      <c r="HGW748" s="28"/>
      <c r="HGX748" s="28"/>
      <c r="HGY748" s="28"/>
      <c r="HGZ748" s="28"/>
      <c r="HHA748" s="28"/>
      <c r="HHB748" s="28"/>
      <c r="HHC748" s="28"/>
      <c r="HHD748" s="28"/>
      <c r="HHE748" s="28"/>
      <c r="HHF748" s="28"/>
      <c r="HHG748" s="28"/>
      <c r="HHH748" s="28"/>
      <c r="HHI748" s="28"/>
      <c r="HHJ748" s="28"/>
      <c r="HHK748" s="28"/>
      <c r="HHL748" s="28"/>
      <c r="HHM748" s="28"/>
      <c r="HHN748" s="28"/>
      <c r="HHO748" s="28"/>
      <c r="HHP748" s="28"/>
      <c r="HHQ748" s="28"/>
      <c r="HHR748" s="28"/>
      <c r="HHS748" s="28"/>
      <c r="HHT748" s="28"/>
      <c r="HHU748" s="28"/>
      <c r="HHV748" s="28"/>
      <c r="HHW748" s="28"/>
      <c r="HHX748" s="28"/>
      <c r="HHY748" s="28"/>
      <c r="HHZ748" s="28"/>
      <c r="HIA748" s="28"/>
      <c r="HIB748" s="28"/>
      <c r="HIC748" s="28"/>
      <c r="HID748" s="28"/>
      <c r="HIE748" s="28"/>
      <c r="HIF748" s="28"/>
      <c r="HIG748" s="28"/>
      <c r="HIH748" s="28"/>
      <c r="HII748" s="28"/>
      <c r="HIJ748" s="28"/>
      <c r="HIK748" s="28"/>
      <c r="HIL748" s="28"/>
      <c r="HIM748" s="28"/>
      <c r="HIN748" s="28"/>
      <c r="HIO748" s="28"/>
      <c r="HIP748" s="28"/>
      <c r="HIQ748" s="28"/>
      <c r="HIR748" s="28"/>
      <c r="HIS748" s="28"/>
      <c r="HIT748" s="28"/>
      <c r="HIU748" s="28"/>
      <c r="HIV748" s="28"/>
      <c r="HIW748" s="28"/>
      <c r="HIX748" s="28"/>
      <c r="HIY748" s="28"/>
      <c r="HIZ748" s="28"/>
      <c r="HJA748" s="28"/>
      <c r="HJB748" s="28"/>
      <c r="HJC748" s="28"/>
      <c r="HJD748" s="28"/>
      <c r="HJE748" s="28"/>
      <c r="HJF748" s="28"/>
      <c r="HJG748" s="28"/>
      <c r="HJH748" s="28"/>
      <c r="HJI748" s="28"/>
      <c r="HJJ748" s="28"/>
      <c r="HJK748" s="28"/>
      <c r="HJL748" s="28"/>
      <c r="HJM748" s="28"/>
      <c r="HJN748" s="28"/>
      <c r="HJO748" s="28"/>
      <c r="HJP748" s="28"/>
      <c r="HJQ748" s="28"/>
      <c r="HJR748" s="28"/>
      <c r="HJS748" s="28"/>
      <c r="HJT748" s="28"/>
      <c r="HJU748" s="28"/>
      <c r="HJV748" s="28"/>
      <c r="HJW748" s="28"/>
      <c r="HJX748" s="28"/>
      <c r="HJY748" s="28"/>
      <c r="HJZ748" s="28"/>
      <c r="HKA748" s="28"/>
      <c r="HKB748" s="28"/>
      <c r="HKC748" s="28"/>
      <c r="HKD748" s="28"/>
      <c r="HKE748" s="28"/>
      <c r="HKF748" s="28"/>
      <c r="HKG748" s="28"/>
      <c r="HKH748" s="28"/>
      <c r="HKI748" s="28"/>
      <c r="HKJ748" s="28"/>
      <c r="HKK748" s="28"/>
      <c r="HKL748" s="28"/>
      <c r="HKM748" s="28"/>
      <c r="HKN748" s="28"/>
      <c r="HKO748" s="28"/>
      <c r="HKP748" s="28"/>
      <c r="HKQ748" s="28"/>
      <c r="HKR748" s="28"/>
      <c r="HKS748" s="28"/>
      <c r="HKT748" s="28"/>
      <c r="HKU748" s="28"/>
      <c r="HKV748" s="28"/>
      <c r="HKW748" s="28"/>
      <c r="HKX748" s="28"/>
      <c r="HKY748" s="28"/>
      <c r="HKZ748" s="28"/>
      <c r="HLA748" s="28"/>
      <c r="HLB748" s="28"/>
      <c r="HLC748" s="28"/>
      <c r="HLD748" s="28"/>
      <c r="HLE748" s="28"/>
      <c r="HLF748" s="28"/>
      <c r="HLG748" s="28"/>
      <c r="HLH748" s="28"/>
      <c r="HLI748" s="28"/>
      <c r="HLJ748" s="28"/>
      <c r="HLK748" s="28"/>
      <c r="HLL748" s="28"/>
      <c r="HLM748" s="28"/>
      <c r="HLN748" s="28"/>
      <c r="HLO748" s="28"/>
      <c r="HLP748" s="28"/>
      <c r="HLQ748" s="28"/>
      <c r="HLR748" s="28"/>
      <c r="HLS748" s="28"/>
      <c r="HLT748" s="28"/>
      <c r="HLU748" s="28"/>
      <c r="HLV748" s="28"/>
      <c r="HLW748" s="28"/>
      <c r="HLX748" s="28"/>
      <c r="HLY748" s="28"/>
      <c r="HLZ748" s="28"/>
      <c r="HMA748" s="28"/>
      <c r="HMB748" s="28"/>
      <c r="HMC748" s="28"/>
      <c r="HMD748" s="28"/>
      <c r="HME748" s="28"/>
      <c r="HMF748" s="28"/>
      <c r="HMG748" s="28"/>
      <c r="HMH748" s="28"/>
      <c r="HMI748" s="28"/>
      <c r="HMJ748" s="28"/>
      <c r="HMK748" s="28"/>
      <c r="HML748" s="28"/>
      <c r="HMM748" s="28"/>
      <c r="HMN748" s="28"/>
      <c r="HMO748" s="28"/>
      <c r="HMP748" s="28"/>
      <c r="HMQ748" s="28"/>
      <c r="HMR748" s="28"/>
      <c r="HMS748" s="28"/>
      <c r="HMT748" s="28"/>
      <c r="HMU748" s="28"/>
      <c r="HMV748" s="28"/>
      <c r="HMW748" s="28"/>
      <c r="HMX748" s="28"/>
      <c r="HMY748" s="28"/>
      <c r="HMZ748" s="28"/>
      <c r="HNA748" s="28"/>
      <c r="HNB748" s="28"/>
      <c r="HNC748" s="28"/>
      <c r="HND748" s="28"/>
      <c r="HNE748" s="28"/>
      <c r="HNF748" s="28"/>
      <c r="HNG748" s="28"/>
      <c r="HNH748" s="28"/>
      <c r="HNI748" s="28"/>
      <c r="HNJ748" s="28"/>
      <c r="HNK748" s="28"/>
      <c r="HNL748" s="28"/>
      <c r="HNM748" s="28"/>
      <c r="HNN748" s="28"/>
      <c r="HNO748" s="28"/>
      <c r="HNP748" s="28"/>
      <c r="HNQ748" s="28"/>
      <c r="HNR748" s="28"/>
      <c r="HNS748" s="28"/>
      <c r="HNT748" s="28"/>
      <c r="HNU748" s="28"/>
      <c r="HNV748" s="28"/>
      <c r="HNW748" s="28"/>
      <c r="HNX748" s="28"/>
      <c r="HNY748" s="28"/>
      <c r="HNZ748" s="28"/>
      <c r="HOA748" s="28"/>
      <c r="HOB748" s="28"/>
      <c r="HOC748" s="28"/>
      <c r="HOD748" s="28"/>
      <c r="HOE748" s="28"/>
      <c r="HOF748" s="28"/>
      <c r="HOG748" s="28"/>
      <c r="HOH748" s="28"/>
      <c r="HOI748" s="28"/>
      <c r="HOJ748" s="28"/>
      <c r="HOK748" s="28"/>
      <c r="HOL748" s="28"/>
      <c r="HOM748" s="28"/>
      <c r="HON748" s="28"/>
      <c r="HOO748" s="28"/>
      <c r="HOP748" s="28"/>
      <c r="HOQ748" s="28"/>
      <c r="HOR748" s="28"/>
      <c r="HOS748" s="28"/>
      <c r="HOT748" s="28"/>
      <c r="HOU748" s="28"/>
      <c r="HOV748" s="28"/>
      <c r="HOW748" s="28"/>
      <c r="HOX748" s="28"/>
      <c r="HOY748" s="28"/>
      <c r="HOZ748" s="28"/>
      <c r="HPA748" s="28"/>
      <c r="HPB748" s="28"/>
      <c r="HPC748" s="28"/>
      <c r="HPD748" s="28"/>
      <c r="HPE748" s="28"/>
      <c r="HPF748" s="28"/>
      <c r="HPG748" s="28"/>
      <c r="HPH748" s="28"/>
      <c r="HPI748" s="28"/>
      <c r="HPJ748" s="28"/>
      <c r="HPK748" s="28"/>
      <c r="HPL748" s="28"/>
      <c r="HPM748" s="28"/>
      <c r="HPN748" s="28"/>
      <c r="HPO748" s="28"/>
      <c r="HPP748" s="28"/>
      <c r="HPQ748" s="28"/>
      <c r="HPR748" s="28"/>
      <c r="HPS748" s="28"/>
      <c r="HPT748" s="28"/>
      <c r="HPU748" s="28"/>
      <c r="HPV748" s="28"/>
      <c r="HPW748" s="28"/>
      <c r="HPX748" s="28"/>
      <c r="HPY748" s="28"/>
      <c r="HPZ748" s="28"/>
      <c r="HQA748" s="28"/>
      <c r="HQB748" s="28"/>
      <c r="HQC748" s="28"/>
      <c r="HQD748" s="28"/>
      <c r="HQE748" s="28"/>
      <c r="HQF748" s="28"/>
      <c r="HQG748" s="28"/>
      <c r="HQH748" s="28"/>
      <c r="HQI748" s="28"/>
      <c r="HQJ748" s="28"/>
      <c r="HQK748" s="28"/>
      <c r="HQL748" s="28"/>
      <c r="HQM748" s="28"/>
      <c r="HQN748" s="28"/>
      <c r="HQO748" s="28"/>
      <c r="HQP748" s="28"/>
      <c r="HQQ748" s="28"/>
      <c r="HQR748" s="28"/>
      <c r="HQS748" s="28"/>
      <c r="HQT748" s="28"/>
      <c r="HQU748" s="28"/>
      <c r="HQV748" s="28"/>
      <c r="HQW748" s="28"/>
      <c r="HQX748" s="28"/>
      <c r="HQY748" s="28"/>
      <c r="HQZ748" s="28"/>
      <c r="HRA748" s="28"/>
      <c r="HRB748" s="28"/>
      <c r="HRC748" s="28"/>
      <c r="HRD748" s="28"/>
      <c r="HRE748" s="28"/>
      <c r="HRF748" s="28"/>
      <c r="HRG748" s="28"/>
      <c r="HRH748" s="28"/>
      <c r="HRI748" s="28"/>
      <c r="HRJ748" s="28"/>
      <c r="HRK748" s="28"/>
      <c r="HRL748" s="28"/>
      <c r="HRM748" s="28"/>
      <c r="HRN748" s="28"/>
      <c r="HRO748" s="28"/>
      <c r="HRP748" s="28"/>
      <c r="HRQ748" s="28"/>
      <c r="HRR748" s="28"/>
      <c r="HRS748" s="28"/>
      <c r="HRT748" s="28"/>
      <c r="HRU748" s="28"/>
      <c r="HRV748" s="28"/>
      <c r="HRW748" s="28"/>
      <c r="HRX748" s="28"/>
      <c r="HRY748" s="28"/>
      <c r="HRZ748" s="28"/>
      <c r="HSA748" s="28"/>
      <c r="HSB748" s="28"/>
      <c r="HSC748" s="28"/>
      <c r="HSD748" s="28"/>
      <c r="HSE748" s="28"/>
      <c r="HSF748" s="28"/>
      <c r="HSG748" s="28"/>
      <c r="HSH748" s="28"/>
      <c r="HSI748" s="28"/>
      <c r="HSJ748" s="28"/>
      <c r="HSK748" s="28"/>
      <c r="HSL748" s="28"/>
      <c r="HSM748" s="28"/>
      <c r="HSN748" s="28"/>
      <c r="HSO748" s="28"/>
      <c r="HSP748" s="28"/>
      <c r="HSQ748" s="28"/>
      <c r="HSR748" s="28"/>
      <c r="HSS748" s="28"/>
      <c r="HST748" s="28"/>
      <c r="HSU748" s="28"/>
      <c r="HSV748" s="28"/>
      <c r="HSW748" s="28"/>
      <c r="HSX748" s="28"/>
      <c r="HSY748" s="28"/>
      <c r="HSZ748" s="28"/>
      <c r="HTA748" s="28"/>
      <c r="HTB748" s="28"/>
      <c r="HTC748" s="28"/>
      <c r="HTD748" s="28"/>
      <c r="HTE748" s="28"/>
      <c r="HTF748" s="28"/>
      <c r="HTG748" s="28"/>
      <c r="HTH748" s="28"/>
      <c r="HTI748" s="28"/>
      <c r="HTJ748" s="28"/>
      <c r="HTK748" s="28"/>
      <c r="HTL748" s="28"/>
      <c r="HTM748" s="28"/>
      <c r="HTN748" s="28"/>
      <c r="HTO748" s="28"/>
      <c r="HTP748" s="28"/>
      <c r="HTQ748" s="28"/>
      <c r="HTR748" s="28"/>
      <c r="HTS748" s="28"/>
      <c r="HTT748" s="28"/>
      <c r="HTU748" s="28"/>
      <c r="HTV748" s="28"/>
      <c r="HTW748" s="28"/>
      <c r="HTX748" s="28"/>
      <c r="HTY748" s="28"/>
      <c r="HTZ748" s="28"/>
      <c r="HUA748" s="28"/>
      <c r="HUB748" s="28"/>
      <c r="HUC748" s="28"/>
      <c r="HUD748" s="28"/>
      <c r="HUE748" s="28"/>
      <c r="HUF748" s="28"/>
      <c r="HUG748" s="28"/>
      <c r="HUH748" s="28"/>
      <c r="HUI748" s="28"/>
      <c r="HUJ748" s="28"/>
      <c r="HUK748" s="28"/>
      <c r="HUL748" s="28"/>
      <c r="HUM748" s="28"/>
      <c r="HUN748" s="28"/>
      <c r="HUO748" s="28"/>
      <c r="HUP748" s="28"/>
      <c r="HUQ748" s="28"/>
      <c r="HUR748" s="28"/>
      <c r="HUS748" s="28"/>
      <c r="HUT748" s="28"/>
      <c r="HUU748" s="28"/>
      <c r="HUV748" s="28"/>
      <c r="HUW748" s="28"/>
      <c r="HUX748" s="28"/>
      <c r="HUY748" s="28"/>
      <c r="HUZ748" s="28"/>
      <c r="HVA748" s="28"/>
      <c r="HVB748" s="28"/>
      <c r="HVC748" s="28"/>
      <c r="HVD748" s="28"/>
      <c r="HVE748" s="28"/>
      <c r="HVF748" s="28"/>
      <c r="HVG748" s="28"/>
      <c r="HVH748" s="28"/>
      <c r="HVI748" s="28"/>
      <c r="HVJ748" s="28"/>
      <c r="HVK748" s="28"/>
      <c r="HVL748" s="28"/>
      <c r="HVM748" s="28"/>
      <c r="HVN748" s="28"/>
      <c r="HVO748" s="28"/>
      <c r="HVP748" s="28"/>
      <c r="HVQ748" s="28"/>
      <c r="HVR748" s="28"/>
      <c r="HVS748" s="28"/>
      <c r="HVT748" s="28"/>
      <c r="HVU748" s="28"/>
      <c r="HVV748" s="28"/>
      <c r="HVW748" s="28"/>
      <c r="HVX748" s="28"/>
      <c r="HVY748" s="28"/>
      <c r="HVZ748" s="28"/>
      <c r="HWA748" s="28"/>
      <c r="HWB748" s="28"/>
      <c r="HWC748" s="28"/>
      <c r="HWD748" s="28"/>
      <c r="HWE748" s="28"/>
      <c r="HWF748" s="28"/>
      <c r="HWG748" s="28"/>
      <c r="HWH748" s="28"/>
      <c r="HWI748" s="28"/>
      <c r="HWJ748" s="28"/>
      <c r="HWK748" s="28"/>
      <c r="HWL748" s="28"/>
      <c r="HWM748" s="28"/>
      <c r="HWN748" s="28"/>
      <c r="HWO748" s="28"/>
      <c r="HWP748" s="28"/>
      <c r="HWQ748" s="28"/>
      <c r="HWR748" s="28"/>
      <c r="HWS748" s="28"/>
      <c r="HWT748" s="28"/>
      <c r="HWU748" s="28"/>
      <c r="HWV748" s="28"/>
      <c r="HWW748" s="28"/>
      <c r="HWX748" s="28"/>
      <c r="HWY748" s="28"/>
      <c r="HWZ748" s="28"/>
      <c r="HXA748" s="28"/>
      <c r="HXB748" s="28"/>
      <c r="HXC748" s="28"/>
      <c r="HXD748" s="28"/>
      <c r="HXE748" s="28"/>
      <c r="HXF748" s="28"/>
      <c r="HXG748" s="28"/>
      <c r="HXH748" s="28"/>
      <c r="HXI748" s="28"/>
      <c r="HXJ748" s="28"/>
      <c r="HXK748" s="28"/>
      <c r="HXL748" s="28"/>
      <c r="HXM748" s="28"/>
      <c r="HXN748" s="28"/>
      <c r="HXO748" s="28"/>
      <c r="HXP748" s="28"/>
      <c r="HXQ748" s="28"/>
      <c r="HXR748" s="28"/>
      <c r="HXS748" s="28"/>
      <c r="HXT748" s="28"/>
      <c r="HXU748" s="28"/>
      <c r="HXV748" s="28"/>
      <c r="HXW748" s="28"/>
      <c r="HXX748" s="28"/>
      <c r="HXY748" s="28"/>
      <c r="HXZ748" s="28"/>
      <c r="HYA748" s="28"/>
      <c r="HYB748" s="28"/>
      <c r="HYC748" s="28"/>
      <c r="HYD748" s="28"/>
      <c r="HYE748" s="28"/>
      <c r="HYF748" s="28"/>
      <c r="HYG748" s="28"/>
      <c r="HYH748" s="28"/>
      <c r="HYI748" s="28"/>
      <c r="HYJ748" s="28"/>
      <c r="HYK748" s="28"/>
      <c r="HYL748" s="28"/>
      <c r="HYM748" s="28"/>
      <c r="HYN748" s="28"/>
      <c r="HYO748" s="28"/>
      <c r="HYP748" s="28"/>
      <c r="HYQ748" s="28"/>
      <c r="HYR748" s="28"/>
      <c r="HYS748" s="28"/>
      <c r="HYT748" s="28"/>
      <c r="HYU748" s="28"/>
      <c r="HYV748" s="28"/>
      <c r="HYW748" s="28"/>
      <c r="HYX748" s="28"/>
      <c r="HYY748" s="28"/>
      <c r="HYZ748" s="28"/>
      <c r="HZA748" s="28"/>
      <c r="HZB748" s="28"/>
      <c r="HZC748" s="28"/>
      <c r="HZD748" s="28"/>
      <c r="HZE748" s="28"/>
      <c r="HZF748" s="28"/>
      <c r="HZG748" s="28"/>
      <c r="HZH748" s="28"/>
      <c r="HZI748" s="28"/>
      <c r="HZJ748" s="28"/>
      <c r="HZK748" s="28"/>
      <c r="HZL748" s="28"/>
      <c r="HZM748" s="28"/>
      <c r="HZN748" s="28"/>
      <c r="HZO748" s="28"/>
      <c r="HZP748" s="28"/>
      <c r="HZQ748" s="28"/>
      <c r="HZR748" s="28"/>
      <c r="HZS748" s="28"/>
      <c r="HZT748" s="28"/>
      <c r="HZU748" s="28"/>
      <c r="HZV748" s="28"/>
      <c r="HZW748" s="28"/>
      <c r="HZX748" s="28"/>
      <c r="HZY748" s="28"/>
      <c r="HZZ748" s="28"/>
      <c r="IAA748" s="28"/>
      <c r="IAB748" s="28"/>
      <c r="IAC748" s="28"/>
      <c r="IAD748" s="28"/>
      <c r="IAE748" s="28"/>
      <c r="IAF748" s="28"/>
      <c r="IAG748" s="28"/>
      <c r="IAH748" s="28"/>
      <c r="IAI748" s="28"/>
      <c r="IAJ748" s="28"/>
      <c r="IAK748" s="28"/>
      <c r="IAL748" s="28"/>
      <c r="IAM748" s="28"/>
      <c r="IAN748" s="28"/>
      <c r="IAO748" s="28"/>
      <c r="IAP748" s="28"/>
      <c r="IAQ748" s="28"/>
      <c r="IAR748" s="28"/>
      <c r="IAS748" s="28"/>
      <c r="IAT748" s="28"/>
      <c r="IAU748" s="28"/>
      <c r="IAV748" s="28"/>
      <c r="IAW748" s="28"/>
      <c r="IAX748" s="28"/>
      <c r="IAY748" s="28"/>
      <c r="IAZ748" s="28"/>
      <c r="IBA748" s="28"/>
      <c r="IBB748" s="28"/>
      <c r="IBC748" s="28"/>
      <c r="IBD748" s="28"/>
      <c r="IBE748" s="28"/>
      <c r="IBF748" s="28"/>
      <c r="IBG748" s="28"/>
      <c r="IBH748" s="28"/>
      <c r="IBI748" s="28"/>
      <c r="IBJ748" s="28"/>
      <c r="IBK748" s="28"/>
      <c r="IBL748" s="28"/>
      <c r="IBM748" s="28"/>
      <c r="IBN748" s="28"/>
      <c r="IBO748" s="28"/>
      <c r="IBP748" s="28"/>
      <c r="IBQ748" s="28"/>
      <c r="IBR748" s="28"/>
      <c r="IBS748" s="28"/>
      <c r="IBT748" s="28"/>
      <c r="IBU748" s="28"/>
      <c r="IBV748" s="28"/>
      <c r="IBW748" s="28"/>
      <c r="IBX748" s="28"/>
      <c r="IBY748" s="28"/>
      <c r="IBZ748" s="28"/>
      <c r="ICA748" s="28"/>
      <c r="ICB748" s="28"/>
      <c r="ICC748" s="28"/>
      <c r="ICD748" s="28"/>
      <c r="ICE748" s="28"/>
      <c r="ICF748" s="28"/>
      <c r="ICG748" s="28"/>
      <c r="ICH748" s="28"/>
      <c r="ICI748" s="28"/>
      <c r="ICJ748" s="28"/>
      <c r="ICK748" s="28"/>
      <c r="ICL748" s="28"/>
      <c r="ICM748" s="28"/>
      <c r="ICN748" s="28"/>
      <c r="ICO748" s="28"/>
      <c r="ICP748" s="28"/>
      <c r="ICQ748" s="28"/>
      <c r="ICR748" s="28"/>
      <c r="ICS748" s="28"/>
      <c r="ICT748" s="28"/>
      <c r="ICU748" s="28"/>
      <c r="ICV748" s="28"/>
      <c r="ICW748" s="28"/>
      <c r="ICX748" s="28"/>
      <c r="ICY748" s="28"/>
      <c r="ICZ748" s="28"/>
      <c r="IDA748" s="28"/>
      <c r="IDB748" s="28"/>
      <c r="IDC748" s="28"/>
      <c r="IDD748" s="28"/>
      <c r="IDE748" s="28"/>
      <c r="IDF748" s="28"/>
      <c r="IDG748" s="28"/>
      <c r="IDH748" s="28"/>
      <c r="IDI748" s="28"/>
      <c r="IDJ748" s="28"/>
      <c r="IDK748" s="28"/>
      <c r="IDL748" s="28"/>
      <c r="IDM748" s="28"/>
      <c r="IDN748" s="28"/>
      <c r="IDO748" s="28"/>
      <c r="IDP748" s="28"/>
      <c r="IDQ748" s="28"/>
      <c r="IDR748" s="28"/>
      <c r="IDS748" s="28"/>
      <c r="IDT748" s="28"/>
      <c r="IDU748" s="28"/>
      <c r="IDV748" s="28"/>
      <c r="IDW748" s="28"/>
      <c r="IDX748" s="28"/>
      <c r="IDY748" s="28"/>
      <c r="IDZ748" s="28"/>
      <c r="IEA748" s="28"/>
      <c r="IEB748" s="28"/>
      <c r="IEC748" s="28"/>
      <c r="IED748" s="28"/>
      <c r="IEE748" s="28"/>
      <c r="IEF748" s="28"/>
      <c r="IEG748" s="28"/>
      <c r="IEH748" s="28"/>
      <c r="IEI748" s="28"/>
      <c r="IEJ748" s="28"/>
      <c r="IEK748" s="28"/>
      <c r="IEL748" s="28"/>
      <c r="IEM748" s="28"/>
      <c r="IEN748" s="28"/>
      <c r="IEO748" s="28"/>
      <c r="IEP748" s="28"/>
      <c r="IEQ748" s="28"/>
      <c r="IER748" s="28"/>
      <c r="IES748" s="28"/>
      <c r="IET748" s="28"/>
      <c r="IEU748" s="28"/>
      <c r="IEV748" s="28"/>
      <c r="IEW748" s="28"/>
      <c r="IEX748" s="28"/>
      <c r="IEY748" s="28"/>
      <c r="IEZ748" s="28"/>
      <c r="IFA748" s="28"/>
      <c r="IFB748" s="28"/>
      <c r="IFC748" s="28"/>
      <c r="IFD748" s="28"/>
      <c r="IFE748" s="28"/>
      <c r="IFF748" s="28"/>
      <c r="IFG748" s="28"/>
      <c r="IFH748" s="28"/>
      <c r="IFI748" s="28"/>
      <c r="IFJ748" s="28"/>
      <c r="IFK748" s="28"/>
      <c r="IFL748" s="28"/>
      <c r="IFM748" s="28"/>
      <c r="IFN748" s="28"/>
      <c r="IFO748" s="28"/>
      <c r="IFP748" s="28"/>
      <c r="IFQ748" s="28"/>
      <c r="IFR748" s="28"/>
      <c r="IFS748" s="28"/>
      <c r="IFT748" s="28"/>
      <c r="IFU748" s="28"/>
      <c r="IFV748" s="28"/>
      <c r="IFW748" s="28"/>
      <c r="IFX748" s="28"/>
      <c r="IFY748" s="28"/>
      <c r="IFZ748" s="28"/>
      <c r="IGA748" s="28"/>
      <c r="IGB748" s="28"/>
      <c r="IGC748" s="28"/>
      <c r="IGD748" s="28"/>
      <c r="IGE748" s="28"/>
      <c r="IGF748" s="28"/>
      <c r="IGG748" s="28"/>
      <c r="IGH748" s="28"/>
      <c r="IGI748" s="28"/>
      <c r="IGJ748" s="28"/>
      <c r="IGK748" s="28"/>
      <c r="IGL748" s="28"/>
      <c r="IGM748" s="28"/>
      <c r="IGN748" s="28"/>
      <c r="IGO748" s="28"/>
      <c r="IGP748" s="28"/>
      <c r="IGQ748" s="28"/>
      <c r="IGR748" s="28"/>
      <c r="IGS748" s="28"/>
      <c r="IGT748" s="28"/>
      <c r="IGU748" s="28"/>
      <c r="IGV748" s="28"/>
      <c r="IGW748" s="28"/>
      <c r="IGX748" s="28"/>
      <c r="IGY748" s="28"/>
      <c r="IGZ748" s="28"/>
      <c r="IHA748" s="28"/>
      <c r="IHB748" s="28"/>
      <c r="IHC748" s="28"/>
      <c r="IHD748" s="28"/>
      <c r="IHE748" s="28"/>
      <c r="IHF748" s="28"/>
      <c r="IHG748" s="28"/>
      <c r="IHH748" s="28"/>
      <c r="IHI748" s="28"/>
      <c r="IHJ748" s="28"/>
      <c r="IHK748" s="28"/>
      <c r="IHL748" s="28"/>
      <c r="IHM748" s="28"/>
      <c r="IHN748" s="28"/>
      <c r="IHO748" s="28"/>
      <c r="IHP748" s="28"/>
      <c r="IHQ748" s="28"/>
      <c r="IHR748" s="28"/>
      <c r="IHS748" s="28"/>
      <c r="IHT748" s="28"/>
      <c r="IHU748" s="28"/>
      <c r="IHV748" s="28"/>
      <c r="IHW748" s="28"/>
      <c r="IHX748" s="28"/>
      <c r="IHY748" s="28"/>
      <c r="IHZ748" s="28"/>
      <c r="IIA748" s="28"/>
      <c r="IIB748" s="28"/>
      <c r="IIC748" s="28"/>
      <c r="IID748" s="28"/>
      <c r="IIE748" s="28"/>
      <c r="IIF748" s="28"/>
      <c r="IIG748" s="28"/>
      <c r="IIH748" s="28"/>
      <c r="III748" s="28"/>
      <c r="IIJ748" s="28"/>
      <c r="IIK748" s="28"/>
      <c r="IIL748" s="28"/>
      <c r="IIM748" s="28"/>
      <c r="IIN748" s="28"/>
      <c r="IIO748" s="28"/>
      <c r="IIP748" s="28"/>
      <c r="IIQ748" s="28"/>
      <c r="IIR748" s="28"/>
      <c r="IIS748" s="28"/>
      <c r="IIT748" s="28"/>
      <c r="IIU748" s="28"/>
      <c r="IIV748" s="28"/>
      <c r="IIW748" s="28"/>
      <c r="IIX748" s="28"/>
      <c r="IIY748" s="28"/>
      <c r="IIZ748" s="28"/>
      <c r="IJA748" s="28"/>
      <c r="IJB748" s="28"/>
      <c r="IJC748" s="28"/>
      <c r="IJD748" s="28"/>
      <c r="IJE748" s="28"/>
      <c r="IJF748" s="28"/>
      <c r="IJG748" s="28"/>
      <c r="IJH748" s="28"/>
      <c r="IJI748" s="28"/>
      <c r="IJJ748" s="28"/>
      <c r="IJK748" s="28"/>
      <c r="IJL748" s="28"/>
      <c r="IJM748" s="28"/>
      <c r="IJN748" s="28"/>
      <c r="IJO748" s="28"/>
      <c r="IJP748" s="28"/>
      <c r="IJQ748" s="28"/>
      <c r="IJR748" s="28"/>
      <c r="IJS748" s="28"/>
      <c r="IJT748" s="28"/>
      <c r="IJU748" s="28"/>
      <c r="IJV748" s="28"/>
      <c r="IJW748" s="28"/>
      <c r="IJX748" s="28"/>
      <c r="IJY748" s="28"/>
      <c r="IJZ748" s="28"/>
      <c r="IKA748" s="28"/>
      <c r="IKB748" s="28"/>
      <c r="IKC748" s="28"/>
      <c r="IKD748" s="28"/>
      <c r="IKE748" s="28"/>
      <c r="IKF748" s="28"/>
      <c r="IKG748" s="28"/>
      <c r="IKH748" s="28"/>
      <c r="IKI748" s="28"/>
      <c r="IKJ748" s="28"/>
      <c r="IKK748" s="28"/>
      <c r="IKL748" s="28"/>
      <c r="IKM748" s="28"/>
      <c r="IKN748" s="28"/>
      <c r="IKO748" s="28"/>
      <c r="IKP748" s="28"/>
      <c r="IKQ748" s="28"/>
      <c r="IKR748" s="28"/>
      <c r="IKS748" s="28"/>
      <c r="IKT748" s="28"/>
      <c r="IKU748" s="28"/>
      <c r="IKV748" s="28"/>
      <c r="IKW748" s="28"/>
      <c r="IKX748" s="28"/>
      <c r="IKY748" s="28"/>
      <c r="IKZ748" s="28"/>
      <c r="ILA748" s="28"/>
      <c r="ILB748" s="28"/>
      <c r="ILC748" s="28"/>
      <c r="ILD748" s="28"/>
      <c r="ILE748" s="28"/>
      <c r="ILF748" s="28"/>
      <c r="ILG748" s="28"/>
      <c r="ILH748" s="28"/>
      <c r="ILI748" s="28"/>
      <c r="ILJ748" s="28"/>
      <c r="ILK748" s="28"/>
      <c r="ILL748" s="28"/>
      <c r="ILM748" s="28"/>
      <c r="ILN748" s="28"/>
      <c r="ILO748" s="28"/>
      <c r="ILP748" s="28"/>
      <c r="ILQ748" s="28"/>
      <c r="ILR748" s="28"/>
      <c r="ILS748" s="28"/>
      <c r="ILT748" s="28"/>
      <c r="ILU748" s="28"/>
      <c r="ILV748" s="28"/>
      <c r="ILW748" s="28"/>
      <c r="ILX748" s="28"/>
      <c r="ILY748" s="28"/>
      <c r="ILZ748" s="28"/>
      <c r="IMA748" s="28"/>
      <c r="IMB748" s="28"/>
      <c r="IMC748" s="28"/>
      <c r="IMD748" s="28"/>
      <c r="IME748" s="28"/>
      <c r="IMF748" s="28"/>
      <c r="IMG748" s="28"/>
      <c r="IMH748" s="28"/>
      <c r="IMI748" s="28"/>
      <c r="IMJ748" s="28"/>
      <c r="IMK748" s="28"/>
      <c r="IML748" s="28"/>
      <c r="IMM748" s="28"/>
      <c r="IMN748" s="28"/>
      <c r="IMO748" s="28"/>
      <c r="IMP748" s="28"/>
      <c r="IMQ748" s="28"/>
      <c r="IMR748" s="28"/>
      <c r="IMS748" s="28"/>
      <c r="IMT748" s="28"/>
      <c r="IMU748" s="28"/>
      <c r="IMV748" s="28"/>
      <c r="IMW748" s="28"/>
      <c r="IMX748" s="28"/>
      <c r="IMY748" s="28"/>
      <c r="IMZ748" s="28"/>
      <c r="INA748" s="28"/>
      <c r="INB748" s="28"/>
      <c r="INC748" s="28"/>
      <c r="IND748" s="28"/>
      <c r="INE748" s="28"/>
      <c r="INF748" s="28"/>
      <c r="ING748" s="28"/>
      <c r="INH748" s="28"/>
      <c r="INI748" s="28"/>
      <c r="INJ748" s="28"/>
      <c r="INK748" s="28"/>
      <c r="INL748" s="28"/>
      <c r="INM748" s="28"/>
      <c r="INN748" s="28"/>
      <c r="INO748" s="28"/>
      <c r="INP748" s="28"/>
      <c r="INQ748" s="28"/>
      <c r="INR748" s="28"/>
      <c r="INS748" s="28"/>
      <c r="INT748" s="28"/>
      <c r="INU748" s="28"/>
      <c r="INV748" s="28"/>
      <c r="INW748" s="28"/>
      <c r="INX748" s="28"/>
      <c r="INY748" s="28"/>
      <c r="INZ748" s="28"/>
      <c r="IOA748" s="28"/>
      <c r="IOB748" s="28"/>
      <c r="IOC748" s="28"/>
      <c r="IOD748" s="28"/>
      <c r="IOE748" s="28"/>
      <c r="IOF748" s="28"/>
      <c r="IOG748" s="28"/>
      <c r="IOH748" s="28"/>
      <c r="IOI748" s="28"/>
      <c r="IOJ748" s="28"/>
      <c r="IOK748" s="28"/>
      <c r="IOL748" s="28"/>
      <c r="IOM748" s="28"/>
      <c r="ION748" s="28"/>
      <c r="IOO748" s="28"/>
      <c r="IOP748" s="28"/>
      <c r="IOQ748" s="28"/>
      <c r="IOR748" s="28"/>
      <c r="IOS748" s="28"/>
      <c r="IOT748" s="28"/>
      <c r="IOU748" s="28"/>
      <c r="IOV748" s="28"/>
      <c r="IOW748" s="28"/>
      <c r="IOX748" s="28"/>
      <c r="IOY748" s="28"/>
      <c r="IOZ748" s="28"/>
      <c r="IPA748" s="28"/>
      <c r="IPB748" s="28"/>
      <c r="IPC748" s="28"/>
      <c r="IPD748" s="28"/>
      <c r="IPE748" s="28"/>
      <c r="IPF748" s="28"/>
      <c r="IPG748" s="28"/>
      <c r="IPH748" s="28"/>
      <c r="IPI748" s="28"/>
      <c r="IPJ748" s="28"/>
      <c r="IPK748" s="28"/>
      <c r="IPL748" s="28"/>
      <c r="IPM748" s="28"/>
      <c r="IPN748" s="28"/>
      <c r="IPO748" s="28"/>
      <c r="IPP748" s="28"/>
      <c r="IPQ748" s="28"/>
      <c r="IPR748" s="28"/>
      <c r="IPS748" s="28"/>
      <c r="IPT748" s="28"/>
      <c r="IPU748" s="28"/>
      <c r="IPV748" s="28"/>
      <c r="IPW748" s="28"/>
      <c r="IPX748" s="28"/>
      <c r="IPY748" s="28"/>
      <c r="IPZ748" s="28"/>
      <c r="IQA748" s="28"/>
      <c r="IQB748" s="28"/>
      <c r="IQC748" s="28"/>
      <c r="IQD748" s="28"/>
      <c r="IQE748" s="28"/>
      <c r="IQF748" s="28"/>
      <c r="IQG748" s="28"/>
      <c r="IQH748" s="28"/>
      <c r="IQI748" s="28"/>
      <c r="IQJ748" s="28"/>
      <c r="IQK748" s="28"/>
      <c r="IQL748" s="28"/>
      <c r="IQM748" s="28"/>
      <c r="IQN748" s="28"/>
      <c r="IQO748" s="28"/>
      <c r="IQP748" s="28"/>
      <c r="IQQ748" s="28"/>
      <c r="IQR748" s="28"/>
      <c r="IQS748" s="28"/>
      <c r="IQT748" s="28"/>
      <c r="IQU748" s="28"/>
      <c r="IQV748" s="28"/>
      <c r="IQW748" s="28"/>
      <c r="IQX748" s="28"/>
      <c r="IQY748" s="28"/>
      <c r="IQZ748" s="28"/>
      <c r="IRA748" s="28"/>
      <c r="IRB748" s="28"/>
      <c r="IRC748" s="28"/>
      <c r="IRD748" s="28"/>
      <c r="IRE748" s="28"/>
      <c r="IRF748" s="28"/>
      <c r="IRG748" s="28"/>
      <c r="IRH748" s="28"/>
      <c r="IRI748" s="28"/>
      <c r="IRJ748" s="28"/>
      <c r="IRK748" s="28"/>
      <c r="IRL748" s="28"/>
      <c r="IRM748" s="28"/>
      <c r="IRN748" s="28"/>
      <c r="IRO748" s="28"/>
      <c r="IRP748" s="28"/>
      <c r="IRQ748" s="28"/>
      <c r="IRR748" s="28"/>
      <c r="IRS748" s="28"/>
      <c r="IRT748" s="28"/>
      <c r="IRU748" s="28"/>
      <c r="IRV748" s="28"/>
      <c r="IRW748" s="28"/>
      <c r="IRX748" s="28"/>
      <c r="IRY748" s="28"/>
      <c r="IRZ748" s="28"/>
      <c r="ISA748" s="28"/>
      <c r="ISB748" s="28"/>
      <c r="ISC748" s="28"/>
      <c r="ISD748" s="28"/>
      <c r="ISE748" s="28"/>
      <c r="ISF748" s="28"/>
      <c r="ISG748" s="28"/>
      <c r="ISH748" s="28"/>
      <c r="ISI748" s="28"/>
      <c r="ISJ748" s="28"/>
      <c r="ISK748" s="28"/>
      <c r="ISL748" s="28"/>
      <c r="ISM748" s="28"/>
      <c r="ISN748" s="28"/>
      <c r="ISO748" s="28"/>
      <c r="ISP748" s="28"/>
      <c r="ISQ748" s="28"/>
      <c r="ISR748" s="28"/>
      <c r="ISS748" s="28"/>
      <c r="IST748" s="28"/>
      <c r="ISU748" s="28"/>
      <c r="ISV748" s="28"/>
      <c r="ISW748" s="28"/>
      <c r="ISX748" s="28"/>
      <c r="ISY748" s="28"/>
      <c r="ISZ748" s="28"/>
      <c r="ITA748" s="28"/>
      <c r="ITB748" s="28"/>
      <c r="ITC748" s="28"/>
      <c r="ITD748" s="28"/>
      <c r="ITE748" s="28"/>
      <c r="ITF748" s="28"/>
      <c r="ITG748" s="28"/>
      <c r="ITH748" s="28"/>
      <c r="ITI748" s="28"/>
      <c r="ITJ748" s="28"/>
      <c r="ITK748" s="28"/>
      <c r="ITL748" s="28"/>
      <c r="ITM748" s="28"/>
      <c r="ITN748" s="28"/>
      <c r="ITO748" s="28"/>
      <c r="ITP748" s="28"/>
      <c r="ITQ748" s="28"/>
      <c r="ITR748" s="28"/>
      <c r="ITS748" s="28"/>
      <c r="ITT748" s="28"/>
      <c r="ITU748" s="28"/>
      <c r="ITV748" s="28"/>
      <c r="ITW748" s="28"/>
      <c r="ITX748" s="28"/>
      <c r="ITY748" s="28"/>
      <c r="ITZ748" s="28"/>
      <c r="IUA748" s="28"/>
      <c r="IUB748" s="28"/>
      <c r="IUC748" s="28"/>
      <c r="IUD748" s="28"/>
      <c r="IUE748" s="28"/>
      <c r="IUF748" s="28"/>
      <c r="IUG748" s="28"/>
      <c r="IUH748" s="28"/>
      <c r="IUI748" s="28"/>
      <c r="IUJ748" s="28"/>
      <c r="IUK748" s="28"/>
      <c r="IUL748" s="28"/>
      <c r="IUM748" s="28"/>
      <c r="IUN748" s="28"/>
      <c r="IUO748" s="28"/>
      <c r="IUP748" s="28"/>
      <c r="IUQ748" s="28"/>
      <c r="IUR748" s="28"/>
      <c r="IUS748" s="28"/>
      <c r="IUT748" s="28"/>
      <c r="IUU748" s="28"/>
      <c r="IUV748" s="28"/>
      <c r="IUW748" s="28"/>
      <c r="IUX748" s="28"/>
      <c r="IUY748" s="28"/>
      <c r="IUZ748" s="28"/>
      <c r="IVA748" s="28"/>
      <c r="IVB748" s="28"/>
      <c r="IVC748" s="28"/>
      <c r="IVD748" s="28"/>
      <c r="IVE748" s="28"/>
      <c r="IVF748" s="28"/>
      <c r="IVG748" s="28"/>
      <c r="IVH748" s="28"/>
      <c r="IVI748" s="28"/>
      <c r="IVJ748" s="28"/>
      <c r="IVK748" s="28"/>
      <c r="IVL748" s="28"/>
      <c r="IVM748" s="28"/>
      <c r="IVN748" s="28"/>
      <c r="IVO748" s="28"/>
      <c r="IVP748" s="28"/>
      <c r="IVQ748" s="28"/>
      <c r="IVR748" s="28"/>
      <c r="IVS748" s="28"/>
      <c r="IVT748" s="28"/>
      <c r="IVU748" s="28"/>
      <c r="IVV748" s="28"/>
      <c r="IVW748" s="28"/>
      <c r="IVX748" s="28"/>
      <c r="IVY748" s="28"/>
      <c r="IVZ748" s="28"/>
      <c r="IWA748" s="28"/>
      <c r="IWB748" s="28"/>
      <c r="IWC748" s="28"/>
      <c r="IWD748" s="28"/>
      <c r="IWE748" s="28"/>
      <c r="IWF748" s="28"/>
      <c r="IWG748" s="28"/>
      <c r="IWH748" s="28"/>
      <c r="IWI748" s="28"/>
      <c r="IWJ748" s="28"/>
      <c r="IWK748" s="28"/>
      <c r="IWL748" s="28"/>
      <c r="IWM748" s="28"/>
      <c r="IWN748" s="28"/>
      <c r="IWO748" s="28"/>
      <c r="IWP748" s="28"/>
      <c r="IWQ748" s="28"/>
      <c r="IWR748" s="28"/>
      <c r="IWS748" s="28"/>
      <c r="IWT748" s="28"/>
      <c r="IWU748" s="28"/>
      <c r="IWV748" s="28"/>
      <c r="IWW748" s="28"/>
      <c r="IWX748" s="28"/>
      <c r="IWY748" s="28"/>
      <c r="IWZ748" s="28"/>
      <c r="IXA748" s="28"/>
      <c r="IXB748" s="28"/>
      <c r="IXC748" s="28"/>
      <c r="IXD748" s="28"/>
      <c r="IXE748" s="28"/>
      <c r="IXF748" s="28"/>
      <c r="IXG748" s="28"/>
      <c r="IXH748" s="28"/>
      <c r="IXI748" s="28"/>
      <c r="IXJ748" s="28"/>
      <c r="IXK748" s="28"/>
      <c r="IXL748" s="28"/>
      <c r="IXM748" s="28"/>
      <c r="IXN748" s="28"/>
      <c r="IXO748" s="28"/>
      <c r="IXP748" s="28"/>
      <c r="IXQ748" s="28"/>
      <c r="IXR748" s="28"/>
      <c r="IXS748" s="28"/>
      <c r="IXT748" s="28"/>
      <c r="IXU748" s="28"/>
      <c r="IXV748" s="28"/>
      <c r="IXW748" s="28"/>
      <c r="IXX748" s="28"/>
      <c r="IXY748" s="28"/>
      <c r="IXZ748" s="28"/>
      <c r="IYA748" s="28"/>
      <c r="IYB748" s="28"/>
      <c r="IYC748" s="28"/>
      <c r="IYD748" s="28"/>
      <c r="IYE748" s="28"/>
      <c r="IYF748" s="28"/>
      <c r="IYG748" s="28"/>
      <c r="IYH748" s="28"/>
      <c r="IYI748" s="28"/>
      <c r="IYJ748" s="28"/>
      <c r="IYK748" s="28"/>
      <c r="IYL748" s="28"/>
      <c r="IYM748" s="28"/>
      <c r="IYN748" s="28"/>
      <c r="IYO748" s="28"/>
      <c r="IYP748" s="28"/>
      <c r="IYQ748" s="28"/>
      <c r="IYR748" s="28"/>
      <c r="IYS748" s="28"/>
      <c r="IYT748" s="28"/>
      <c r="IYU748" s="28"/>
      <c r="IYV748" s="28"/>
      <c r="IYW748" s="28"/>
      <c r="IYX748" s="28"/>
      <c r="IYY748" s="28"/>
      <c r="IYZ748" s="28"/>
      <c r="IZA748" s="28"/>
      <c r="IZB748" s="28"/>
      <c r="IZC748" s="28"/>
      <c r="IZD748" s="28"/>
      <c r="IZE748" s="28"/>
      <c r="IZF748" s="28"/>
      <c r="IZG748" s="28"/>
      <c r="IZH748" s="28"/>
      <c r="IZI748" s="28"/>
      <c r="IZJ748" s="28"/>
      <c r="IZK748" s="28"/>
      <c r="IZL748" s="28"/>
      <c r="IZM748" s="28"/>
      <c r="IZN748" s="28"/>
      <c r="IZO748" s="28"/>
      <c r="IZP748" s="28"/>
      <c r="IZQ748" s="28"/>
      <c r="IZR748" s="28"/>
      <c r="IZS748" s="28"/>
      <c r="IZT748" s="28"/>
      <c r="IZU748" s="28"/>
      <c r="IZV748" s="28"/>
      <c r="IZW748" s="28"/>
      <c r="IZX748" s="28"/>
      <c r="IZY748" s="28"/>
      <c r="IZZ748" s="28"/>
      <c r="JAA748" s="28"/>
      <c r="JAB748" s="28"/>
      <c r="JAC748" s="28"/>
      <c r="JAD748" s="28"/>
      <c r="JAE748" s="28"/>
      <c r="JAF748" s="28"/>
      <c r="JAG748" s="28"/>
      <c r="JAH748" s="28"/>
      <c r="JAI748" s="28"/>
      <c r="JAJ748" s="28"/>
      <c r="JAK748" s="28"/>
      <c r="JAL748" s="28"/>
      <c r="JAM748" s="28"/>
      <c r="JAN748" s="28"/>
      <c r="JAO748" s="28"/>
      <c r="JAP748" s="28"/>
      <c r="JAQ748" s="28"/>
      <c r="JAR748" s="28"/>
      <c r="JAS748" s="28"/>
      <c r="JAT748" s="28"/>
      <c r="JAU748" s="28"/>
      <c r="JAV748" s="28"/>
      <c r="JAW748" s="28"/>
      <c r="JAX748" s="28"/>
      <c r="JAY748" s="28"/>
      <c r="JAZ748" s="28"/>
      <c r="JBA748" s="28"/>
      <c r="JBB748" s="28"/>
      <c r="JBC748" s="28"/>
      <c r="JBD748" s="28"/>
      <c r="JBE748" s="28"/>
      <c r="JBF748" s="28"/>
      <c r="JBG748" s="28"/>
      <c r="JBH748" s="28"/>
      <c r="JBI748" s="28"/>
      <c r="JBJ748" s="28"/>
      <c r="JBK748" s="28"/>
      <c r="JBL748" s="28"/>
      <c r="JBM748" s="28"/>
      <c r="JBN748" s="28"/>
      <c r="JBO748" s="28"/>
      <c r="JBP748" s="28"/>
      <c r="JBQ748" s="28"/>
      <c r="JBR748" s="28"/>
      <c r="JBS748" s="28"/>
      <c r="JBT748" s="28"/>
      <c r="JBU748" s="28"/>
      <c r="JBV748" s="28"/>
      <c r="JBW748" s="28"/>
      <c r="JBX748" s="28"/>
      <c r="JBY748" s="28"/>
      <c r="JBZ748" s="28"/>
      <c r="JCA748" s="28"/>
      <c r="JCB748" s="28"/>
      <c r="JCC748" s="28"/>
      <c r="JCD748" s="28"/>
      <c r="JCE748" s="28"/>
      <c r="JCF748" s="28"/>
      <c r="JCG748" s="28"/>
      <c r="JCH748" s="28"/>
      <c r="JCI748" s="28"/>
      <c r="JCJ748" s="28"/>
      <c r="JCK748" s="28"/>
      <c r="JCL748" s="28"/>
      <c r="JCM748" s="28"/>
      <c r="JCN748" s="28"/>
      <c r="JCO748" s="28"/>
      <c r="JCP748" s="28"/>
      <c r="JCQ748" s="28"/>
      <c r="JCR748" s="28"/>
      <c r="JCS748" s="28"/>
      <c r="JCT748" s="28"/>
      <c r="JCU748" s="28"/>
      <c r="JCV748" s="28"/>
      <c r="JCW748" s="28"/>
      <c r="JCX748" s="28"/>
      <c r="JCY748" s="28"/>
      <c r="JCZ748" s="28"/>
      <c r="JDA748" s="28"/>
      <c r="JDB748" s="28"/>
      <c r="JDC748" s="28"/>
      <c r="JDD748" s="28"/>
      <c r="JDE748" s="28"/>
      <c r="JDF748" s="28"/>
      <c r="JDG748" s="28"/>
      <c r="JDH748" s="28"/>
      <c r="JDI748" s="28"/>
      <c r="JDJ748" s="28"/>
      <c r="JDK748" s="28"/>
      <c r="JDL748" s="28"/>
      <c r="JDM748" s="28"/>
      <c r="JDN748" s="28"/>
      <c r="JDO748" s="28"/>
      <c r="JDP748" s="28"/>
      <c r="JDQ748" s="28"/>
      <c r="JDR748" s="28"/>
      <c r="JDS748" s="28"/>
      <c r="JDT748" s="28"/>
      <c r="JDU748" s="28"/>
      <c r="JDV748" s="28"/>
      <c r="JDW748" s="28"/>
      <c r="JDX748" s="28"/>
      <c r="JDY748" s="28"/>
      <c r="JDZ748" s="28"/>
      <c r="JEA748" s="28"/>
      <c r="JEB748" s="28"/>
      <c r="JEC748" s="28"/>
      <c r="JED748" s="28"/>
      <c r="JEE748" s="28"/>
      <c r="JEF748" s="28"/>
      <c r="JEG748" s="28"/>
      <c r="JEH748" s="28"/>
      <c r="JEI748" s="28"/>
      <c r="JEJ748" s="28"/>
      <c r="JEK748" s="28"/>
      <c r="JEL748" s="28"/>
      <c r="JEM748" s="28"/>
      <c r="JEN748" s="28"/>
      <c r="JEO748" s="28"/>
      <c r="JEP748" s="28"/>
      <c r="JEQ748" s="28"/>
      <c r="JER748" s="28"/>
      <c r="JES748" s="28"/>
      <c r="JET748" s="28"/>
      <c r="JEU748" s="28"/>
      <c r="JEV748" s="28"/>
      <c r="JEW748" s="28"/>
      <c r="JEX748" s="28"/>
      <c r="JEY748" s="28"/>
      <c r="JEZ748" s="28"/>
      <c r="JFA748" s="28"/>
      <c r="JFB748" s="28"/>
      <c r="JFC748" s="28"/>
      <c r="JFD748" s="28"/>
      <c r="JFE748" s="28"/>
      <c r="JFF748" s="28"/>
      <c r="JFG748" s="28"/>
      <c r="JFH748" s="28"/>
      <c r="JFI748" s="28"/>
      <c r="JFJ748" s="28"/>
      <c r="JFK748" s="28"/>
      <c r="JFL748" s="28"/>
      <c r="JFM748" s="28"/>
      <c r="JFN748" s="28"/>
      <c r="JFO748" s="28"/>
      <c r="JFP748" s="28"/>
      <c r="JFQ748" s="28"/>
      <c r="JFR748" s="28"/>
      <c r="JFS748" s="28"/>
      <c r="JFT748" s="28"/>
      <c r="JFU748" s="28"/>
      <c r="JFV748" s="28"/>
      <c r="JFW748" s="28"/>
      <c r="JFX748" s="28"/>
      <c r="JFY748" s="28"/>
      <c r="JFZ748" s="28"/>
      <c r="JGA748" s="28"/>
      <c r="JGB748" s="28"/>
      <c r="JGC748" s="28"/>
      <c r="JGD748" s="28"/>
      <c r="JGE748" s="28"/>
      <c r="JGF748" s="28"/>
      <c r="JGG748" s="28"/>
      <c r="JGH748" s="28"/>
      <c r="JGI748" s="28"/>
      <c r="JGJ748" s="28"/>
      <c r="JGK748" s="28"/>
      <c r="JGL748" s="28"/>
      <c r="JGM748" s="28"/>
      <c r="JGN748" s="28"/>
      <c r="JGO748" s="28"/>
      <c r="JGP748" s="28"/>
      <c r="JGQ748" s="28"/>
      <c r="JGR748" s="28"/>
      <c r="JGS748" s="28"/>
      <c r="JGT748" s="28"/>
      <c r="JGU748" s="28"/>
      <c r="JGV748" s="28"/>
      <c r="JGW748" s="28"/>
      <c r="JGX748" s="28"/>
      <c r="JGY748" s="28"/>
      <c r="JGZ748" s="28"/>
      <c r="JHA748" s="28"/>
      <c r="JHB748" s="28"/>
      <c r="JHC748" s="28"/>
      <c r="JHD748" s="28"/>
      <c r="JHE748" s="28"/>
      <c r="JHF748" s="28"/>
      <c r="JHG748" s="28"/>
      <c r="JHH748" s="28"/>
      <c r="JHI748" s="28"/>
      <c r="JHJ748" s="28"/>
      <c r="JHK748" s="28"/>
      <c r="JHL748" s="28"/>
      <c r="JHM748" s="28"/>
      <c r="JHN748" s="28"/>
      <c r="JHO748" s="28"/>
      <c r="JHP748" s="28"/>
      <c r="JHQ748" s="28"/>
      <c r="JHR748" s="28"/>
      <c r="JHS748" s="28"/>
      <c r="JHT748" s="28"/>
      <c r="JHU748" s="28"/>
      <c r="JHV748" s="28"/>
      <c r="JHW748" s="28"/>
      <c r="JHX748" s="28"/>
      <c r="JHY748" s="28"/>
      <c r="JHZ748" s="28"/>
      <c r="JIA748" s="28"/>
      <c r="JIB748" s="28"/>
      <c r="JIC748" s="28"/>
      <c r="JID748" s="28"/>
      <c r="JIE748" s="28"/>
      <c r="JIF748" s="28"/>
      <c r="JIG748" s="28"/>
      <c r="JIH748" s="28"/>
      <c r="JII748" s="28"/>
      <c r="JIJ748" s="28"/>
      <c r="JIK748" s="28"/>
      <c r="JIL748" s="28"/>
      <c r="JIM748" s="28"/>
      <c r="JIN748" s="28"/>
      <c r="JIO748" s="28"/>
      <c r="JIP748" s="28"/>
      <c r="JIQ748" s="28"/>
      <c r="JIR748" s="28"/>
      <c r="JIS748" s="28"/>
      <c r="JIT748" s="28"/>
      <c r="JIU748" s="28"/>
      <c r="JIV748" s="28"/>
      <c r="JIW748" s="28"/>
      <c r="JIX748" s="28"/>
      <c r="JIY748" s="28"/>
      <c r="JIZ748" s="28"/>
      <c r="JJA748" s="28"/>
      <c r="JJB748" s="28"/>
      <c r="JJC748" s="28"/>
      <c r="JJD748" s="28"/>
      <c r="JJE748" s="28"/>
      <c r="JJF748" s="28"/>
      <c r="JJG748" s="28"/>
      <c r="JJH748" s="28"/>
      <c r="JJI748" s="28"/>
      <c r="JJJ748" s="28"/>
      <c r="JJK748" s="28"/>
      <c r="JJL748" s="28"/>
      <c r="JJM748" s="28"/>
      <c r="JJN748" s="28"/>
      <c r="JJO748" s="28"/>
      <c r="JJP748" s="28"/>
      <c r="JJQ748" s="28"/>
      <c r="JJR748" s="28"/>
      <c r="JJS748" s="28"/>
      <c r="JJT748" s="28"/>
      <c r="JJU748" s="28"/>
      <c r="JJV748" s="28"/>
      <c r="JJW748" s="28"/>
      <c r="JJX748" s="28"/>
      <c r="JJY748" s="28"/>
      <c r="JJZ748" s="28"/>
      <c r="JKA748" s="28"/>
      <c r="JKB748" s="28"/>
      <c r="JKC748" s="28"/>
      <c r="JKD748" s="28"/>
      <c r="JKE748" s="28"/>
      <c r="JKF748" s="28"/>
      <c r="JKG748" s="28"/>
      <c r="JKH748" s="28"/>
      <c r="JKI748" s="28"/>
      <c r="JKJ748" s="28"/>
      <c r="JKK748" s="28"/>
      <c r="JKL748" s="28"/>
      <c r="JKM748" s="28"/>
      <c r="JKN748" s="28"/>
      <c r="JKO748" s="28"/>
      <c r="JKP748" s="28"/>
      <c r="JKQ748" s="28"/>
      <c r="JKR748" s="28"/>
      <c r="JKS748" s="28"/>
      <c r="JKT748" s="28"/>
      <c r="JKU748" s="28"/>
      <c r="JKV748" s="28"/>
      <c r="JKW748" s="28"/>
      <c r="JKX748" s="28"/>
      <c r="JKY748" s="28"/>
      <c r="JKZ748" s="28"/>
      <c r="JLA748" s="28"/>
      <c r="JLB748" s="28"/>
      <c r="JLC748" s="28"/>
      <c r="JLD748" s="28"/>
      <c r="JLE748" s="28"/>
      <c r="JLF748" s="28"/>
      <c r="JLG748" s="28"/>
      <c r="JLH748" s="28"/>
      <c r="JLI748" s="28"/>
      <c r="JLJ748" s="28"/>
      <c r="JLK748" s="28"/>
      <c r="JLL748" s="28"/>
      <c r="JLM748" s="28"/>
      <c r="JLN748" s="28"/>
      <c r="JLO748" s="28"/>
      <c r="JLP748" s="28"/>
      <c r="JLQ748" s="28"/>
      <c r="JLR748" s="28"/>
      <c r="JLS748" s="28"/>
      <c r="JLT748" s="28"/>
      <c r="JLU748" s="28"/>
      <c r="JLV748" s="28"/>
      <c r="JLW748" s="28"/>
      <c r="JLX748" s="28"/>
      <c r="JLY748" s="28"/>
      <c r="JLZ748" s="28"/>
      <c r="JMA748" s="28"/>
      <c r="JMB748" s="28"/>
      <c r="JMC748" s="28"/>
      <c r="JMD748" s="28"/>
      <c r="JME748" s="28"/>
      <c r="JMF748" s="28"/>
      <c r="JMG748" s="28"/>
      <c r="JMH748" s="28"/>
      <c r="JMI748" s="28"/>
      <c r="JMJ748" s="28"/>
      <c r="JMK748" s="28"/>
      <c r="JML748" s="28"/>
      <c r="JMM748" s="28"/>
      <c r="JMN748" s="28"/>
      <c r="JMO748" s="28"/>
      <c r="JMP748" s="28"/>
      <c r="JMQ748" s="28"/>
      <c r="JMR748" s="28"/>
      <c r="JMS748" s="28"/>
      <c r="JMT748" s="28"/>
      <c r="JMU748" s="28"/>
      <c r="JMV748" s="28"/>
      <c r="JMW748" s="28"/>
      <c r="JMX748" s="28"/>
      <c r="JMY748" s="28"/>
      <c r="JMZ748" s="28"/>
      <c r="JNA748" s="28"/>
      <c r="JNB748" s="28"/>
      <c r="JNC748" s="28"/>
      <c r="JND748" s="28"/>
      <c r="JNE748" s="28"/>
      <c r="JNF748" s="28"/>
      <c r="JNG748" s="28"/>
      <c r="JNH748" s="28"/>
      <c r="JNI748" s="28"/>
      <c r="JNJ748" s="28"/>
      <c r="JNK748" s="28"/>
      <c r="JNL748" s="28"/>
      <c r="JNM748" s="28"/>
      <c r="JNN748" s="28"/>
      <c r="JNO748" s="28"/>
      <c r="JNP748" s="28"/>
      <c r="JNQ748" s="28"/>
      <c r="JNR748" s="28"/>
      <c r="JNS748" s="28"/>
      <c r="JNT748" s="28"/>
      <c r="JNU748" s="28"/>
      <c r="JNV748" s="28"/>
      <c r="JNW748" s="28"/>
      <c r="JNX748" s="28"/>
      <c r="JNY748" s="28"/>
      <c r="JNZ748" s="28"/>
      <c r="JOA748" s="28"/>
      <c r="JOB748" s="28"/>
      <c r="JOC748" s="28"/>
      <c r="JOD748" s="28"/>
      <c r="JOE748" s="28"/>
      <c r="JOF748" s="28"/>
      <c r="JOG748" s="28"/>
      <c r="JOH748" s="28"/>
      <c r="JOI748" s="28"/>
      <c r="JOJ748" s="28"/>
      <c r="JOK748" s="28"/>
      <c r="JOL748" s="28"/>
      <c r="JOM748" s="28"/>
      <c r="JON748" s="28"/>
      <c r="JOO748" s="28"/>
      <c r="JOP748" s="28"/>
      <c r="JOQ748" s="28"/>
      <c r="JOR748" s="28"/>
      <c r="JOS748" s="28"/>
      <c r="JOT748" s="28"/>
      <c r="JOU748" s="28"/>
      <c r="JOV748" s="28"/>
      <c r="JOW748" s="28"/>
      <c r="JOX748" s="28"/>
      <c r="JOY748" s="28"/>
      <c r="JOZ748" s="28"/>
      <c r="JPA748" s="28"/>
      <c r="JPB748" s="28"/>
      <c r="JPC748" s="28"/>
      <c r="JPD748" s="28"/>
      <c r="JPE748" s="28"/>
      <c r="JPF748" s="28"/>
      <c r="JPG748" s="28"/>
      <c r="JPH748" s="28"/>
      <c r="JPI748" s="28"/>
      <c r="JPJ748" s="28"/>
      <c r="JPK748" s="28"/>
      <c r="JPL748" s="28"/>
      <c r="JPM748" s="28"/>
      <c r="JPN748" s="28"/>
      <c r="JPO748" s="28"/>
      <c r="JPP748" s="28"/>
      <c r="JPQ748" s="28"/>
      <c r="JPR748" s="28"/>
      <c r="JPS748" s="28"/>
      <c r="JPT748" s="28"/>
      <c r="JPU748" s="28"/>
      <c r="JPV748" s="28"/>
      <c r="JPW748" s="28"/>
      <c r="JPX748" s="28"/>
      <c r="JPY748" s="28"/>
      <c r="JPZ748" s="28"/>
      <c r="JQA748" s="28"/>
      <c r="JQB748" s="28"/>
      <c r="JQC748" s="28"/>
      <c r="JQD748" s="28"/>
      <c r="JQE748" s="28"/>
      <c r="JQF748" s="28"/>
      <c r="JQG748" s="28"/>
      <c r="JQH748" s="28"/>
      <c r="JQI748" s="28"/>
      <c r="JQJ748" s="28"/>
      <c r="JQK748" s="28"/>
      <c r="JQL748" s="28"/>
      <c r="JQM748" s="28"/>
      <c r="JQN748" s="28"/>
      <c r="JQO748" s="28"/>
      <c r="JQP748" s="28"/>
      <c r="JQQ748" s="28"/>
      <c r="JQR748" s="28"/>
      <c r="JQS748" s="28"/>
      <c r="JQT748" s="28"/>
      <c r="JQU748" s="28"/>
      <c r="JQV748" s="28"/>
      <c r="JQW748" s="28"/>
      <c r="JQX748" s="28"/>
      <c r="JQY748" s="28"/>
      <c r="JQZ748" s="28"/>
      <c r="JRA748" s="28"/>
      <c r="JRB748" s="28"/>
      <c r="JRC748" s="28"/>
      <c r="JRD748" s="28"/>
      <c r="JRE748" s="28"/>
      <c r="JRF748" s="28"/>
      <c r="JRG748" s="28"/>
      <c r="JRH748" s="28"/>
      <c r="JRI748" s="28"/>
      <c r="JRJ748" s="28"/>
      <c r="JRK748" s="28"/>
      <c r="JRL748" s="28"/>
      <c r="JRM748" s="28"/>
      <c r="JRN748" s="28"/>
      <c r="JRO748" s="28"/>
      <c r="JRP748" s="28"/>
      <c r="JRQ748" s="28"/>
      <c r="JRR748" s="28"/>
      <c r="JRS748" s="28"/>
      <c r="JRT748" s="28"/>
      <c r="JRU748" s="28"/>
      <c r="JRV748" s="28"/>
      <c r="JRW748" s="28"/>
      <c r="JRX748" s="28"/>
      <c r="JRY748" s="28"/>
      <c r="JRZ748" s="28"/>
      <c r="JSA748" s="28"/>
      <c r="JSB748" s="28"/>
      <c r="JSC748" s="28"/>
      <c r="JSD748" s="28"/>
      <c r="JSE748" s="28"/>
      <c r="JSF748" s="28"/>
      <c r="JSG748" s="28"/>
      <c r="JSH748" s="28"/>
      <c r="JSI748" s="28"/>
      <c r="JSJ748" s="28"/>
      <c r="JSK748" s="28"/>
      <c r="JSL748" s="28"/>
      <c r="JSM748" s="28"/>
      <c r="JSN748" s="28"/>
      <c r="JSO748" s="28"/>
      <c r="JSP748" s="28"/>
      <c r="JSQ748" s="28"/>
      <c r="JSR748" s="28"/>
      <c r="JSS748" s="28"/>
      <c r="JST748" s="28"/>
      <c r="JSU748" s="28"/>
      <c r="JSV748" s="28"/>
      <c r="JSW748" s="28"/>
      <c r="JSX748" s="28"/>
      <c r="JSY748" s="28"/>
      <c r="JSZ748" s="28"/>
      <c r="JTA748" s="28"/>
      <c r="JTB748" s="28"/>
      <c r="JTC748" s="28"/>
      <c r="JTD748" s="28"/>
      <c r="JTE748" s="28"/>
      <c r="JTF748" s="28"/>
      <c r="JTG748" s="28"/>
      <c r="JTH748" s="28"/>
      <c r="JTI748" s="28"/>
      <c r="JTJ748" s="28"/>
      <c r="JTK748" s="28"/>
      <c r="JTL748" s="28"/>
      <c r="JTM748" s="28"/>
      <c r="JTN748" s="28"/>
      <c r="JTO748" s="28"/>
      <c r="JTP748" s="28"/>
      <c r="JTQ748" s="28"/>
      <c r="JTR748" s="28"/>
      <c r="JTS748" s="28"/>
      <c r="JTT748" s="28"/>
      <c r="JTU748" s="28"/>
      <c r="JTV748" s="28"/>
      <c r="JTW748" s="28"/>
      <c r="JTX748" s="28"/>
      <c r="JTY748" s="28"/>
      <c r="JTZ748" s="28"/>
      <c r="JUA748" s="28"/>
      <c r="JUB748" s="28"/>
      <c r="JUC748" s="28"/>
      <c r="JUD748" s="28"/>
      <c r="JUE748" s="28"/>
      <c r="JUF748" s="28"/>
      <c r="JUG748" s="28"/>
      <c r="JUH748" s="28"/>
      <c r="JUI748" s="28"/>
      <c r="JUJ748" s="28"/>
      <c r="JUK748" s="28"/>
      <c r="JUL748" s="28"/>
      <c r="JUM748" s="28"/>
      <c r="JUN748" s="28"/>
      <c r="JUO748" s="28"/>
      <c r="JUP748" s="28"/>
      <c r="JUQ748" s="28"/>
      <c r="JUR748" s="28"/>
      <c r="JUS748" s="28"/>
      <c r="JUT748" s="28"/>
      <c r="JUU748" s="28"/>
      <c r="JUV748" s="28"/>
      <c r="JUW748" s="28"/>
      <c r="JUX748" s="28"/>
      <c r="JUY748" s="28"/>
      <c r="JUZ748" s="28"/>
      <c r="JVA748" s="28"/>
      <c r="JVB748" s="28"/>
      <c r="JVC748" s="28"/>
      <c r="JVD748" s="28"/>
      <c r="JVE748" s="28"/>
      <c r="JVF748" s="28"/>
      <c r="JVG748" s="28"/>
      <c r="JVH748" s="28"/>
      <c r="JVI748" s="28"/>
      <c r="JVJ748" s="28"/>
      <c r="JVK748" s="28"/>
      <c r="JVL748" s="28"/>
      <c r="JVM748" s="28"/>
      <c r="JVN748" s="28"/>
      <c r="JVO748" s="28"/>
      <c r="JVP748" s="28"/>
      <c r="JVQ748" s="28"/>
      <c r="JVR748" s="28"/>
      <c r="JVS748" s="28"/>
      <c r="JVT748" s="28"/>
      <c r="JVU748" s="28"/>
      <c r="JVV748" s="28"/>
      <c r="JVW748" s="28"/>
      <c r="JVX748" s="28"/>
      <c r="JVY748" s="28"/>
      <c r="JVZ748" s="28"/>
      <c r="JWA748" s="28"/>
      <c r="JWB748" s="28"/>
      <c r="JWC748" s="28"/>
      <c r="JWD748" s="28"/>
      <c r="JWE748" s="28"/>
      <c r="JWF748" s="28"/>
      <c r="JWG748" s="28"/>
      <c r="JWH748" s="28"/>
      <c r="JWI748" s="28"/>
      <c r="JWJ748" s="28"/>
      <c r="JWK748" s="28"/>
      <c r="JWL748" s="28"/>
      <c r="JWM748" s="28"/>
      <c r="JWN748" s="28"/>
      <c r="JWO748" s="28"/>
      <c r="JWP748" s="28"/>
      <c r="JWQ748" s="28"/>
      <c r="JWR748" s="28"/>
      <c r="JWS748" s="28"/>
      <c r="JWT748" s="28"/>
      <c r="JWU748" s="28"/>
      <c r="JWV748" s="28"/>
      <c r="JWW748" s="28"/>
      <c r="JWX748" s="28"/>
      <c r="JWY748" s="28"/>
      <c r="JWZ748" s="28"/>
      <c r="JXA748" s="28"/>
      <c r="JXB748" s="28"/>
      <c r="JXC748" s="28"/>
      <c r="JXD748" s="28"/>
      <c r="JXE748" s="28"/>
      <c r="JXF748" s="28"/>
      <c r="JXG748" s="28"/>
      <c r="JXH748" s="28"/>
      <c r="JXI748" s="28"/>
      <c r="JXJ748" s="28"/>
      <c r="JXK748" s="28"/>
      <c r="JXL748" s="28"/>
      <c r="JXM748" s="28"/>
      <c r="JXN748" s="28"/>
      <c r="JXO748" s="28"/>
      <c r="JXP748" s="28"/>
      <c r="JXQ748" s="28"/>
      <c r="JXR748" s="28"/>
      <c r="JXS748" s="28"/>
      <c r="JXT748" s="28"/>
      <c r="JXU748" s="28"/>
      <c r="JXV748" s="28"/>
      <c r="JXW748" s="28"/>
      <c r="JXX748" s="28"/>
      <c r="JXY748" s="28"/>
      <c r="JXZ748" s="28"/>
      <c r="JYA748" s="28"/>
      <c r="JYB748" s="28"/>
      <c r="JYC748" s="28"/>
      <c r="JYD748" s="28"/>
      <c r="JYE748" s="28"/>
      <c r="JYF748" s="28"/>
      <c r="JYG748" s="28"/>
      <c r="JYH748" s="28"/>
      <c r="JYI748" s="28"/>
      <c r="JYJ748" s="28"/>
      <c r="JYK748" s="28"/>
      <c r="JYL748" s="28"/>
      <c r="JYM748" s="28"/>
      <c r="JYN748" s="28"/>
      <c r="JYO748" s="28"/>
      <c r="JYP748" s="28"/>
      <c r="JYQ748" s="28"/>
      <c r="JYR748" s="28"/>
      <c r="JYS748" s="28"/>
      <c r="JYT748" s="28"/>
      <c r="JYU748" s="28"/>
      <c r="JYV748" s="28"/>
      <c r="JYW748" s="28"/>
      <c r="JYX748" s="28"/>
      <c r="JYY748" s="28"/>
      <c r="JYZ748" s="28"/>
      <c r="JZA748" s="28"/>
      <c r="JZB748" s="28"/>
      <c r="JZC748" s="28"/>
      <c r="JZD748" s="28"/>
      <c r="JZE748" s="28"/>
      <c r="JZF748" s="28"/>
      <c r="JZG748" s="28"/>
      <c r="JZH748" s="28"/>
      <c r="JZI748" s="28"/>
      <c r="JZJ748" s="28"/>
      <c r="JZK748" s="28"/>
      <c r="JZL748" s="28"/>
      <c r="JZM748" s="28"/>
      <c r="JZN748" s="28"/>
      <c r="JZO748" s="28"/>
      <c r="JZP748" s="28"/>
      <c r="JZQ748" s="28"/>
      <c r="JZR748" s="28"/>
      <c r="JZS748" s="28"/>
      <c r="JZT748" s="28"/>
      <c r="JZU748" s="28"/>
      <c r="JZV748" s="28"/>
      <c r="JZW748" s="28"/>
      <c r="JZX748" s="28"/>
      <c r="JZY748" s="28"/>
      <c r="JZZ748" s="28"/>
      <c r="KAA748" s="28"/>
      <c r="KAB748" s="28"/>
      <c r="KAC748" s="28"/>
      <c r="KAD748" s="28"/>
      <c r="KAE748" s="28"/>
      <c r="KAF748" s="28"/>
      <c r="KAG748" s="28"/>
      <c r="KAH748" s="28"/>
      <c r="KAI748" s="28"/>
      <c r="KAJ748" s="28"/>
      <c r="KAK748" s="28"/>
      <c r="KAL748" s="28"/>
      <c r="KAM748" s="28"/>
      <c r="KAN748" s="28"/>
      <c r="KAO748" s="28"/>
      <c r="KAP748" s="28"/>
      <c r="KAQ748" s="28"/>
      <c r="KAR748" s="28"/>
      <c r="KAS748" s="28"/>
      <c r="KAT748" s="28"/>
      <c r="KAU748" s="28"/>
      <c r="KAV748" s="28"/>
      <c r="KAW748" s="28"/>
      <c r="KAX748" s="28"/>
      <c r="KAY748" s="28"/>
      <c r="KAZ748" s="28"/>
      <c r="KBA748" s="28"/>
      <c r="KBB748" s="28"/>
      <c r="KBC748" s="28"/>
      <c r="KBD748" s="28"/>
      <c r="KBE748" s="28"/>
      <c r="KBF748" s="28"/>
      <c r="KBG748" s="28"/>
      <c r="KBH748" s="28"/>
      <c r="KBI748" s="28"/>
      <c r="KBJ748" s="28"/>
      <c r="KBK748" s="28"/>
      <c r="KBL748" s="28"/>
      <c r="KBM748" s="28"/>
      <c r="KBN748" s="28"/>
      <c r="KBO748" s="28"/>
      <c r="KBP748" s="28"/>
      <c r="KBQ748" s="28"/>
      <c r="KBR748" s="28"/>
      <c r="KBS748" s="28"/>
      <c r="KBT748" s="28"/>
      <c r="KBU748" s="28"/>
      <c r="KBV748" s="28"/>
      <c r="KBW748" s="28"/>
      <c r="KBX748" s="28"/>
      <c r="KBY748" s="28"/>
      <c r="KBZ748" s="28"/>
      <c r="KCA748" s="28"/>
      <c r="KCB748" s="28"/>
      <c r="KCC748" s="28"/>
      <c r="KCD748" s="28"/>
      <c r="KCE748" s="28"/>
      <c r="KCF748" s="28"/>
      <c r="KCG748" s="28"/>
      <c r="KCH748" s="28"/>
      <c r="KCI748" s="28"/>
      <c r="KCJ748" s="28"/>
      <c r="KCK748" s="28"/>
      <c r="KCL748" s="28"/>
      <c r="KCM748" s="28"/>
      <c r="KCN748" s="28"/>
      <c r="KCO748" s="28"/>
      <c r="KCP748" s="28"/>
      <c r="KCQ748" s="28"/>
      <c r="KCR748" s="28"/>
      <c r="KCS748" s="28"/>
      <c r="KCT748" s="28"/>
      <c r="KCU748" s="28"/>
      <c r="KCV748" s="28"/>
      <c r="KCW748" s="28"/>
      <c r="KCX748" s="28"/>
      <c r="KCY748" s="28"/>
      <c r="KCZ748" s="28"/>
      <c r="KDA748" s="28"/>
      <c r="KDB748" s="28"/>
      <c r="KDC748" s="28"/>
      <c r="KDD748" s="28"/>
      <c r="KDE748" s="28"/>
      <c r="KDF748" s="28"/>
      <c r="KDG748" s="28"/>
      <c r="KDH748" s="28"/>
      <c r="KDI748" s="28"/>
      <c r="KDJ748" s="28"/>
      <c r="KDK748" s="28"/>
      <c r="KDL748" s="28"/>
      <c r="KDM748" s="28"/>
      <c r="KDN748" s="28"/>
      <c r="KDO748" s="28"/>
      <c r="KDP748" s="28"/>
      <c r="KDQ748" s="28"/>
      <c r="KDR748" s="28"/>
      <c r="KDS748" s="28"/>
      <c r="KDT748" s="28"/>
      <c r="KDU748" s="28"/>
      <c r="KDV748" s="28"/>
      <c r="KDW748" s="28"/>
      <c r="KDX748" s="28"/>
      <c r="KDY748" s="28"/>
      <c r="KDZ748" s="28"/>
      <c r="KEA748" s="28"/>
      <c r="KEB748" s="28"/>
      <c r="KEC748" s="28"/>
      <c r="KED748" s="28"/>
      <c r="KEE748" s="28"/>
      <c r="KEF748" s="28"/>
      <c r="KEG748" s="28"/>
      <c r="KEH748" s="28"/>
      <c r="KEI748" s="28"/>
      <c r="KEJ748" s="28"/>
      <c r="KEK748" s="28"/>
      <c r="KEL748" s="28"/>
      <c r="KEM748" s="28"/>
      <c r="KEN748" s="28"/>
      <c r="KEO748" s="28"/>
      <c r="KEP748" s="28"/>
      <c r="KEQ748" s="28"/>
      <c r="KER748" s="28"/>
      <c r="KES748" s="28"/>
      <c r="KET748" s="28"/>
      <c r="KEU748" s="28"/>
      <c r="KEV748" s="28"/>
      <c r="KEW748" s="28"/>
      <c r="KEX748" s="28"/>
      <c r="KEY748" s="28"/>
      <c r="KEZ748" s="28"/>
      <c r="KFA748" s="28"/>
      <c r="KFB748" s="28"/>
      <c r="KFC748" s="28"/>
      <c r="KFD748" s="28"/>
      <c r="KFE748" s="28"/>
      <c r="KFF748" s="28"/>
      <c r="KFG748" s="28"/>
      <c r="KFH748" s="28"/>
      <c r="KFI748" s="28"/>
      <c r="KFJ748" s="28"/>
      <c r="KFK748" s="28"/>
      <c r="KFL748" s="28"/>
      <c r="KFM748" s="28"/>
      <c r="KFN748" s="28"/>
      <c r="KFO748" s="28"/>
      <c r="KFP748" s="28"/>
      <c r="KFQ748" s="28"/>
      <c r="KFR748" s="28"/>
      <c r="KFS748" s="28"/>
      <c r="KFT748" s="28"/>
      <c r="KFU748" s="28"/>
      <c r="KFV748" s="28"/>
      <c r="KFW748" s="28"/>
      <c r="KFX748" s="28"/>
      <c r="KFY748" s="28"/>
      <c r="KFZ748" s="28"/>
      <c r="KGA748" s="28"/>
      <c r="KGB748" s="28"/>
      <c r="KGC748" s="28"/>
      <c r="KGD748" s="28"/>
      <c r="KGE748" s="28"/>
      <c r="KGF748" s="28"/>
      <c r="KGG748" s="28"/>
      <c r="KGH748" s="28"/>
      <c r="KGI748" s="28"/>
      <c r="KGJ748" s="28"/>
      <c r="KGK748" s="28"/>
      <c r="KGL748" s="28"/>
      <c r="KGM748" s="28"/>
      <c r="KGN748" s="28"/>
      <c r="KGO748" s="28"/>
      <c r="KGP748" s="28"/>
      <c r="KGQ748" s="28"/>
      <c r="KGR748" s="28"/>
      <c r="KGS748" s="28"/>
      <c r="KGT748" s="28"/>
      <c r="KGU748" s="28"/>
      <c r="KGV748" s="28"/>
      <c r="KGW748" s="28"/>
      <c r="KGX748" s="28"/>
      <c r="KGY748" s="28"/>
      <c r="KGZ748" s="28"/>
      <c r="KHA748" s="28"/>
      <c r="KHB748" s="28"/>
      <c r="KHC748" s="28"/>
      <c r="KHD748" s="28"/>
      <c r="KHE748" s="28"/>
      <c r="KHF748" s="28"/>
      <c r="KHG748" s="28"/>
      <c r="KHH748" s="28"/>
      <c r="KHI748" s="28"/>
      <c r="KHJ748" s="28"/>
      <c r="KHK748" s="28"/>
      <c r="KHL748" s="28"/>
      <c r="KHM748" s="28"/>
      <c r="KHN748" s="28"/>
      <c r="KHO748" s="28"/>
      <c r="KHP748" s="28"/>
      <c r="KHQ748" s="28"/>
      <c r="KHR748" s="28"/>
      <c r="KHS748" s="28"/>
      <c r="KHT748" s="28"/>
      <c r="KHU748" s="28"/>
      <c r="KHV748" s="28"/>
      <c r="KHW748" s="28"/>
      <c r="KHX748" s="28"/>
      <c r="KHY748" s="28"/>
      <c r="KHZ748" s="28"/>
      <c r="KIA748" s="28"/>
      <c r="KIB748" s="28"/>
      <c r="KIC748" s="28"/>
      <c r="KID748" s="28"/>
      <c r="KIE748" s="28"/>
      <c r="KIF748" s="28"/>
      <c r="KIG748" s="28"/>
      <c r="KIH748" s="28"/>
      <c r="KII748" s="28"/>
      <c r="KIJ748" s="28"/>
      <c r="KIK748" s="28"/>
      <c r="KIL748" s="28"/>
      <c r="KIM748" s="28"/>
      <c r="KIN748" s="28"/>
      <c r="KIO748" s="28"/>
      <c r="KIP748" s="28"/>
      <c r="KIQ748" s="28"/>
      <c r="KIR748" s="28"/>
      <c r="KIS748" s="28"/>
      <c r="KIT748" s="28"/>
      <c r="KIU748" s="28"/>
      <c r="KIV748" s="28"/>
      <c r="KIW748" s="28"/>
      <c r="KIX748" s="28"/>
      <c r="KIY748" s="28"/>
      <c r="KIZ748" s="28"/>
      <c r="KJA748" s="28"/>
      <c r="KJB748" s="28"/>
      <c r="KJC748" s="28"/>
      <c r="KJD748" s="28"/>
      <c r="KJE748" s="28"/>
      <c r="KJF748" s="28"/>
      <c r="KJG748" s="28"/>
      <c r="KJH748" s="28"/>
      <c r="KJI748" s="28"/>
      <c r="KJJ748" s="28"/>
      <c r="KJK748" s="28"/>
      <c r="KJL748" s="28"/>
      <c r="KJM748" s="28"/>
      <c r="KJN748" s="28"/>
      <c r="KJO748" s="28"/>
      <c r="KJP748" s="28"/>
      <c r="KJQ748" s="28"/>
      <c r="KJR748" s="28"/>
      <c r="KJS748" s="28"/>
      <c r="KJT748" s="28"/>
      <c r="KJU748" s="28"/>
      <c r="KJV748" s="28"/>
      <c r="KJW748" s="28"/>
      <c r="KJX748" s="28"/>
      <c r="KJY748" s="28"/>
      <c r="KJZ748" s="28"/>
      <c r="KKA748" s="28"/>
      <c r="KKB748" s="28"/>
      <c r="KKC748" s="28"/>
      <c r="KKD748" s="28"/>
      <c r="KKE748" s="28"/>
      <c r="KKF748" s="28"/>
      <c r="KKG748" s="28"/>
      <c r="KKH748" s="28"/>
      <c r="KKI748" s="28"/>
      <c r="KKJ748" s="28"/>
      <c r="KKK748" s="28"/>
      <c r="KKL748" s="28"/>
      <c r="KKM748" s="28"/>
      <c r="KKN748" s="28"/>
      <c r="KKO748" s="28"/>
      <c r="KKP748" s="28"/>
      <c r="KKQ748" s="28"/>
      <c r="KKR748" s="28"/>
      <c r="KKS748" s="28"/>
      <c r="KKT748" s="28"/>
      <c r="KKU748" s="28"/>
      <c r="KKV748" s="28"/>
      <c r="KKW748" s="28"/>
      <c r="KKX748" s="28"/>
      <c r="KKY748" s="28"/>
      <c r="KKZ748" s="28"/>
      <c r="KLA748" s="28"/>
      <c r="KLB748" s="28"/>
      <c r="KLC748" s="28"/>
      <c r="KLD748" s="28"/>
      <c r="KLE748" s="28"/>
      <c r="KLF748" s="28"/>
      <c r="KLG748" s="28"/>
      <c r="KLH748" s="28"/>
      <c r="KLI748" s="28"/>
      <c r="KLJ748" s="28"/>
      <c r="KLK748" s="28"/>
      <c r="KLL748" s="28"/>
      <c r="KLM748" s="28"/>
      <c r="KLN748" s="28"/>
      <c r="KLO748" s="28"/>
      <c r="KLP748" s="28"/>
      <c r="KLQ748" s="28"/>
      <c r="KLR748" s="28"/>
      <c r="KLS748" s="28"/>
      <c r="KLT748" s="28"/>
      <c r="KLU748" s="28"/>
      <c r="KLV748" s="28"/>
      <c r="KLW748" s="28"/>
      <c r="KLX748" s="28"/>
      <c r="KLY748" s="28"/>
      <c r="KLZ748" s="28"/>
      <c r="KMA748" s="28"/>
      <c r="KMB748" s="28"/>
      <c r="KMC748" s="28"/>
      <c r="KMD748" s="28"/>
      <c r="KME748" s="28"/>
      <c r="KMF748" s="28"/>
      <c r="KMG748" s="28"/>
      <c r="KMH748" s="28"/>
      <c r="KMI748" s="28"/>
      <c r="KMJ748" s="28"/>
      <c r="KMK748" s="28"/>
      <c r="KML748" s="28"/>
      <c r="KMM748" s="28"/>
      <c r="KMN748" s="28"/>
      <c r="KMO748" s="28"/>
      <c r="KMP748" s="28"/>
      <c r="KMQ748" s="28"/>
      <c r="KMR748" s="28"/>
      <c r="KMS748" s="28"/>
      <c r="KMT748" s="28"/>
      <c r="KMU748" s="28"/>
      <c r="KMV748" s="28"/>
      <c r="KMW748" s="28"/>
      <c r="KMX748" s="28"/>
      <c r="KMY748" s="28"/>
      <c r="KMZ748" s="28"/>
      <c r="KNA748" s="28"/>
      <c r="KNB748" s="28"/>
      <c r="KNC748" s="28"/>
      <c r="KND748" s="28"/>
      <c r="KNE748" s="28"/>
      <c r="KNF748" s="28"/>
      <c r="KNG748" s="28"/>
      <c r="KNH748" s="28"/>
      <c r="KNI748" s="28"/>
      <c r="KNJ748" s="28"/>
      <c r="KNK748" s="28"/>
      <c r="KNL748" s="28"/>
      <c r="KNM748" s="28"/>
      <c r="KNN748" s="28"/>
      <c r="KNO748" s="28"/>
      <c r="KNP748" s="28"/>
      <c r="KNQ748" s="28"/>
      <c r="KNR748" s="28"/>
      <c r="KNS748" s="28"/>
      <c r="KNT748" s="28"/>
      <c r="KNU748" s="28"/>
      <c r="KNV748" s="28"/>
      <c r="KNW748" s="28"/>
      <c r="KNX748" s="28"/>
      <c r="KNY748" s="28"/>
      <c r="KNZ748" s="28"/>
      <c r="KOA748" s="28"/>
      <c r="KOB748" s="28"/>
      <c r="KOC748" s="28"/>
      <c r="KOD748" s="28"/>
      <c r="KOE748" s="28"/>
      <c r="KOF748" s="28"/>
      <c r="KOG748" s="28"/>
      <c r="KOH748" s="28"/>
      <c r="KOI748" s="28"/>
      <c r="KOJ748" s="28"/>
      <c r="KOK748" s="28"/>
      <c r="KOL748" s="28"/>
      <c r="KOM748" s="28"/>
      <c r="KON748" s="28"/>
      <c r="KOO748" s="28"/>
      <c r="KOP748" s="28"/>
      <c r="KOQ748" s="28"/>
      <c r="KOR748" s="28"/>
      <c r="KOS748" s="28"/>
      <c r="KOT748" s="28"/>
      <c r="KOU748" s="28"/>
      <c r="KOV748" s="28"/>
      <c r="KOW748" s="28"/>
      <c r="KOX748" s="28"/>
      <c r="KOY748" s="28"/>
      <c r="KOZ748" s="28"/>
      <c r="KPA748" s="28"/>
      <c r="KPB748" s="28"/>
      <c r="KPC748" s="28"/>
      <c r="KPD748" s="28"/>
      <c r="KPE748" s="28"/>
      <c r="KPF748" s="28"/>
      <c r="KPG748" s="28"/>
      <c r="KPH748" s="28"/>
      <c r="KPI748" s="28"/>
      <c r="KPJ748" s="28"/>
      <c r="KPK748" s="28"/>
      <c r="KPL748" s="28"/>
      <c r="KPM748" s="28"/>
      <c r="KPN748" s="28"/>
      <c r="KPO748" s="28"/>
      <c r="KPP748" s="28"/>
      <c r="KPQ748" s="28"/>
      <c r="KPR748" s="28"/>
      <c r="KPS748" s="28"/>
      <c r="KPT748" s="28"/>
      <c r="KPU748" s="28"/>
      <c r="KPV748" s="28"/>
      <c r="KPW748" s="28"/>
      <c r="KPX748" s="28"/>
      <c r="KPY748" s="28"/>
      <c r="KPZ748" s="28"/>
      <c r="KQA748" s="28"/>
      <c r="KQB748" s="28"/>
      <c r="KQC748" s="28"/>
      <c r="KQD748" s="28"/>
      <c r="KQE748" s="28"/>
      <c r="KQF748" s="28"/>
      <c r="KQG748" s="28"/>
      <c r="KQH748" s="28"/>
      <c r="KQI748" s="28"/>
      <c r="KQJ748" s="28"/>
      <c r="KQK748" s="28"/>
      <c r="KQL748" s="28"/>
      <c r="KQM748" s="28"/>
      <c r="KQN748" s="28"/>
      <c r="KQO748" s="28"/>
      <c r="KQP748" s="28"/>
      <c r="KQQ748" s="28"/>
      <c r="KQR748" s="28"/>
      <c r="KQS748" s="28"/>
      <c r="KQT748" s="28"/>
      <c r="KQU748" s="28"/>
      <c r="KQV748" s="28"/>
      <c r="KQW748" s="28"/>
      <c r="KQX748" s="28"/>
      <c r="KQY748" s="28"/>
      <c r="KQZ748" s="28"/>
      <c r="KRA748" s="28"/>
      <c r="KRB748" s="28"/>
      <c r="KRC748" s="28"/>
      <c r="KRD748" s="28"/>
      <c r="KRE748" s="28"/>
      <c r="KRF748" s="28"/>
      <c r="KRG748" s="28"/>
      <c r="KRH748" s="28"/>
      <c r="KRI748" s="28"/>
      <c r="KRJ748" s="28"/>
      <c r="KRK748" s="28"/>
      <c r="KRL748" s="28"/>
      <c r="KRM748" s="28"/>
      <c r="KRN748" s="28"/>
      <c r="KRO748" s="28"/>
      <c r="KRP748" s="28"/>
      <c r="KRQ748" s="28"/>
      <c r="KRR748" s="28"/>
      <c r="KRS748" s="28"/>
      <c r="KRT748" s="28"/>
      <c r="KRU748" s="28"/>
      <c r="KRV748" s="28"/>
      <c r="KRW748" s="28"/>
      <c r="KRX748" s="28"/>
      <c r="KRY748" s="28"/>
      <c r="KRZ748" s="28"/>
      <c r="KSA748" s="28"/>
      <c r="KSB748" s="28"/>
      <c r="KSC748" s="28"/>
      <c r="KSD748" s="28"/>
      <c r="KSE748" s="28"/>
      <c r="KSF748" s="28"/>
      <c r="KSG748" s="28"/>
      <c r="KSH748" s="28"/>
      <c r="KSI748" s="28"/>
      <c r="KSJ748" s="28"/>
      <c r="KSK748" s="28"/>
      <c r="KSL748" s="28"/>
      <c r="KSM748" s="28"/>
      <c r="KSN748" s="28"/>
      <c r="KSO748" s="28"/>
      <c r="KSP748" s="28"/>
      <c r="KSQ748" s="28"/>
      <c r="KSR748" s="28"/>
      <c r="KSS748" s="28"/>
      <c r="KST748" s="28"/>
      <c r="KSU748" s="28"/>
      <c r="KSV748" s="28"/>
      <c r="KSW748" s="28"/>
      <c r="KSX748" s="28"/>
      <c r="KSY748" s="28"/>
      <c r="KSZ748" s="28"/>
      <c r="KTA748" s="28"/>
      <c r="KTB748" s="28"/>
      <c r="KTC748" s="28"/>
      <c r="KTD748" s="28"/>
      <c r="KTE748" s="28"/>
      <c r="KTF748" s="28"/>
      <c r="KTG748" s="28"/>
      <c r="KTH748" s="28"/>
      <c r="KTI748" s="28"/>
      <c r="KTJ748" s="28"/>
      <c r="KTK748" s="28"/>
      <c r="KTL748" s="28"/>
      <c r="KTM748" s="28"/>
      <c r="KTN748" s="28"/>
      <c r="KTO748" s="28"/>
      <c r="KTP748" s="28"/>
      <c r="KTQ748" s="28"/>
      <c r="KTR748" s="28"/>
      <c r="KTS748" s="28"/>
      <c r="KTT748" s="28"/>
      <c r="KTU748" s="28"/>
      <c r="KTV748" s="28"/>
      <c r="KTW748" s="28"/>
      <c r="KTX748" s="28"/>
      <c r="KTY748" s="28"/>
      <c r="KTZ748" s="28"/>
      <c r="KUA748" s="28"/>
      <c r="KUB748" s="28"/>
      <c r="KUC748" s="28"/>
      <c r="KUD748" s="28"/>
      <c r="KUE748" s="28"/>
      <c r="KUF748" s="28"/>
      <c r="KUG748" s="28"/>
      <c r="KUH748" s="28"/>
      <c r="KUI748" s="28"/>
      <c r="KUJ748" s="28"/>
      <c r="KUK748" s="28"/>
      <c r="KUL748" s="28"/>
      <c r="KUM748" s="28"/>
      <c r="KUN748" s="28"/>
      <c r="KUO748" s="28"/>
      <c r="KUP748" s="28"/>
      <c r="KUQ748" s="28"/>
      <c r="KUR748" s="28"/>
      <c r="KUS748" s="28"/>
      <c r="KUT748" s="28"/>
      <c r="KUU748" s="28"/>
      <c r="KUV748" s="28"/>
      <c r="KUW748" s="28"/>
      <c r="KUX748" s="28"/>
      <c r="KUY748" s="28"/>
      <c r="KUZ748" s="28"/>
      <c r="KVA748" s="28"/>
      <c r="KVB748" s="28"/>
      <c r="KVC748" s="28"/>
      <c r="KVD748" s="28"/>
      <c r="KVE748" s="28"/>
      <c r="KVF748" s="28"/>
      <c r="KVG748" s="28"/>
      <c r="KVH748" s="28"/>
      <c r="KVI748" s="28"/>
      <c r="KVJ748" s="28"/>
      <c r="KVK748" s="28"/>
      <c r="KVL748" s="28"/>
      <c r="KVM748" s="28"/>
      <c r="KVN748" s="28"/>
      <c r="KVO748" s="28"/>
      <c r="KVP748" s="28"/>
      <c r="KVQ748" s="28"/>
      <c r="KVR748" s="28"/>
      <c r="KVS748" s="28"/>
      <c r="KVT748" s="28"/>
      <c r="KVU748" s="28"/>
      <c r="KVV748" s="28"/>
      <c r="KVW748" s="28"/>
      <c r="KVX748" s="28"/>
      <c r="KVY748" s="28"/>
      <c r="KVZ748" s="28"/>
      <c r="KWA748" s="28"/>
      <c r="KWB748" s="28"/>
      <c r="KWC748" s="28"/>
      <c r="KWD748" s="28"/>
      <c r="KWE748" s="28"/>
      <c r="KWF748" s="28"/>
      <c r="KWG748" s="28"/>
      <c r="KWH748" s="28"/>
      <c r="KWI748" s="28"/>
      <c r="KWJ748" s="28"/>
      <c r="KWK748" s="28"/>
      <c r="KWL748" s="28"/>
      <c r="KWM748" s="28"/>
      <c r="KWN748" s="28"/>
      <c r="KWO748" s="28"/>
      <c r="KWP748" s="28"/>
      <c r="KWQ748" s="28"/>
      <c r="KWR748" s="28"/>
      <c r="KWS748" s="28"/>
      <c r="KWT748" s="28"/>
      <c r="KWU748" s="28"/>
      <c r="KWV748" s="28"/>
      <c r="KWW748" s="28"/>
      <c r="KWX748" s="28"/>
      <c r="KWY748" s="28"/>
      <c r="KWZ748" s="28"/>
      <c r="KXA748" s="28"/>
      <c r="KXB748" s="28"/>
      <c r="KXC748" s="28"/>
      <c r="KXD748" s="28"/>
      <c r="KXE748" s="28"/>
      <c r="KXF748" s="28"/>
      <c r="KXG748" s="28"/>
      <c r="KXH748" s="28"/>
      <c r="KXI748" s="28"/>
      <c r="KXJ748" s="28"/>
      <c r="KXK748" s="28"/>
      <c r="KXL748" s="28"/>
      <c r="KXM748" s="28"/>
      <c r="KXN748" s="28"/>
      <c r="KXO748" s="28"/>
      <c r="KXP748" s="28"/>
      <c r="KXQ748" s="28"/>
      <c r="KXR748" s="28"/>
      <c r="KXS748" s="28"/>
      <c r="KXT748" s="28"/>
      <c r="KXU748" s="28"/>
      <c r="KXV748" s="28"/>
      <c r="KXW748" s="28"/>
      <c r="KXX748" s="28"/>
      <c r="KXY748" s="28"/>
      <c r="KXZ748" s="28"/>
      <c r="KYA748" s="28"/>
      <c r="KYB748" s="28"/>
      <c r="KYC748" s="28"/>
      <c r="KYD748" s="28"/>
      <c r="KYE748" s="28"/>
      <c r="KYF748" s="28"/>
      <c r="KYG748" s="28"/>
      <c r="KYH748" s="28"/>
      <c r="KYI748" s="28"/>
      <c r="KYJ748" s="28"/>
      <c r="KYK748" s="28"/>
      <c r="KYL748" s="28"/>
      <c r="KYM748" s="28"/>
      <c r="KYN748" s="28"/>
      <c r="KYO748" s="28"/>
      <c r="KYP748" s="28"/>
      <c r="KYQ748" s="28"/>
      <c r="KYR748" s="28"/>
      <c r="KYS748" s="28"/>
      <c r="KYT748" s="28"/>
      <c r="KYU748" s="28"/>
      <c r="KYV748" s="28"/>
      <c r="KYW748" s="28"/>
      <c r="KYX748" s="28"/>
      <c r="KYY748" s="28"/>
      <c r="KYZ748" s="28"/>
      <c r="KZA748" s="28"/>
      <c r="KZB748" s="28"/>
      <c r="KZC748" s="28"/>
      <c r="KZD748" s="28"/>
      <c r="KZE748" s="28"/>
      <c r="KZF748" s="28"/>
      <c r="KZG748" s="28"/>
      <c r="KZH748" s="28"/>
      <c r="KZI748" s="28"/>
      <c r="KZJ748" s="28"/>
      <c r="KZK748" s="28"/>
      <c r="KZL748" s="28"/>
      <c r="KZM748" s="28"/>
      <c r="KZN748" s="28"/>
      <c r="KZO748" s="28"/>
      <c r="KZP748" s="28"/>
      <c r="KZQ748" s="28"/>
      <c r="KZR748" s="28"/>
      <c r="KZS748" s="28"/>
      <c r="KZT748" s="28"/>
      <c r="KZU748" s="28"/>
      <c r="KZV748" s="28"/>
      <c r="KZW748" s="28"/>
      <c r="KZX748" s="28"/>
      <c r="KZY748" s="28"/>
      <c r="KZZ748" s="28"/>
      <c r="LAA748" s="28"/>
      <c r="LAB748" s="28"/>
      <c r="LAC748" s="28"/>
      <c r="LAD748" s="28"/>
      <c r="LAE748" s="28"/>
      <c r="LAF748" s="28"/>
      <c r="LAG748" s="28"/>
      <c r="LAH748" s="28"/>
      <c r="LAI748" s="28"/>
      <c r="LAJ748" s="28"/>
      <c r="LAK748" s="28"/>
      <c r="LAL748" s="28"/>
      <c r="LAM748" s="28"/>
      <c r="LAN748" s="28"/>
      <c r="LAO748" s="28"/>
      <c r="LAP748" s="28"/>
      <c r="LAQ748" s="28"/>
      <c r="LAR748" s="28"/>
      <c r="LAS748" s="28"/>
      <c r="LAT748" s="28"/>
      <c r="LAU748" s="28"/>
      <c r="LAV748" s="28"/>
      <c r="LAW748" s="28"/>
      <c r="LAX748" s="28"/>
      <c r="LAY748" s="28"/>
      <c r="LAZ748" s="28"/>
      <c r="LBA748" s="28"/>
      <c r="LBB748" s="28"/>
      <c r="LBC748" s="28"/>
      <c r="LBD748" s="28"/>
      <c r="LBE748" s="28"/>
      <c r="LBF748" s="28"/>
      <c r="LBG748" s="28"/>
      <c r="LBH748" s="28"/>
      <c r="LBI748" s="28"/>
      <c r="LBJ748" s="28"/>
      <c r="LBK748" s="28"/>
      <c r="LBL748" s="28"/>
      <c r="LBM748" s="28"/>
      <c r="LBN748" s="28"/>
      <c r="LBO748" s="28"/>
      <c r="LBP748" s="28"/>
      <c r="LBQ748" s="28"/>
      <c r="LBR748" s="28"/>
      <c r="LBS748" s="28"/>
      <c r="LBT748" s="28"/>
      <c r="LBU748" s="28"/>
      <c r="LBV748" s="28"/>
      <c r="LBW748" s="28"/>
      <c r="LBX748" s="28"/>
      <c r="LBY748" s="28"/>
      <c r="LBZ748" s="28"/>
      <c r="LCA748" s="28"/>
      <c r="LCB748" s="28"/>
      <c r="LCC748" s="28"/>
      <c r="LCD748" s="28"/>
      <c r="LCE748" s="28"/>
      <c r="LCF748" s="28"/>
      <c r="LCG748" s="28"/>
      <c r="LCH748" s="28"/>
      <c r="LCI748" s="28"/>
      <c r="LCJ748" s="28"/>
      <c r="LCK748" s="28"/>
      <c r="LCL748" s="28"/>
      <c r="LCM748" s="28"/>
      <c r="LCN748" s="28"/>
      <c r="LCO748" s="28"/>
      <c r="LCP748" s="28"/>
      <c r="LCQ748" s="28"/>
      <c r="LCR748" s="28"/>
      <c r="LCS748" s="28"/>
      <c r="LCT748" s="28"/>
      <c r="LCU748" s="28"/>
      <c r="LCV748" s="28"/>
      <c r="LCW748" s="28"/>
      <c r="LCX748" s="28"/>
      <c r="LCY748" s="28"/>
      <c r="LCZ748" s="28"/>
      <c r="LDA748" s="28"/>
      <c r="LDB748" s="28"/>
      <c r="LDC748" s="28"/>
      <c r="LDD748" s="28"/>
      <c r="LDE748" s="28"/>
      <c r="LDF748" s="28"/>
      <c r="LDG748" s="28"/>
      <c r="LDH748" s="28"/>
      <c r="LDI748" s="28"/>
      <c r="LDJ748" s="28"/>
      <c r="LDK748" s="28"/>
      <c r="LDL748" s="28"/>
      <c r="LDM748" s="28"/>
      <c r="LDN748" s="28"/>
      <c r="LDO748" s="28"/>
      <c r="LDP748" s="28"/>
      <c r="LDQ748" s="28"/>
      <c r="LDR748" s="28"/>
      <c r="LDS748" s="28"/>
      <c r="LDT748" s="28"/>
      <c r="LDU748" s="28"/>
      <c r="LDV748" s="28"/>
      <c r="LDW748" s="28"/>
      <c r="LDX748" s="28"/>
      <c r="LDY748" s="28"/>
      <c r="LDZ748" s="28"/>
      <c r="LEA748" s="28"/>
      <c r="LEB748" s="28"/>
      <c r="LEC748" s="28"/>
      <c r="LED748" s="28"/>
      <c r="LEE748" s="28"/>
      <c r="LEF748" s="28"/>
      <c r="LEG748" s="28"/>
      <c r="LEH748" s="28"/>
      <c r="LEI748" s="28"/>
      <c r="LEJ748" s="28"/>
      <c r="LEK748" s="28"/>
      <c r="LEL748" s="28"/>
      <c r="LEM748" s="28"/>
      <c r="LEN748" s="28"/>
      <c r="LEO748" s="28"/>
      <c r="LEP748" s="28"/>
      <c r="LEQ748" s="28"/>
      <c r="LER748" s="28"/>
      <c r="LES748" s="28"/>
      <c r="LET748" s="28"/>
      <c r="LEU748" s="28"/>
      <c r="LEV748" s="28"/>
      <c r="LEW748" s="28"/>
      <c r="LEX748" s="28"/>
      <c r="LEY748" s="28"/>
      <c r="LEZ748" s="28"/>
      <c r="LFA748" s="28"/>
      <c r="LFB748" s="28"/>
      <c r="LFC748" s="28"/>
      <c r="LFD748" s="28"/>
      <c r="LFE748" s="28"/>
      <c r="LFF748" s="28"/>
      <c r="LFG748" s="28"/>
      <c r="LFH748" s="28"/>
      <c r="LFI748" s="28"/>
      <c r="LFJ748" s="28"/>
      <c r="LFK748" s="28"/>
      <c r="LFL748" s="28"/>
      <c r="LFM748" s="28"/>
      <c r="LFN748" s="28"/>
      <c r="LFO748" s="28"/>
      <c r="LFP748" s="28"/>
      <c r="LFQ748" s="28"/>
      <c r="LFR748" s="28"/>
      <c r="LFS748" s="28"/>
      <c r="LFT748" s="28"/>
      <c r="LFU748" s="28"/>
      <c r="LFV748" s="28"/>
      <c r="LFW748" s="28"/>
      <c r="LFX748" s="28"/>
      <c r="LFY748" s="28"/>
      <c r="LFZ748" s="28"/>
      <c r="LGA748" s="28"/>
      <c r="LGB748" s="28"/>
      <c r="LGC748" s="28"/>
      <c r="LGD748" s="28"/>
      <c r="LGE748" s="28"/>
      <c r="LGF748" s="28"/>
      <c r="LGG748" s="28"/>
      <c r="LGH748" s="28"/>
      <c r="LGI748" s="28"/>
      <c r="LGJ748" s="28"/>
      <c r="LGK748" s="28"/>
      <c r="LGL748" s="28"/>
      <c r="LGM748" s="28"/>
      <c r="LGN748" s="28"/>
      <c r="LGO748" s="28"/>
      <c r="LGP748" s="28"/>
      <c r="LGQ748" s="28"/>
      <c r="LGR748" s="28"/>
      <c r="LGS748" s="28"/>
      <c r="LGT748" s="28"/>
      <c r="LGU748" s="28"/>
      <c r="LGV748" s="28"/>
      <c r="LGW748" s="28"/>
      <c r="LGX748" s="28"/>
      <c r="LGY748" s="28"/>
      <c r="LGZ748" s="28"/>
      <c r="LHA748" s="28"/>
      <c r="LHB748" s="28"/>
      <c r="LHC748" s="28"/>
      <c r="LHD748" s="28"/>
      <c r="LHE748" s="28"/>
      <c r="LHF748" s="28"/>
      <c r="LHG748" s="28"/>
      <c r="LHH748" s="28"/>
      <c r="LHI748" s="28"/>
      <c r="LHJ748" s="28"/>
      <c r="LHK748" s="28"/>
      <c r="LHL748" s="28"/>
      <c r="LHM748" s="28"/>
      <c r="LHN748" s="28"/>
      <c r="LHO748" s="28"/>
      <c r="LHP748" s="28"/>
      <c r="LHQ748" s="28"/>
      <c r="LHR748" s="28"/>
      <c r="LHS748" s="28"/>
      <c r="LHT748" s="28"/>
      <c r="LHU748" s="28"/>
      <c r="LHV748" s="28"/>
      <c r="LHW748" s="28"/>
      <c r="LHX748" s="28"/>
      <c r="LHY748" s="28"/>
      <c r="LHZ748" s="28"/>
      <c r="LIA748" s="28"/>
      <c r="LIB748" s="28"/>
      <c r="LIC748" s="28"/>
      <c r="LID748" s="28"/>
      <c r="LIE748" s="28"/>
      <c r="LIF748" s="28"/>
      <c r="LIG748" s="28"/>
      <c r="LIH748" s="28"/>
      <c r="LII748" s="28"/>
      <c r="LIJ748" s="28"/>
      <c r="LIK748" s="28"/>
      <c r="LIL748" s="28"/>
      <c r="LIM748" s="28"/>
      <c r="LIN748" s="28"/>
      <c r="LIO748" s="28"/>
      <c r="LIP748" s="28"/>
      <c r="LIQ748" s="28"/>
      <c r="LIR748" s="28"/>
      <c r="LIS748" s="28"/>
      <c r="LIT748" s="28"/>
      <c r="LIU748" s="28"/>
      <c r="LIV748" s="28"/>
      <c r="LIW748" s="28"/>
      <c r="LIX748" s="28"/>
      <c r="LIY748" s="28"/>
      <c r="LIZ748" s="28"/>
      <c r="LJA748" s="28"/>
      <c r="LJB748" s="28"/>
      <c r="LJC748" s="28"/>
      <c r="LJD748" s="28"/>
      <c r="LJE748" s="28"/>
      <c r="LJF748" s="28"/>
      <c r="LJG748" s="28"/>
      <c r="LJH748" s="28"/>
      <c r="LJI748" s="28"/>
      <c r="LJJ748" s="28"/>
      <c r="LJK748" s="28"/>
      <c r="LJL748" s="28"/>
      <c r="LJM748" s="28"/>
      <c r="LJN748" s="28"/>
      <c r="LJO748" s="28"/>
      <c r="LJP748" s="28"/>
      <c r="LJQ748" s="28"/>
      <c r="LJR748" s="28"/>
      <c r="LJS748" s="28"/>
      <c r="LJT748" s="28"/>
      <c r="LJU748" s="28"/>
      <c r="LJV748" s="28"/>
      <c r="LJW748" s="28"/>
      <c r="LJX748" s="28"/>
      <c r="LJY748" s="28"/>
      <c r="LJZ748" s="28"/>
      <c r="LKA748" s="28"/>
      <c r="LKB748" s="28"/>
      <c r="LKC748" s="28"/>
      <c r="LKD748" s="28"/>
      <c r="LKE748" s="28"/>
      <c r="LKF748" s="28"/>
      <c r="LKG748" s="28"/>
      <c r="LKH748" s="28"/>
      <c r="LKI748" s="28"/>
      <c r="LKJ748" s="28"/>
      <c r="LKK748" s="28"/>
      <c r="LKL748" s="28"/>
      <c r="LKM748" s="28"/>
      <c r="LKN748" s="28"/>
      <c r="LKO748" s="28"/>
      <c r="LKP748" s="28"/>
      <c r="LKQ748" s="28"/>
      <c r="LKR748" s="28"/>
      <c r="LKS748" s="28"/>
      <c r="LKT748" s="28"/>
      <c r="LKU748" s="28"/>
      <c r="LKV748" s="28"/>
      <c r="LKW748" s="28"/>
      <c r="LKX748" s="28"/>
      <c r="LKY748" s="28"/>
      <c r="LKZ748" s="28"/>
      <c r="LLA748" s="28"/>
      <c r="LLB748" s="28"/>
      <c r="LLC748" s="28"/>
      <c r="LLD748" s="28"/>
      <c r="LLE748" s="28"/>
      <c r="LLF748" s="28"/>
      <c r="LLG748" s="28"/>
      <c r="LLH748" s="28"/>
      <c r="LLI748" s="28"/>
      <c r="LLJ748" s="28"/>
      <c r="LLK748" s="28"/>
      <c r="LLL748" s="28"/>
      <c r="LLM748" s="28"/>
      <c r="LLN748" s="28"/>
      <c r="LLO748" s="28"/>
      <c r="LLP748" s="28"/>
      <c r="LLQ748" s="28"/>
      <c r="LLR748" s="28"/>
      <c r="LLS748" s="28"/>
      <c r="LLT748" s="28"/>
      <c r="LLU748" s="28"/>
      <c r="LLV748" s="28"/>
      <c r="LLW748" s="28"/>
      <c r="LLX748" s="28"/>
      <c r="LLY748" s="28"/>
      <c r="LLZ748" s="28"/>
      <c r="LMA748" s="28"/>
      <c r="LMB748" s="28"/>
      <c r="LMC748" s="28"/>
      <c r="LMD748" s="28"/>
      <c r="LME748" s="28"/>
      <c r="LMF748" s="28"/>
      <c r="LMG748" s="28"/>
      <c r="LMH748" s="28"/>
      <c r="LMI748" s="28"/>
      <c r="LMJ748" s="28"/>
      <c r="LMK748" s="28"/>
      <c r="LML748" s="28"/>
      <c r="LMM748" s="28"/>
      <c r="LMN748" s="28"/>
      <c r="LMO748" s="28"/>
      <c r="LMP748" s="28"/>
      <c r="LMQ748" s="28"/>
      <c r="LMR748" s="28"/>
      <c r="LMS748" s="28"/>
      <c r="LMT748" s="28"/>
      <c r="LMU748" s="28"/>
      <c r="LMV748" s="28"/>
      <c r="LMW748" s="28"/>
      <c r="LMX748" s="28"/>
      <c r="LMY748" s="28"/>
      <c r="LMZ748" s="28"/>
      <c r="LNA748" s="28"/>
      <c r="LNB748" s="28"/>
      <c r="LNC748" s="28"/>
      <c r="LND748" s="28"/>
      <c r="LNE748" s="28"/>
      <c r="LNF748" s="28"/>
      <c r="LNG748" s="28"/>
      <c r="LNH748" s="28"/>
      <c r="LNI748" s="28"/>
      <c r="LNJ748" s="28"/>
      <c r="LNK748" s="28"/>
      <c r="LNL748" s="28"/>
      <c r="LNM748" s="28"/>
      <c r="LNN748" s="28"/>
      <c r="LNO748" s="28"/>
      <c r="LNP748" s="28"/>
      <c r="LNQ748" s="28"/>
      <c r="LNR748" s="28"/>
      <c r="LNS748" s="28"/>
      <c r="LNT748" s="28"/>
      <c r="LNU748" s="28"/>
      <c r="LNV748" s="28"/>
      <c r="LNW748" s="28"/>
      <c r="LNX748" s="28"/>
      <c r="LNY748" s="28"/>
      <c r="LNZ748" s="28"/>
      <c r="LOA748" s="28"/>
      <c r="LOB748" s="28"/>
      <c r="LOC748" s="28"/>
      <c r="LOD748" s="28"/>
      <c r="LOE748" s="28"/>
      <c r="LOF748" s="28"/>
      <c r="LOG748" s="28"/>
      <c r="LOH748" s="28"/>
      <c r="LOI748" s="28"/>
      <c r="LOJ748" s="28"/>
      <c r="LOK748" s="28"/>
      <c r="LOL748" s="28"/>
      <c r="LOM748" s="28"/>
      <c r="LON748" s="28"/>
      <c r="LOO748" s="28"/>
      <c r="LOP748" s="28"/>
      <c r="LOQ748" s="28"/>
      <c r="LOR748" s="28"/>
      <c r="LOS748" s="28"/>
      <c r="LOT748" s="28"/>
      <c r="LOU748" s="28"/>
      <c r="LOV748" s="28"/>
      <c r="LOW748" s="28"/>
      <c r="LOX748" s="28"/>
      <c r="LOY748" s="28"/>
      <c r="LOZ748" s="28"/>
      <c r="LPA748" s="28"/>
      <c r="LPB748" s="28"/>
      <c r="LPC748" s="28"/>
      <c r="LPD748" s="28"/>
      <c r="LPE748" s="28"/>
      <c r="LPF748" s="28"/>
      <c r="LPG748" s="28"/>
      <c r="LPH748" s="28"/>
      <c r="LPI748" s="28"/>
      <c r="LPJ748" s="28"/>
      <c r="LPK748" s="28"/>
      <c r="LPL748" s="28"/>
      <c r="LPM748" s="28"/>
      <c r="LPN748" s="28"/>
      <c r="LPO748" s="28"/>
      <c r="LPP748" s="28"/>
      <c r="LPQ748" s="28"/>
      <c r="LPR748" s="28"/>
      <c r="LPS748" s="28"/>
      <c r="LPT748" s="28"/>
      <c r="LPU748" s="28"/>
      <c r="LPV748" s="28"/>
      <c r="LPW748" s="28"/>
      <c r="LPX748" s="28"/>
      <c r="LPY748" s="28"/>
      <c r="LPZ748" s="28"/>
      <c r="LQA748" s="28"/>
      <c r="LQB748" s="28"/>
      <c r="LQC748" s="28"/>
      <c r="LQD748" s="28"/>
      <c r="LQE748" s="28"/>
      <c r="LQF748" s="28"/>
      <c r="LQG748" s="28"/>
      <c r="LQH748" s="28"/>
      <c r="LQI748" s="28"/>
      <c r="LQJ748" s="28"/>
      <c r="LQK748" s="28"/>
      <c r="LQL748" s="28"/>
      <c r="LQM748" s="28"/>
      <c r="LQN748" s="28"/>
      <c r="LQO748" s="28"/>
      <c r="LQP748" s="28"/>
      <c r="LQQ748" s="28"/>
      <c r="LQR748" s="28"/>
      <c r="LQS748" s="28"/>
      <c r="LQT748" s="28"/>
      <c r="LQU748" s="28"/>
      <c r="LQV748" s="28"/>
      <c r="LQW748" s="28"/>
      <c r="LQX748" s="28"/>
      <c r="LQY748" s="28"/>
      <c r="LQZ748" s="28"/>
      <c r="LRA748" s="28"/>
      <c r="LRB748" s="28"/>
      <c r="LRC748" s="28"/>
      <c r="LRD748" s="28"/>
      <c r="LRE748" s="28"/>
      <c r="LRF748" s="28"/>
      <c r="LRG748" s="28"/>
      <c r="LRH748" s="28"/>
      <c r="LRI748" s="28"/>
      <c r="LRJ748" s="28"/>
      <c r="LRK748" s="28"/>
      <c r="LRL748" s="28"/>
      <c r="LRM748" s="28"/>
      <c r="LRN748" s="28"/>
      <c r="LRO748" s="28"/>
      <c r="LRP748" s="28"/>
      <c r="LRQ748" s="28"/>
      <c r="LRR748" s="28"/>
      <c r="LRS748" s="28"/>
      <c r="LRT748" s="28"/>
      <c r="LRU748" s="28"/>
      <c r="LRV748" s="28"/>
      <c r="LRW748" s="28"/>
      <c r="LRX748" s="28"/>
      <c r="LRY748" s="28"/>
      <c r="LRZ748" s="28"/>
      <c r="LSA748" s="28"/>
      <c r="LSB748" s="28"/>
      <c r="LSC748" s="28"/>
      <c r="LSD748" s="28"/>
      <c r="LSE748" s="28"/>
      <c r="LSF748" s="28"/>
      <c r="LSG748" s="28"/>
      <c r="LSH748" s="28"/>
      <c r="LSI748" s="28"/>
      <c r="LSJ748" s="28"/>
      <c r="LSK748" s="28"/>
      <c r="LSL748" s="28"/>
      <c r="LSM748" s="28"/>
      <c r="LSN748" s="28"/>
      <c r="LSO748" s="28"/>
      <c r="LSP748" s="28"/>
      <c r="LSQ748" s="28"/>
      <c r="LSR748" s="28"/>
      <c r="LSS748" s="28"/>
      <c r="LST748" s="28"/>
      <c r="LSU748" s="28"/>
      <c r="LSV748" s="28"/>
      <c r="LSW748" s="28"/>
      <c r="LSX748" s="28"/>
      <c r="LSY748" s="28"/>
      <c r="LSZ748" s="28"/>
      <c r="LTA748" s="28"/>
      <c r="LTB748" s="28"/>
      <c r="LTC748" s="28"/>
      <c r="LTD748" s="28"/>
      <c r="LTE748" s="28"/>
      <c r="LTF748" s="28"/>
      <c r="LTG748" s="28"/>
      <c r="LTH748" s="28"/>
      <c r="LTI748" s="28"/>
      <c r="LTJ748" s="28"/>
      <c r="LTK748" s="28"/>
      <c r="LTL748" s="28"/>
      <c r="LTM748" s="28"/>
      <c r="LTN748" s="28"/>
      <c r="LTO748" s="28"/>
      <c r="LTP748" s="28"/>
      <c r="LTQ748" s="28"/>
      <c r="LTR748" s="28"/>
      <c r="LTS748" s="28"/>
      <c r="LTT748" s="28"/>
      <c r="LTU748" s="28"/>
      <c r="LTV748" s="28"/>
      <c r="LTW748" s="28"/>
      <c r="LTX748" s="28"/>
      <c r="LTY748" s="28"/>
      <c r="LTZ748" s="28"/>
      <c r="LUA748" s="28"/>
      <c r="LUB748" s="28"/>
      <c r="LUC748" s="28"/>
      <c r="LUD748" s="28"/>
      <c r="LUE748" s="28"/>
      <c r="LUF748" s="28"/>
      <c r="LUG748" s="28"/>
      <c r="LUH748" s="28"/>
      <c r="LUI748" s="28"/>
      <c r="LUJ748" s="28"/>
      <c r="LUK748" s="28"/>
      <c r="LUL748" s="28"/>
      <c r="LUM748" s="28"/>
      <c r="LUN748" s="28"/>
      <c r="LUO748" s="28"/>
      <c r="LUP748" s="28"/>
      <c r="LUQ748" s="28"/>
      <c r="LUR748" s="28"/>
      <c r="LUS748" s="28"/>
      <c r="LUT748" s="28"/>
      <c r="LUU748" s="28"/>
      <c r="LUV748" s="28"/>
      <c r="LUW748" s="28"/>
      <c r="LUX748" s="28"/>
      <c r="LUY748" s="28"/>
      <c r="LUZ748" s="28"/>
      <c r="LVA748" s="28"/>
      <c r="LVB748" s="28"/>
      <c r="LVC748" s="28"/>
      <c r="LVD748" s="28"/>
      <c r="LVE748" s="28"/>
      <c r="LVF748" s="28"/>
      <c r="LVG748" s="28"/>
      <c r="LVH748" s="28"/>
      <c r="LVI748" s="28"/>
      <c r="LVJ748" s="28"/>
      <c r="LVK748" s="28"/>
      <c r="LVL748" s="28"/>
      <c r="LVM748" s="28"/>
      <c r="LVN748" s="28"/>
      <c r="LVO748" s="28"/>
      <c r="LVP748" s="28"/>
      <c r="LVQ748" s="28"/>
      <c r="LVR748" s="28"/>
      <c r="LVS748" s="28"/>
      <c r="LVT748" s="28"/>
      <c r="LVU748" s="28"/>
      <c r="LVV748" s="28"/>
      <c r="LVW748" s="28"/>
      <c r="LVX748" s="28"/>
      <c r="LVY748" s="28"/>
      <c r="LVZ748" s="28"/>
      <c r="LWA748" s="28"/>
      <c r="LWB748" s="28"/>
      <c r="LWC748" s="28"/>
      <c r="LWD748" s="28"/>
      <c r="LWE748" s="28"/>
      <c r="LWF748" s="28"/>
      <c r="LWG748" s="28"/>
      <c r="LWH748" s="28"/>
      <c r="LWI748" s="28"/>
      <c r="LWJ748" s="28"/>
      <c r="LWK748" s="28"/>
      <c r="LWL748" s="28"/>
      <c r="LWM748" s="28"/>
      <c r="LWN748" s="28"/>
      <c r="LWO748" s="28"/>
      <c r="LWP748" s="28"/>
      <c r="LWQ748" s="28"/>
      <c r="LWR748" s="28"/>
      <c r="LWS748" s="28"/>
      <c r="LWT748" s="28"/>
      <c r="LWU748" s="28"/>
      <c r="LWV748" s="28"/>
      <c r="LWW748" s="28"/>
      <c r="LWX748" s="28"/>
      <c r="LWY748" s="28"/>
      <c r="LWZ748" s="28"/>
      <c r="LXA748" s="28"/>
      <c r="LXB748" s="28"/>
      <c r="LXC748" s="28"/>
      <c r="LXD748" s="28"/>
      <c r="LXE748" s="28"/>
      <c r="LXF748" s="28"/>
      <c r="LXG748" s="28"/>
      <c r="LXH748" s="28"/>
      <c r="LXI748" s="28"/>
      <c r="LXJ748" s="28"/>
      <c r="LXK748" s="28"/>
      <c r="LXL748" s="28"/>
      <c r="LXM748" s="28"/>
      <c r="LXN748" s="28"/>
      <c r="LXO748" s="28"/>
      <c r="LXP748" s="28"/>
      <c r="LXQ748" s="28"/>
      <c r="LXR748" s="28"/>
      <c r="LXS748" s="28"/>
      <c r="LXT748" s="28"/>
      <c r="LXU748" s="28"/>
      <c r="LXV748" s="28"/>
      <c r="LXW748" s="28"/>
      <c r="LXX748" s="28"/>
      <c r="LXY748" s="28"/>
      <c r="LXZ748" s="28"/>
      <c r="LYA748" s="28"/>
      <c r="LYB748" s="28"/>
      <c r="LYC748" s="28"/>
      <c r="LYD748" s="28"/>
      <c r="LYE748" s="28"/>
      <c r="LYF748" s="28"/>
      <c r="LYG748" s="28"/>
      <c r="LYH748" s="28"/>
      <c r="LYI748" s="28"/>
      <c r="LYJ748" s="28"/>
      <c r="LYK748" s="28"/>
      <c r="LYL748" s="28"/>
      <c r="LYM748" s="28"/>
      <c r="LYN748" s="28"/>
      <c r="LYO748" s="28"/>
      <c r="LYP748" s="28"/>
      <c r="LYQ748" s="28"/>
      <c r="LYR748" s="28"/>
      <c r="LYS748" s="28"/>
      <c r="LYT748" s="28"/>
      <c r="LYU748" s="28"/>
      <c r="LYV748" s="28"/>
      <c r="LYW748" s="28"/>
      <c r="LYX748" s="28"/>
      <c r="LYY748" s="28"/>
      <c r="LYZ748" s="28"/>
      <c r="LZA748" s="28"/>
      <c r="LZB748" s="28"/>
      <c r="LZC748" s="28"/>
      <c r="LZD748" s="28"/>
      <c r="LZE748" s="28"/>
      <c r="LZF748" s="28"/>
      <c r="LZG748" s="28"/>
      <c r="LZH748" s="28"/>
      <c r="LZI748" s="28"/>
      <c r="LZJ748" s="28"/>
      <c r="LZK748" s="28"/>
      <c r="LZL748" s="28"/>
      <c r="LZM748" s="28"/>
      <c r="LZN748" s="28"/>
      <c r="LZO748" s="28"/>
      <c r="LZP748" s="28"/>
      <c r="LZQ748" s="28"/>
      <c r="LZR748" s="28"/>
      <c r="LZS748" s="28"/>
      <c r="LZT748" s="28"/>
      <c r="LZU748" s="28"/>
      <c r="LZV748" s="28"/>
      <c r="LZW748" s="28"/>
      <c r="LZX748" s="28"/>
      <c r="LZY748" s="28"/>
      <c r="LZZ748" s="28"/>
      <c r="MAA748" s="28"/>
      <c r="MAB748" s="28"/>
      <c r="MAC748" s="28"/>
      <c r="MAD748" s="28"/>
      <c r="MAE748" s="28"/>
      <c r="MAF748" s="28"/>
      <c r="MAG748" s="28"/>
      <c r="MAH748" s="28"/>
      <c r="MAI748" s="28"/>
      <c r="MAJ748" s="28"/>
      <c r="MAK748" s="28"/>
      <c r="MAL748" s="28"/>
      <c r="MAM748" s="28"/>
      <c r="MAN748" s="28"/>
      <c r="MAO748" s="28"/>
      <c r="MAP748" s="28"/>
      <c r="MAQ748" s="28"/>
      <c r="MAR748" s="28"/>
      <c r="MAS748" s="28"/>
      <c r="MAT748" s="28"/>
      <c r="MAU748" s="28"/>
      <c r="MAV748" s="28"/>
      <c r="MAW748" s="28"/>
      <c r="MAX748" s="28"/>
      <c r="MAY748" s="28"/>
      <c r="MAZ748" s="28"/>
      <c r="MBA748" s="28"/>
      <c r="MBB748" s="28"/>
      <c r="MBC748" s="28"/>
      <c r="MBD748" s="28"/>
      <c r="MBE748" s="28"/>
      <c r="MBF748" s="28"/>
      <c r="MBG748" s="28"/>
      <c r="MBH748" s="28"/>
      <c r="MBI748" s="28"/>
      <c r="MBJ748" s="28"/>
      <c r="MBK748" s="28"/>
      <c r="MBL748" s="28"/>
      <c r="MBM748" s="28"/>
      <c r="MBN748" s="28"/>
      <c r="MBO748" s="28"/>
      <c r="MBP748" s="28"/>
      <c r="MBQ748" s="28"/>
      <c r="MBR748" s="28"/>
      <c r="MBS748" s="28"/>
      <c r="MBT748" s="28"/>
      <c r="MBU748" s="28"/>
      <c r="MBV748" s="28"/>
      <c r="MBW748" s="28"/>
      <c r="MBX748" s="28"/>
      <c r="MBY748" s="28"/>
      <c r="MBZ748" s="28"/>
      <c r="MCA748" s="28"/>
      <c r="MCB748" s="28"/>
      <c r="MCC748" s="28"/>
      <c r="MCD748" s="28"/>
      <c r="MCE748" s="28"/>
      <c r="MCF748" s="28"/>
      <c r="MCG748" s="28"/>
      <c r="MCH748" s="28"/>
      <c r="MCI748" s="28"/>
      <c r="MCJ748" s="28"/>
      <c r="MCK748" s="28"/>
      <c r="MCL748" s="28"/>
      <c r="MCM748" s="28"/>
      <c r="MCN748" s="28"/>
      <c r="MCO748" s="28"/>
      <c r="MCP748" s="28"/>
      <c r="MCQ748" s="28"/>
      <c r="MCR748" s="28"/>
      <c r="MCS748" s="28"/>
      <c r="MCT748" s="28"/>
      <c r="MCU748" s="28"/>
      <c r="MCV748" s="28"/>
      <c r="MCW748" s="28"/>
      <c r="MCX748" s="28"/>
      <c r="MCY748" s="28"/>
      <c r="MCZ748" s="28"/>
      <c r="MDA748" s="28"/>
      <c r="MDB748" s="28"/>
      <c r="MDC748" s="28"/>
      <c r="MDD748" s="28"/>
      <c r="MDE748" s="28"/>
      <c r="MDF748" s="28"/>
      <c r="MDG748" s="28"/>
      <c r="MDH748" s="28"/>
      <c r="MDI748" s="28"/>
      <c r="MDJ748" s="28"/>
      <c r="MDK748" s="28"/>
      <c r="MDL748" s="28"/>
      <c r="MDM748" s="28"/>
      <c r="MDN748" s="28"/>
      <c r="MDO748" s="28"/>
      <c r="MDP748" s="28"/>
      <c r="MDQ748" s="28"/>
      <c r="MDR748" s="28"/>
      <c r="MDS748" s="28"/>
      <c r="MDT748" s="28"/>
      <c r="MDU748" s="28"/>
      <c r="MDV748" s="28"/>
      <c r="MDW748" s="28"/>
      <c r="MDX748" s="28"/>
      <c r="MDY748" s="28"/>
      <c r="MDZ748" s="28"/>
      <c r="MEA748" s="28"/>
      <c r="MEB748" s="28"/>
      <c r="MEC748" s="28"/>
      <c r="MED748" s="28"/>
      <c r="MEE748" s="28"/>
      <c r="MEF748" s="28"/>
      <c r="MEG748" s="28"/>
      <c r="MEH748" s="28"/>
      <c r="MEI748" s="28"/>
      <c r="MEJ748" s="28"/>
      <c r="MEK748" s="28"/>
      <c r="MEL748" s="28"/>
      <c r="MEM748" s="28"/>
      <c r="MEN748" s="28"/>
      <c r="MEO748" s="28"/>
      <c r="MEP748" s="28"/>
      <c r="MEQ748" s="28"/>
      <c r="MER748" s="28"/>
      <c r="MES748" s="28"/>
      <c r="MET748" s="28"/>
      <c r="MEU748" s="28"/>
      <c r="MEV748" s="28"/>
      <c r="MEW748" s="28"/>
      <c r="MEX748" s="28"/>
      <c r="MEY748" s="28"/>
      <c r="MEZ748" s="28"/>
      <c r="MFA748" s="28"/>
      <c r="MFB748" s="28"/>
      <c r="MFC748" s="28"/>
      <c r="MFD748" s="28"/>
      <c r="MFE748" s="28"/>
      <c r="MFF748" s="28"/>
      <c r="MFG748" s="28"/>
      <c r="MFH748" s="28"/>
      <c r="MFI748" s="28"/>
      <c r="MFJ748" s="28"/>
      <c r="MFK748" s="28"/>
      <c r="MFL748" s="28"/>
      <c r="MFM748" s="28"/>
      <c r="MFN748" s="28"/>
      <c r="MFO748" s="28"/>
      <c r="MFP748" s="28"/>
      <c r="MFQ748" s="28"/>
      <c r="MFR748" s="28"/>
      <c r="MFS748" s="28"/>
      <c r="MFT748" s="28"/>
      <c r="MFU748" s="28"/>
      <c r="MFV748" s="28"/>
      <c r="MFW748" s="28"/>
      <c r="MFX748" s="28"/>
      <c r="MFY748" s="28"/>
      <c r="MFZ748" s="28"/>
      <c r="MGA748" s="28"/>
      <c r="MGB748" s="28"/>
      <c r="MGC748" s="28"/>
      <c r="MGD748" s="28"/>
      <c r="MGE748" s="28"/>
      <c r="MGF748" s="28"/>
      <c r="MGG748" s="28"/>
      <c r="MGH748" s="28"/>
      <c r="MGI748" s="28"/>
      <c r="MGJ748" s="28"/>
      <c r="MGK748" s="28"/>
      <c r="MGL748" s="28"/>
      <c r="MGM748" s="28"/>
      <c r="MGN748" s="28"/>
      <c r="MGO748" s="28"/>
      <c r="MGP748" s="28"/>
      <c r="MGQ748" s="28"/>
      <c r="MGR748" s="28"/>
      <c r="MGS748" s="28"/>
      <c r="MGT748" s="28"/>
      <c r="MGU748" s="28"/>
      <c r="MGV748" s="28"/>
      <c r="MGW748" s="28"/>
      <c r="MGX748" s="28"/>
      <c r="MGY748" s="28"/>
      <c r="MGZ748" s="28"/>
      <c r="MHA748" s="28"/>
      <c r="MHB748" s="28"/>
      <c r="MHC748" s="28"/>
      <c r="MHD748" s="28"/>
      <c r="MHE748" s="28"/>
      <c r="MHF748" s="28"/>
      <c r="MHG748" s="28"/>
      <c r="MHH748" s="28"/>
      <c r="MHI748" s="28"/>
      <c r="MHJ748" s="28"/>
      <c r="MHK748" s="28"/>
      <c r="MHL748" s="28"/>
      <c r="MHM748" s="28"/>
      <c r="MHN748" s="28"/>
      <c r="MHO748" s="28"/>
      <c r="MHP748" s="28"/>
      <c r="MHQ748" s="28"/>
      <c r="MHR748" s="28"/>
      <c r="MHS748" s="28"/>
      <c r="MHT748" s="28"/>
      <c r="MHU748" s="28"/>
      <c r="MHV748" s="28"/>
      <c r="MHW748" s="28"/>
      <c r="MHX748" s="28"/>
      <c r="MHY748" s="28"/>
      <c r="MHZ748" s="28"/>
      <c r="MIA748" s="28"/>
      <c r="MIB748" s="28"/>
      <c r="MIC748" s="28"/>
      <c r="MID748" s="28"/>
      <c r="MIE748" s="28"/>
      <c r="MIF748" s="28"/>
      <c r="MIG748" s="28"/>
      <c r="MIH748" s="28"/>
      <c r="MII748" s="28"/>
      <c r="MIJ748" s="28"/>
      <c r="MIK748" s="28"/>
      <c r="MIL748" s="28"/>
      <c r="MIM748" s="28"/>
      <c r="MIN748" s="28"/>
      <c r="MIO748" s="28"/>
      <c r="MIP748" s="28"/>
      <c r="MIQ748" s="28"/>
      <c r="MIR748" s="28"/>
      <c r="MIS748" s="28"/>
      <c r="MIT748" s="28"/>
      <c r="MIU748" s="28"/>
      <c r="MIV748" s="28"/>
      <c r="MIW748" s="28"/>
      <c r="MIX748" s="28"/>
      <c r="MIY748" s="28"/>
      <c r="MIZ748" s="28"/>
      <c r="MJA748" s="28"/>
      <c r="MJB748" s="28"/>
      <c r="MJC748" s="28"/>
      <c r="MJD748" s="28"/>
      <c r="MJE748" s="28"/>
      <c r="MJF748" s="28"/>
      <c r="MJG748" s="28"/>
      <c r="MJH748" s="28"/>
      <c r="MJI748" s="28"/>
      <c r="MJJ748" s="28"/>
      <c r="MJK748" s="28"/>
      <c r="MJL748" s="28"/>
      <c r="MJM748" s="28"/>
      <c r="MJN748" s="28"/>
      <c r="MJO748" s="28"/>
      <c r="MJP748" s="28"/>
      <c r="MJQ748" s="28"/>
      <c r="MJR748" s="28"/>
      <c r="MJS748" s="28"/>
      <c r="MJT748" s="28"/>
      <c r="MJU748" s="28"/>
      <c r="MJV748" s="28"/>
      <c r="MJW748" s="28"/>
      <c r="MJX748" s="28"/>
      <c r="MJY748" s="28"/>
      <c r="MJZ748" s="28"/>
      <c r="MKA748" s="28"/>
      <c r="MKB748" s="28"/>
      <c r="MKC748" s="28"/>
      <c r="MKD748" s="28"/>
      <c r="MKE748" s="28"/>
      <c r="MKF748" s="28"/>
      <c r="MKG748" s="28"/>
      <c r="MKH748" s="28"/>
      <c r="MKI748" s="28"/>
      <c r="MKJ748" s="28"/>
      <c r="MKK748" s="28"/>
      <c r="MKL748" s="28"/>
      <c r="MKM748" s="28"/>
      <c r="MKN748" s="28"/>
      <c r="MKO748" s="28"/>
      <c r="MKP748" s="28"/>
      <c r="MKQ748" s="28"/>
      <c r="MKR748" s="28"/>
      <c r="MKS748" s="28"/>
      <c r="MKT748" s="28"/>
      <c r="MKU748" s="28"/>
      <c r="MKV748" s="28"/>
      <c r="MKW748" s="28"/>
      <c r="MKX748" s="28"/>
      <c r="MKY748" s="28"/>
      <c r="MKZ748" s="28"/>
      <c r="MLA748" s="28"/>
      <c r="MLB748" s="28"/>
      <c r="MLC748" s="28"/>
      <c r="MLD748" s="28"/>
      <c r="MLE748" s="28"/>
      <c r="MLF748" s="28"/>
      <c r="MLG748" s="28"/>
      <c r="MLH748" s="28"/>
      <c r="MLI748" s="28"/>
      <c r="MLJ748" s="28"/>
      <c r="MLK748" s="28"/>
      <c r="MLL748" s="28"/>
      <c r="MLM748" s="28"/>
      <c r="MLN748" s="28"/>
      <c r="MLO748" s="28"/>
      <c r="MLP748" s="28"/>
      <c r="MLQ748" s="28"/>
      <c r="MLR748" s="28"/>
      <c r="MLS748" s="28"/>
      <c r="MLT748" s="28"/>
      <c r="MLU748" s="28"/>
      <c r="MLV748" s="28"/>
      <c r="MLW748" s="28"/>
      <c r="MLX748" s="28"/>
      <c r="MLY748" s="28"/>
      <c r="MLZ748" s="28"/>
      <c r="MMA748" s="28"/>
      <c r="MMB748" s="28"/>
      <c r="MMC748" s="28"/>
      <c r="MMD748" s="28"/>
      <c r="MME748" s="28"/>
      <c r="MMF748" s="28"/>
      <c r="MMG748" s="28"/>
      <c r="MMH748" s="28"/>
      <c r="MMI748" s="28"/>
      <c r="MMJ748" s="28"/>
      <c r="MMK748" s="28"/>
      <c r="MML748" s="28"/>
      <c r="MMM748" s="28"/>
      <c r="MMN748" s="28"/>
      <c r="MMO748" s="28"/>
      <c r="MMP748" s="28"/>
      <c r="MMQ748" s="28"/>
      <c r="MMR748" s="28"/>
      <c r="MMS748" s="28"/>
      <c r="MMT748" s="28"/>
      <c r="MMU748" s="28"/>
      <c r="MMV748" s="28"/>
      <c r="MMW748" s="28"/>
      <c r="MMX748" s="28"/>
      <c r="MMY748" s="28"/>
      <c r="MMZ748" s="28"/>
      <c r="MNA748" s="28"/>
      <c r="MNB748" s="28"/>
      <c r="MNC748" s="28"/>
      <c r="MND748" s="28"/>
      <c r="MNE748" s="28"/>
      <c r="MNF748" s="28"/>
      <c r="MNG748" s="28"/>
      <c r="MNH748" s="28"/>
      <c r="MNI748" s="28"/>
      <c r="MNJ748" s="28"/>
      <c r="MNK748" s="28"/>
      <c r="MNL748" s="28"/>
      <c r="MNM748" s="28"/>
      <c r="MNN748" s="28"/>
      <c r="MNO748" s="28"/>
      <c r="MNP748" s="28"/>
      <c r="MNQ748" s="28"/>
      <c r="MNR748" s="28"/>
      <c r="MNS748" s="28"/>
      <c r="MNT748" s="28"/>
      <c r="MNU748" s="28"/>
      <c r="MNV748" s="28"/>
      <c r="MNW748" s="28"/>
      <c r="MNX748" s="28"/>
      <c r="MNY748" s="28"/>
      <c r="MNZ748" s="28"/>
      <c r="MOA748" s="28"/>
      <c r="MOB748" s="28"/>
      <c r="MOC748" s="28"/>
      <c r="MOD748" s="28"/>
      <c r="MOE748" s="28"/>
      <c r="MOF748" s="28"/>
      <c r="MOG748" s="28"/>
      <c r="MOH748" s="28"/>
      <c r="MOI748" s="28"/>
      <c r="MOJ748" s="28"/>
      <c r="MOK748" s="28"/>
      <c r="MOL748" s="28"/>
      <c r="MOM748" s="28"/>
      <c r="MON748" s="28"/>
      <c r="MOO748" s="28"/>
      <c r="MOP748" s="28"/>
      <c r="MOQ748" s="28"/>
      <c r="MOR748" s="28"/>
      <c r="MOS748" s="28"/>
      <c r="MOT748" s="28"/>
      <c r="MOU748" s="28"/>
      <c r="MOV748" s="28"/>
      <c r="MOW748" s="28"/>
      <c r="MOX748" s="28"/>
      <c r="MOY748" s="28"/>
      <c r="MOZ748" s="28"/>
      <c r="MPA748" s="28"/>
      <c r="MPB748" s="28"/>
      <c r="MPC748" s="28"/>
      <c r="MPD748" s="28"/>
      <c r="MPE748" s="28"/>
      <c r="MPF748" s="28"/>
      <c r="MPG748" s="28"/>
      <c r="MPH748" s="28"/>
      <c r="MPI748" s="28"/>
      <c r="MPJ748" s="28"/>
      <c r="MPK748" s="28"/>
      <c r="MPL748" s="28"/>
      <c r="MPM748" s="28"/>
      <c r="MPN748" s="28"/>
      <c r="MPO748" s="28"/>
      <c r="MPP748" s="28"/>
      <c r="MPQ748" s="28"/>
      <c r="MPR748" s="28"/>
      <c r="MPS748" s="28"/>
      <c r="MPT748" s="28"/>
      <c r="MPU748" s="28"/>
      <c r="MPV748" s="28"/>
      <c r="MPW748" s="28"/>
      <c r="MPX748" s="28"/>
      <c r="MPY748" s="28"/>
      <c r="MPZ748" s="28"/>
      <c r="MQA748" s="28"/>
      <c r="MQB748" s="28"/>
      <c r="MQC748" s="28"/>
      <c r="MQD748" s="28"/>
      <c r="MQE748" s="28"/>
      <c r="MQF748" s="28"/>
      <c r="MQG748" s="28"/>
      <c r="MQH748" s="28"/>
      <c r="MQI748" s="28"/>
      <c r="MQJ748" s="28"/>
      <c r="MQK748" s="28"/>
      <c r="MQL748" s="28"/>
      <c r="MQM748" s="28"/>
      <c r="MQN748" s="28"/>
      <c r="MQO748" s="28"/>
      <c r="MQP748" s="28"/>
      <c r="MQQ748" s="28"/>
      <c r="MQR748" s="28"/>
      <c r="MQS748" s="28"/>
      <c r="MQT748" s="28"/>
      <c r="MQU748" s="28"/>
      <c r="MQV748" s="28"/>
      <c r="MQW748" s="28"/>
      <c r="MQX748" s="28"/>
      <c r="MQY748" s="28"/>
      <c r="MQZ748" s="28"/>
      <c r="MRA748" s="28"/>
      <c r="MRB748" s="28"/>
      <c r="MRC748" s="28"/>
      <c r="MRD748" s="28"/>
      <c r="MRE748" s="28"/>
      <c r="MRF748" s="28"/>
      <c r="MRG748" s="28"/>
      <c r="MRH748" s="28"/>
      <c r="MRI748" s="28"/>
      <c r="MRJ748" s="28"/>
      <c r="MRK748" s="28"/>
      <c r="MRL748" s="28"/>
      <c r="MRM748" s="28"/>
      <c r="MRN748" s="28"/>
      <c r="MRO748" s="28"/>
      <c r="MRP748" s="28"/>
      <c r="MRQ748" s="28"/>
      <c r="MRR748" s="28"/>
      <c r="MRS748" s="28"/>
      <c r="MRT748" s="28"/>
      <c r="MRU748" s="28"/>
      <c r="MRV748" s="28"/>
      <c r="MRW748" s="28"/>
      <c r="MRX748" s="28"/>
      <c r="MRY748" s="28"/>
      <c r="MRZ748" s="28"/>
      <c r="MSA748" s="28"/>
      <c r="MSB748" s="28"/>
      <c r="MSC748" s="28"/>
      <c r="MSD748" s="28"/>
      <c r="MSE748" s="28"/>
      <c r="MSF748" s="28"/>
      <c r="MSG748" s="28"/>
      <c r="MSH748" s="28"/>
      <c r="MSI748" s="28"/>
      <c r="MSJ748" s="28"/>
      <c r="MSK748" s="28"/>
      <c r="MSL748" s="28"/>
      <c r="MSM748" s="28"/>
      <c r="MSN748" s="28"/>
      <c r="MSO748" s="28"/>
      <c r="MSP748" s="28"/>
      <c r="MSQ748" s="28"/>
      <c r="MSR748" s="28"/>
      <c r="MSS748" s="28"/>
      <c r="MST748" s="28"/>
      <c r="MSU748" s="28"/>
      <c r="MSV748" s="28"/>
      <c r="MSW748" s="28"/>
      <c r="MSX748" s="28"/>
      <c r="MSY748" s="28"/>
      <c r="MSZ748" s="28"/>
      <c r="MTA748" s="28"/>
      <c r="MTB748" s="28"/>
      <c r="MTC748" s="28"/>
      <c r="MTD748" s="28"/>
      <c r="MTE748" s="28"/>
      <c r="MTF748" s="28"/>
      <c r="MTG748" s="28"/>
      <c r="MTH748" s="28"/>
      <c r="MTI748" s="28"/>
      <c r="MTJ748" s="28"/>
      <c r="MTK748" s="28"/>
      <c r="MTL748" s="28"/>
      <c r="MTM748" s="28"/>
      <c r="MTN748" s="28"/>
      <c r="MTO748" s="28"/>
      <c r="MTP748" s="28"/>
      <c r="MTQ748" s="28"/>
      <c r="MTR748" s="28"/>
      <c r="MTS748" s="28"/>
      <c r="MTT748" s="28"/>
      <c r="MTU748" s="28"/>
      <c r="MTV748" s="28"/>
      <c r="MTW748" s="28"/>
      <c r="MTX748" s="28"/>
      <c r="MTY748" s="28"/>
      <c r="MTZ748" s="28"/>
      <c r="MUA748" s="28"/>
      <c r="MUB748" s="28"/>
      <c r="MUC748" s="28"/>
      <c r="MUD748" s="28"/>
      <c r="MUE748" s="28"/>
      <c r="MUF748" s="28"/>
      <c r="MUG748" s="28"/>
      <c r="MUH748" s="28"/>
      <c r="MUI748" s="28"/>
      <c r="MUJ748" s="28"/>
      <c r="MUK748" s="28"/>
      <c r="MUL748" s="28"/>
      <c r="MUM748" s="28"/>
      <c r="MUN748" s="28"/>
      <c r="MUO748" s="28"/>
      <c r="MUP748" s="28"/>
      <c r="MUQ748" s="28"/>
      <c r="MUR748" s="28"/>
      <c r="MUS748" s="28"/>
      <c r="MUT748" s="28"/>
      <c r="MUU748" s="28"/>
      <c r="MUV748" s="28"/>
      <c r="MUW748" s="28"/>
      <c r="MUX748" s="28"/>
      <c r="MUY748" s="28"/>
      <c r="MUZ748" s="28"/>
      <c r="MVA748" s="28"/>
      <c r="MVB748" s="28"/>
      <c r="MVC748" s="28"/>
      <c r="MVD748" s="28"/>
      <c r="MVE748" s="28"/>
      <c r="MVF748" s="28"/>
      <c r="MVG748" s="28"/>
      <c r="MVH748" s="28"/>
      <c r="MVI748" s="28"/>
      <c r="MVJ748" s="28"/>
      <c r="MVK748" s="28"/>
      <c r="MVL748" s="28"/>
      <c r="MVM748" s="28"/>
      <c r="MVN748" s="28"/>
      <c r="MVO748" s="28"/>
      <c r="MVP748" s="28"/>
      <c r="MVQ748" s="28"/>
      <c r="MVR748" s="28"/>
      <c r="MVS748" s="28"/>
      <c r="MVT748" s="28"/>
      <c r="MVU748" s="28"/>
      <c r="MVV748" s="28"/>
      <c r="MVW748" s="28"/>
      <c r="MVX748" s="28"/>
      <c r="MVY748" s="28"/>
      <c r="MVZ748" s="28"/>
      <c r="MWA748" s="28"/>
      <c r="MWB748" s="28"/>
      <c r="MWC748" s="28"/>
      <c r="MWD748" s="28"/>
      <c r="MWE748" s="28"/>
      <c r="MWF748" s="28"/>
      <c r="MWG748" s="28"/>
      <c r="MWH748" s="28"/>
      <c r="MWI748" s="28"/>
      <c r="MWJ748" s="28"/>
      <c r="MWK748" s="28"/>
      <c r="MWL748" s="28"/>
      <c r="MWM748" s="28"/>
      <c r="MWN748" s="28"/>
      <c r="MWO748" s="28"/>
      <c r="MWP748" s="28"/>
      <c r="MWQ748" s="28"/>
      <c r="MWR748" s="28"/>
      <c r="MWS748" s="28"/>
      <c r="MWT748" s="28"/>
      <c r="MWU748" s="28"/>
      <c r="MWV748" s="28"/>
      <c r="MWW748" s="28"/>
      <c r="MWX748" s="28"/>
      <c r="MWY748" s="28"/>
      <c r="MWZ748" s="28"/>
      <c r="MXA748" s="28"/>
      <c r="MXB748" s="28"/>
      <c r="MXC748" s="28"/>
      <c r="MXD748" s="28"/>
      <c r="MXE748" s="28"/>
      <c r="MXF748" s="28"/>
      <c r="MXG748" s="28"/>
      <c r="MXH748" s="28"/>
      <c r="MXI748" s="28"/>
      <c r="MXJ748" s="28"/>
      <c r="MXK748" s="28"/>
      <c r="MXL748" s="28"/>
      <c r="MXM748" s="28"/>
      <c r="MXN748" s="28"/>
      <c r="MXO748" s="28"/>
      <c r="MXP748" s="28"/>
      <c r="MXQ748" s="28"/>
      <c r="MXR748" s="28"/>
      <c r="MXS748" s="28"/>
      <c r="MXT748" s="28"/>
      <c r="MXU748" s="28"/>
      <c r="MXV748" s="28"/>
      <c r="MXW748" s="28"/>
      <c r="MXX748" s="28"/>
      <c r="MXY748" s="28"/>
      <c r="MXZ748" s="28"/>
      <c r="MYA748" s="28"/>
      <c r="MYB748" s="28"/>
      <c r="MYC748" s="28"/>
      <c r="MYD748" s="28"/>
      <c r="MYE748" s="28"/>
      <c r="MYF748" s="28"/>
      <c r="MYG748" s="28"/>
      <c r="MYH748" s="28"/>
      <c r="MYI748" s="28"/>
      <c r="MYJ748" s="28"/>
      <c r="MYK748" s="28"/>
      <c r="MYL748" s="28"/>
      <c r="MYM748" s="28"/>
      <c r="MYN748" s="28"/>
      <c r="MYO748" s="28"/>
      <c r="MYP748" s="28"/>
      <c r="MYQ748" s="28"/>
      <c r="MYR748" s="28"/>
      <c r="MYS748" s="28"/>
      <c r="MYT748" s="28"/>
      <c r="MYU748" s="28"/>
      <c r="MYV748" s="28"/>
      <c r="MYW748" s="28"/>
      <c r="MYX748" s="28"/>
      <c r="MYY748" s="28"/>
      <c r="MYZ748" s="28"/>
      <c r="MZA748" s="28"/>
      <c r="MZB748" s="28"/>
      <c r="MZC748" s="28"/>
      <c r="MZD748" s="28"/>
      <c r="MZE748" s="28"/>
      <c r="MZF748" s="28"/>
      <c r="MZG748" s="28"/>
      <c r="MZH748" s="28"/>
      <c r="MZI748" s="28"/>
      <c r="MZJ748" s="28"/>
      <c r="MZK748" s="28"/>
      <c r="MZL748" s="28"/>
      <c r="MZM748" s="28"/>
      <c r="MZN748" s="28"/>
      <c r="MZO748" s="28"/>
      <c r="MZP748" s="28"/>
      <c r="MZQ748" s="28"/>
      <c r="MZR748" s="28"/>
      <c r="MZS748" s="28"/>
      <c r="MZT748" s="28"/>
      <c r="MZU748" s="28"/>
      <c r="MZV748" s="28"/>
      <c r="MZW748" s="28"/>
      <c r="MZX748" s="28"/>
      <c r="MZY748" s="28"/>
      <c r="MZZ748" s="28"/>
      <c r="NAA748" s="28"/>
      <c r="NAB748" s="28"/>
      <c r="NAC748" s="28"/>
      <c r="NAD748" s="28"/>
      <c r="NAE748" s="28"/>
      <c r="NAF748" s="28"/>
      <c r="NAG748" s="28"/>
      <c r="NAH748" s="28"/>
      <c r="NAI748" s="28"/>
      <c r="NAJ748" s="28"/>
      <c r="NAK748" s="28"/>
      <c r="NAL748" s="28"/>
      <c r="NAM748" s="28"/>
      <c r="NAN748" s="28"/>
      <c r="NAO748" s="28"/>
      <c r="NAP748" s="28"/>
      <c r="NAQ748" s="28"/>
      <c r="NAR748" s="28"/>
      <c r="NAS748" s="28"/>
      <c r="NAT748" s="28"/>
      <c r="NAU748" s="28"/>
      <c r="NAV748" s="28"/>
      <c r="NAW748" s="28"/>
      <c r="NAX748" s="28"/>
      <c r="NAY748" s="28"/>
      <c r="NAZ748" s="28"/>
      <c r="NBA748" s="28"/>
      <c r="NBB748" s="28"/>
      <c r="NBC748" s="28"/>
      <c r="NBD748" s="28"/>
      <c r="NBE748" s="28"/>
      <c r="NBF748" s="28"/>
      <c r="NBG748" s="28"/>
      <c r="NBH748" s="28"/>
      <c r="NBI748" s="28"/>
      <c r="NBJ748" s="28"/>
      <c r="NBK748" s="28"/>
      <c r="NBL748" s="28"/>
      <c r="NBM748" s="28"/>
      <c r="NBN748" s="28"/>
      <c r="NBO748" s="28"/>
      <c r="NBP748" s="28"/>
      <c r="NBQ748" s="28"/>
      <c r="NBR748" s="28"/>
      <c r="NBS748" s="28"/>
      <c r="NBT748" s="28"/>
      <c r="NBU748" s="28"/>
      <c r="NBV748" s="28"/>
      <c r="NBW748" s="28"/>
      <c r="NBX748" s="28"/>
      <c r="NBY748" s="28"/>
      <c r="NBZ748" s="28"/>
      <c r="NCA748" s="28"/>
      <c r="NCB748" s="28"/>
      <c r="NCC748" s="28"/>
      <c r="NCD748" s="28"/>
      <c r="NCE748" s="28"/>
      <c r="NCF748" s="28"/>
      <c r="NCG748" s="28"/>
      <c r="NCH748" s="28"/>
      <c r="NCI748" s="28"/>
      <c r="NCJ748" s="28"/>
      <c r="NCK748" s="28"/>
      <c r="NCL748" s="28"/>
      <c r="NCM748" s="28"/>
      <c r="NCN748" s="28"/>
      <c r="NCO748" s="28"/>
      <c r="NCP748" s="28"/>
      <c r="NCQ748" s="28"/>
      <c r="NCR748" s="28"/>
      <c r="NCS748" s="28"/>
      <c r="NCT748" s="28"/>
      <c r="NCU748" s="28"/>
      <c r="NCV748" s="28"/>
      <c r="NCW748" s="28"/>
      <c r="NCX748" s="28"/>
      <c r="NCY748" s="28"/>
      <c r="NCZ748" s="28"/>
      <c r="NDA748" s="28"/>
      <c r="NDB748" s="28"/>
      <c r="NDC748" s="28"/>
      <c r="NDD748" s="28"/>
      <c r="NDE748" s="28"/>
      <c r="NDF748" s="28"/>
      <c r="NDG748" s="28"/>
      <c r="NDH748" s="28"/>
      <c r="NDI748" s="28"/>
      <c r="NDJ748" s="28"/>
      <c r="NDK748" s="28"/>
      <c r="NDL748" s="28"/>
      <c r="NDM748" s="28"/>
      <c r="NDN748" s="28"/>
      <c r="NDO748" s="28"/>
      <c r="NDP748" s="28"/>
      <c r="NDQ748" s="28"/>
      <c r="NDR748" s="28"/>
      <c r="NDS748" s="28"/>
      <c r="NDT748" s="28"/>
      <c r="NDU748" s="28"/>
      <c r="NDV748" s="28"/>
      <c r="NDW748" s="28"/>
      <c r="NDX748" s="28"/>
      <c r="NDY748" s="28"/>
      <c r="NDZ748" s="28"/>
      <c r="NEA748" s="28"/>
      <c r="NEB748" s="28"/>
      <c r="NEC748" s="28"/>
      <c r="NED748" s="28"/>
      <c r="NEE748" s="28"/>
      <c r="NEF748" s="28"/>
      <c r="NEG748" s="28"/>
      <c r="NEH748" s="28"/>
      <c r="NEI748" s="28"/>
      <c r="NEJ748" s="28"/>
      <c r="NEK748" s="28"/>
      <c r="NEL748" s="28"/>
      <c r="NEM748" s="28"/>
      <c r="NEN748" s="28"/>
      <c r="NEO748" s="28"/>
      <c r="NEP748" s="28"/>
      <c r="NEQ748" s="28"/>
      <c r="NER748" s="28"/>
      <c r="NES748" s="28"/>
      <c r="NET748" s="28"/>
      <c r="NEU748" s="28"/>
      <c r="NEV748" s="28"/>
      <c r="NEW748" s="28"/>
      <c r="NEX748" s="28"/>
      <c r="NEY748" s="28"/>
      <c r="NEZ748" s="28"/>
      <c r="NFA748" s="28"/>
      <c r="NFB748" s="28"/>
      <c r="NFC748" s="28"/>
      <c r="NFD748" s="28"/>
      <c r="NFE748" s="28"/>
      <c r="NFF748" s="28"/>
      <c r="NFG748" s="28"/>
      <c r="NFH748" s="28"/>
      <c r="NFI748" s="28"/>
      <c r="NFJ748" s="28"/>
      <c r="NFK748" s="28"/>
      <c r="NFL748" s="28"/>
      <c r="NFM748" s="28"/>
      <c r="NFN748" s="28"/>
      <c r="NFO748" s="28"/>
      <c r="NFP748" s="28"/>
      <c r="NFQ748" s="28"/>
      <c r="NFR748" s="28"/>
      <c r="NFS748" s="28"/>
      <c r="NFT748" s="28"/>
      <c r="NFU748" s="28"/>
      <c r="NFV748" s="28"/>
      <c r="NFW748" s="28"/>
      <c r="NFX748" s="28"/>
      <c r="NFY748" s="28"/>
      <c r="NFZ748" s="28"/>
      <c r="NGA748" s="28"/>
      <c r="NGB748" s="28"/>
      <c r="NGC748" s="28"/>
      <c r="NGD748" s="28"/>
      <c r="NGE748" s="28"/>
      <c r="NGF748" s="28"/>
      <c r="NGG748" s="28"/>
      <c r="NGH748" s="28"/>
      <c r="NGI748" s="28"/>
      <c r="NGJ748" s="28"/>
      <c r="NGK748" s="28"/>
      <c r="NGL748" s="28"/>
      <c r="NGM748" s="28"/>
      <c r="NGN748" s="28"/>
      <c r="NGO748" s="28"/>
      <c r="NGP748" s="28"/>
      <c r="NGQ748" s="28"/>
      <c r="NGR748" s="28"/>
      <c r="NGS748" s="28"/>
      <c r="NGT748" s="28"/>
      <c r="NGU748" s="28"/>
      <c r="NGV748" s="28"/>
      <c r="NGW748" s="28"/>
      <c r="NGX748" s="28"/>
      <c r="NGY748" s="28"/>
      <c r="NGZ748" s="28"/>
      <c r="NHA748" s="28"/>
      <c r="NHB748" s="28"/>
      <c r="NHC748" s="28"/>
      <c r="NHD748" s="28"/>
      <c r="NHE748" s="28"/>
      <c r="NHF748" s="28"/>
      <c r="NHG748" s="28"/>
      <c r="NHH748" s="28"/>
      <c r="NHI748" s="28"/>
      <c r="NHJ748" s="28"/>
      <c r="NHK748" s="28"/>
      <c r="NHL748" s="28"/>
      <c r="NHM748" s="28"/>
      <c r="NHN748" s="28"/>
      <c r="NHO748" s="28"/>
      <c r="NHP748" s="28"/>
      <c r="NHQ748" s="28"/>
      <c r="NHR748" s="28"/>
      <c r="NHS748" s="28"/>
      <c r="NHT748" s="28"/>
      <c r="NHU748" s="28"/>
      <c r="NHV748" s="28"/>
      <c r="NHW748" s="28"/>
      <c r="NHX748" s="28"/>
      <c r="NHY748" s="28"/>
      <c r="NHZ748" s="28"/>
      <c r="NIA748" s="28"/>
      <c r="NIB748" s="28"/>
      <c r="NIC748" s="28"/>
      <c r="NID748" s="28"/>
      <c r="NIE748" s="28"/>
      <c r="NIF748" s="28"/>
      <c r="NIG748" s="28"/>
      <c r="NIH748" s="28"/>
      <c r="NII748" s="28"/>
      <c r="NIJ748" s="28"/>
      <c r="NIK748" s="28"/>
      <c r="NIL748" s="28"/>
      <c r="NIM748" s="28"/>
      <c r="NIN748" s="28"/>
      <c r="NIO748" s="28"/>
      <c r="NIP748" s="28"/>
      <c r="NIQ748" s="28"/>
      <c r="NIR748" s="28"/>
      <c r="NIS748" s="28"/>
      <c r="NIT748" s="28"/>
      <c r="NIU748" s="28"/>
      <c r="NIV748" s="28"/>
      <c r="NIW748" s="28"/>
      <c r="NIX748" s="28"/>
      <c r="NIY748" s="28"/>
      <c r="NIZ748" s="28"/>
      <c r="NJA748" s="28"/>
      <c r="NJB748" s="28"/>
      <c r="NJC748" s="28"/>
      <c r="NJD748" s="28"/>
      <c r="NJE748" s="28"/>
      <c r="NJF748" s="28"/>
      <c r="NJG748" s="28"/>
      <c r="NJH748" s="28"/>
      <c r="NJI748" s="28"/>
      <c r="NJJ748" s="28"/>
      <c r="NJK748" s="28"/>
      <c r="NJL748" s="28"/>
      <c r="NJM748" s="28"/>
      <c r="NJN748" s="28"/>
      <c r="NJO748" s="28"/>
      <c r="NJP748" s="28"/>
      <c r="NJQ748" s="28"/>
      <c r="NJR748" s="28"/>
      <c r="NJS748" s="28"/>
      <c r="NJT748" s="28"/>
      <c r="NJU748" s="28"/>
      <c r="NJV748" s="28"/>
      <c r="NJW748" s="28"/>
      <c r="NJX748" s="28"/>
      <c r="NJY748" s="28"/>
      <c r="NJZ748" s="28"/>
      <c r="NKA748" s="28"/>
      <c r="NKB748" s="28"/>
      <c r="NKC748" s="28"/>
      <c r="NKD748" s="28"/>
      <c r="NKE748" s="28"/>
      <c r="NKF748" s="28"/>
      <c r="NKG748" s="28"/>
      <c r="NKH748" s="28"/>
      <c r="NKI748" s="28"/>
      <c r="NKJ748" s="28"/>
      <c r="NKK748" s="28"/>
      <c r="NKL748" s="28"/>
      <c r="NKM748" s="28"/>
      <c r="NKN748" s="28"/>
      <c r="NKO748" s="28"/>
      <c r="NKP748" s="28"/>
      <c r="NKQ748" s="28"/>
      <c r="NKR748" s="28"/>
      <c r="NKS748" s="28"/>
      <c r="NKT748" s="28"/>
      <c r="NKU748" s="28"/>
      <c r="NKV748" s="28"/>
      <c r="NKW748" s="28"/>
      <c r="NKX748" s="28"/>
      <c r="NKY748" s="28"/>
      <c r="NKZ748" s="28"/>
      <c r="NLA748" s="28"/>
      <c r="NLB748" s="28"/>
      <c r="NLC748" s="28"/>
      <c r="NLD748" s="28"/>
      <c r="NLE748" s="28"/>
      <c r="NLF748" s="28"/>
      <c r="NLG748" s="28"/>
      <c r="NLH748" s="28"/>
      <c r="NLI748" s="28"/>
      <c r="NLJ748" s="28"/>
      <c r="NLK748" s="28"/>
      <c r="NLL748" s="28"/>
      <c r="NLM748" s="28"/>
      <c r="NLN748" s="28"/>
      <c r="NLO748" s="28"/>
      <c r="NLP748" s="28"/>
      <c r="NLQ748" s="28"/>
      <c r="NLR748" s="28"/>
      <c r="NLS748" s="28"/>
      <c r="NLT748" s="28"/>
      <c r="NLU748" s="28"/>
      <c r="NLV748" s="28"/>
      <c r="NLW748" s="28"/>
      <c r="NLX748" s="28"/>
      <c r="NLY748" s="28"/>
      <c r="NLZ748" s="28"/>
      <c r="NMA748" s="28"/>
      <c r="NMB748" s="28"/>
      <c r="NMC748" s="28"/>
      <c r="NMD748" s="28"/>
      <c r="NME748" s="28"/>
      <c r="NMF748" s="28"/>
      <c r="NMG748" s="28"/>
      <c r="NMH748" s="28"/>
      <c r="NMI748" s="28"/>
      <c r="NMJ748" s="28"/>
      <c r="NMK748" s="28"/>
      <c r="NML748" s="28"/>
      <c r="NMM748" s="28"/>
      <c r="NMN748" s="28"/>
      <c r="NMO748" s="28"/>
      <c r="NMP748" s="28"/>
      <c r="NMQ748" s="28"/>
      <c r="NMR748" s="28"/>
      <c r="NMS748" s="28"/>
      <c r="NMT748" s="28"/>
      <c r="NMU748" s="28"/>
      <c r="NMV748" s="28"/>
      <c r="NMW748" s="28"/>
      <c r="NMX748" s="28"/>
      <c r="NMY748" s="28"/>
      <c r="NMZ748" s="28"/>
      <c r="NNA748" s="28"/>
      <c r="NNB748" s="28"/>
      <c r="NNC748" s="28"/>
      <c r="NND748" s="28"/>
      <c r="NNE748" s="28"/>
      <c r="NNF748" s="28"/>
      <c r="NNG748" s="28"/>
      <c r="NNH748" s="28"/>
      <c r="NNI748" s="28"/>
      <c r="NNJ748" s="28"/>
      <c r="NNK748" s="28"/>
      <c r="NNL748" s="28"/>
      <c r="NNM748" s="28"/>
      <c r="NNN748" s="28"/>
      <c r="NNO748" s="28"/>
      <c r="NNP748" s="28"/>
      <c r="NNQ748" s="28"/>
      <c r="NNR748" s="28"/>
      <c r="NNS748" s="28"/>
      <c r="NNT748" s="28"/>
      <c r="NNU748" s="28"/>
      <c r="NNV748" s="28"/>
      <c r="NNW748" s="28"/>
      <c r="NNX748" s="28"/>
      <c r="NNY748" s="28"/>
      <c r="NNZ748" s="28"/>
      <c r="NOA748" s="28"/>
      <c r="NOB748" s="28"/>
      <c r="NOC748" s="28"/>
      <c r="NOD748" s="28"/>
      <c r="NOE748" s="28"/>
      <c r="NOF748" s="28"/>
      <c r="NOG748" s="28"/>
      <c r="NOH748" s="28"/>
      <c r="NOI748" s="28"/>
      <c r="NOJ748" s="28"/>
      <c r="NOK748" s="28"/>
      <c r="NOL748" s="28"/>
      <c r="NOM748" s="28"/>
      <c r="NON748" s="28"/>
      <c r="NOO748" s="28"/>
      <c r="NOP748" s="28"/>
      <c r="NOQ748" s="28"/>
      <c r="NOR748" s="28"/>
      <c r="NOS748" s="28"/>
      <c r="NOT748" s="28"/>
      <c r="NOU748" s="28"/>
      <c r="NOV748" s="28"/>
      <c r="NOW748" s="28"/>
      <c r="NOX748" s="28"/>
      <c r="NOY748" s="28"/>
      <c r="NOZ748" s="28"/>
      <c r="NPA748" s="28"/>
      <c r="NPB748" s="28"/>
      <c r="NPC748" s="28"/>
      <c r="NPD748" s="28"/>
      <c r="NPE748" s="28"/>
      <c r="NPF748" s="28"/>
      <c r="NPG748" s="28"/>
      <c r="NPH748" s="28"/>
      <c r="NPI748" s="28"/>
      <c r="NPJ748" s="28"/>
      <c r="NPK748" s="28"/>
      <c r="NPL748" s="28"/>
      <c r="NPM748" s="28"/>
      <c r="NPN748" s="28"/>
      <c r="NPO748" s="28"/>
      <c r="NPP748" s="28"/>
      <c r="NPQ748" s="28"/>
      <c r="NPR748" s="28"/>
      <c r="NPS748" s="28"/>
      <c r="NPT748" s="28"/>
      <c r="NPU748" s="28"/>
      <c r="NPV748" s="28"/>
      <c r="NPW748" s="28"/>
      <c r="NPX748" s="28"/>
      <c r="NPY748" s="28"/>
      <c r="NPZ748" s="28"/>
      <c r="NQA748" s="28"/>
      <c r="NQB748" s="28"/>
      <c r="NQC748" s="28"/>
      <c r="NQD748" s="28"/>
      <c r="NQE748" s="28"/>
      <c r="NQF748" s="28"/>
      <c r="NQG748" s="28"/>
      <c r="NQH748" s="28"/>
      <c r="NQI748" s="28"/>
      <c r="NQJ748" s="28"/>
      <c r="NQK748" s="28"/>
      <c r="NQL748" s="28"/>
      <c r="NQM748" s="28"/>
      <c r="NQN748" s="28"/>
      <c r="NQO748" s="28"/>
      <c r="NQP748" s="28"/>
      <c r="NQQ748" s="28"/>
      <c r="NQR748" s="28"/>
      <c r="NQS748" s="28"/>
      <c r="NQT748" s="28"/>
      <c r="NQU748" s="28"/>
      <c r="NQV748" s="28"/>
      <c r="NQW748" s="28"/>
      <c r="NQX748" s="28"/>
      <c r="NQY748" s="28"/>
      <c r="NQZ748" s="28"/>
      <c r="NRA748" s="28"/>
      <c r="NRB748" s="28"/>
      <c r="NRC748" s="28"/>
      <c r="NRD748" s="28"/>
      <c r="NRE748" s="28"/>
      <c r="NRF748" s="28"/>
      <c r="NRG748" s="28"/>
      <c r="NRH748" s="28"/>
      <c r="NRI748" s="28"/>
      <c r="NRJ748" s="28"/>
      <c r="NRK748" s="28"/>
      <c r="NRL748" s="28"/>
      <c r="NRM748" s="28"/>
      <c r="NRN748" s="28"/>
      <c r="NRO748" s="28"/>
      <c r="NRP748" s="28"/>
      <c r="NRQ748" s="28"/>
      <c r="NRR748" s="28"/>
      <c r="NRS748" s="28"/>
      <c r="NRT748" s="28"/>
      <c r="NRU748" s="28"/>
      <c r="NRV748" s="28"/>
      <c r="NRW748" s="28"/>
      <c r="NRX748" s="28"/>
      <c r="NRY748" s="28"/>
      <c r="NRZ748" s="28"/>
      <c r="NSA748" s="28"/>
      <c r="NSB748" s="28"/>
      <c r="NSC748" s="28"/>
      <c r="NSD748" s="28"/>
      <c r="NSE748" s="28"/>
      <c r="NSF748" s="28"/>
      <c r="NSG748" s="28"/>
      <c r="NSH748" s="28"/>
      <c r="NSI748" s="28"/>
      <c r="NSJ748" s="28"/>
      <c r="NSK748" s="28"/>
      <c r="NSL748" s="28"/>
      <c r="NSM748" s="28"/>
      <c r="NSN748" s="28"/>
      <c r="NSO748" s="28"/>
      <c r="NSP748" s="28"/>
      <c r="NSQ748" s="28"/>
      <c r="NSR748" s="28"/>
      <c r="NSS748" s="28"/>
      <c r="NST748" s="28"/>
      <c r="NSU748" s="28"/>
      <c r="NSV748" s="28"/>
      <c r="NSW748" s="28"/>
      <c r="NSX748" s="28"/>
      <c r="NSY748" s="28"/>
      <c r="NSZ748" s="28"/>
      <c r="NTA748" s="28"/>
      <c r="NTB748" s="28"/>
      <c r="NTC748" s="28"/>
      <c r="NTD748" s="28"/>
      <c r="NTE748" s="28"/>
      <c r="NTF748" s="28"/>
      <c r="NTG748" s="28"/>
      <c r="NTH748" s="28"/>
      <c r="NTI748" s="28"/>
      <c r="NTJ748" s="28"/>
      <c r="NTK748" s="28"/>
      <c r="NTL748" s="28"/>
      <c r="NTM748" s="28"/>
      <c r="NTN748" s="28"/>
      <c r="NTO748" s="28"/>
      <c r="NTP748" s="28"/>
      <c r="NTQ748" s="28"/>
      <c r="NTR748" s="28"/>
      <c r="NTS748" s="28"/>
      <c r="NTT748" s="28"/>
      <c r="NTU748" s="28"/>
      <c r="NTV748" s="28"/>
      <c r="NTW748" s="28"/>
      <c r="NTX748" s="28"/>
      <c r="NTY748" s="28"/>
      <c r="NTZ748" s="28"/>
      <c r="NUA748" s="28"/>
      <c r="NUB748" s="28"/>
      <c r="NUC748" s="28"/>
      <c r="NUD748" s="28"/>
      <c r="NUE748" s="28"/>
      <c r="NUF748" s="28"/>
      <c r="NUG748" s="28"/>
      <c r="NUH748" s="28"/>
      <c r="NUI748" s="28"/>
      <c r="NUJ748" s="28"/>
      <c r="NUK748" s="28"/>
      <c r="NUL748" s="28"/>
      <c r="NUM748" s="28"/>
      <c r="NUN748" s="28"/>
      <c r="NUO748" s="28"/>
      <c r="NUP748" s="28"/>
      <c r="NUQ748" s="28"/>
      <c r="NUR748" s="28"/>
      <c r="NUS748" s="28"/>
      <c r="NUT748" s="28"/>
      <c r="NUU748" s="28"/>
      <c r="NUV748" s="28"/>
      <c r="NUW748" s="28"/>
      <c r="NUX748" s="28"/>
      <c r="NUY748" s="28"/>
      <c r="NUZ748" s="28"/>
      <c r="NVA748" s="28"/>
      <c r="NVB748" s="28"/>
      <c r="NVC748" s="28"/>
      <c r="NVD748" s="28"/>
      <c r="NVE748" s="28"/>
      <c r="NVF748" s="28"/>
      <c r="NVG748" s="28"/>
      <c r="NVH748" s="28"/>
      <c r="NVI748" s="28"/>
      <c r="NVJ748" s="28"/>
      <c r="NVK748" s="28"/>
      <c r="NVL748" s="28"/>
      <c r="NVM748" s="28"/>
      <c r="NVN748" s="28"/>
      <c r="NVO748" s="28"/>
      <c r="NVP748" s="28"/>
      <c r="NVQ748" s="28"/>
      <c r="NVR748" s="28"/>
      <c r="NVS748" s="28"/>
      <c r="NVT748" s="28"/>
      <c r="NVU748" s="28"/>
      <c r="NVV748" s="28"/>
      <c r="NVW748" s="28"/>
      <c r="NVX748" s="28"/>
      <c r="NVY748" s="28"/>
      <c r="NVZ748" s="28"/>
      <c r="NWA748" s="28"/>
      <c r="NWB748" s="28"/>
      <c r="NWC748" s="28"/>
      <c r="NWD748" s="28"/>
      <c r="NWE748" s="28"/>
      <c r="NWF748" s="28"/>
      <c r="NWG748" s="28"/>
      <c r="NWH748" s="28"/>
      <c r="NWI748" s="28"/>
      <c r="NWJ748" s="28"/>
      <c r="NWK748" s="28"/>
      <c r="NWL748" s="28"/>
      <c r="NWM748" s="28"/>
      <c r="NWN748" s="28"/>
      <c r="NWO748" s="28"/>
      <c r="NWP748" s="28"/>
      <c r="NWQ748" s="28"/>
      <c r="NWR748" s="28"/>
      <c r="NWS748" s="28"/>
      <c r="NWT748" s="28"/>
      <c r="NWU748" s="28"/>
      <c r="NWV748" s="28"/>
      <c r="NWW748" s="28"/>
      <c r="NWX748" s="28"/>
      <c r="NWY748" s="28"/>
      <c r="NWZ748" s="28"/>
      <c r="NXA748" s="28"/>
      <c r="NXB748" s="28"/>
      <c r="NXC748" s="28"/>
      <c r="NXD748" s="28"/>
      <c r="NXE748" s="28"/>
      <c r="NXF748" s="28"/>
      <c r="NXG748" s="28"/>
      <c r="NXH748" s="28"/>
      <c r="NXI748" s="28"/>
      <c r="NXJ748" s="28"/>
      <c r="NXK748" s="28"/>
      <c r="NXL748" s="28"/>
      <c r="NXM748" s="28"/>
      <c r="NXN748" s="28"/>
      <c r="NXO748" s="28"/>
      <c r="NXP748" s="28"/>
      <c r="NXQ748" s="28"/>
      <c r="NXR748" s="28"/>
      <c r="NXS748" s="28"/>
      <c r="NXT748" s="28"/>
      <c r="NXU748" s="28"/>
      <c r="NXV748" s="28"/>
      <c r="NXW748" s="28"/>
      <c r="NXX748" s="28"/>
      <c r="NXY748" s="28"/>
      <c r="NXZ748" s="28"/>
      <c r="NYA748" s="28"/>
      <c r="NYB748" s="28"/>
      <c r="NYC748" s="28"/>
      <c r="NYD748" s="28"/>
      <c r="NYE748" s="28"/>
      <c r="NYF748" s="28"/>
      <c r="NYG748" s="28"/>
      <c r="NYH748" s="28"/>
      <c r="NYI748" s="28"/>
      <c r="NYJ748" s="28"/>
      <c r="NYK748" s="28"/>
      <c r="NYL748" s="28"/>
      <c r="NYM748" s="28"/>
      <c r="NYN748" s="28"/>
      <c r="NYO748" s="28"/>
      <c r="NYP748" s="28"/>
      <c r="NYQ748" s="28"/>
      <c r="NYR748" s="28"/>
      <c r="NYS748" s="28"/>
      <c r="NYT748" s="28"/>
      <c r="NYU748" s="28"/>
      <c r="NYV748" s="28"/>
      <c r="NYW748" s="28"/>
      <c r="NYX748" s="28"/>
      <c r="NYY748" s="28"/>
      <c r="NYZ748" s="28"/>
      <c r="NZA748" s="28"/>
      <c r="NZB748" s="28"/>
      <c r="NZC748" s="28"/>
      <c r="NZD748" s="28"/>
      <c r="NZE748" s="28"/>
      <c r="NZF748" s="28"/>
      <c r="NZG748" s="28"/>
      <c r="NZH748" s="28"/>
      <c r="NZI748" s="28"/>
      <c r="NZJ748" s="28"/>
      <c r="NZK748" s="28"/>
      <c r="NZL748" s="28"/>
      <c r="NZM748" s="28"/>
      <c r="NZN748" s="28"/>
      <c r="NZO748" s="28"/>
      <c r="NZP748" s="28"/>
      <c r="NZQ748" s="28"/>
      <c r="NZR748" s="28"/>
      <c r="NZS748" s="28"/>
      <c r="NZT748" s="28"/>
      <c r="NZU748" s="28"/>
      <c r="NZV748" s="28"/>
      <c r="NZW748" s="28"/>
      <c r="NZX748" s="28"/>
      <c r="NZY748" s="28"/>
      <c r="NZZ748" s="28"/>
      <c r="OAA748" s="28"/>
      <c r="OAB748" s="28"/>
      <c r="OAC748" s="28"/>
      <c r="OAD748" s="28"/>
      <c r="OAE748" s="28"/>
      <c r="OAF748" s="28"/>
      <c r="OAG748" s="28"/>
      <c r="OAH748" s="28"/>
      <c r="OAI748" s="28"/>
      <c r="OAJ748" s="28"/>
      <c r="OAK748" s="28"/>
      <c r="OAL748" s="28"/>
      <c r="OAM748" s="28"/>
      <c r="OAN748" s="28"/>
      <c r="OAO748" s="28"/>
      <c r="OAP748" s="28"/>
      <c r="OAQ748" s="28"/>
      <c r="OAR748" s="28"/>
      <c r="OAS748" s="28"/>
      <c r="OAT748" s="28"/>
      <c r="OAU748" s="28"/>
      <c r="OAV748" s="28"/>
      <c r="OAW748" s="28"/>
      <c r="OAX748" s="28"/>
      <c r="OAY748" s="28"/>
      <c r="OAZ748" s="28"/>
      <c r="OBA748" s="28"/>
      <c r="OBB748" s="28"/>
      <c r="OBC748" s="28"/>
      <c r="OBD748" s="28"/>
      <c r="OBE748" s="28"/>
      <c r="OBF748" s="28"/>
      <c r="OBG748" s="28"/>
      <c r="OBH748" s="28"/>
      <c r="OBI748" s="28"/>
      <c r="OBJ748" s="28"/>
      <c r="OBK748" s="28"/>
      <c r="OBL748" s="28"/>
      <c r="OBM748" s="28"/>
      <c r="OBN748" s="28"/>
      <c r="OBO748" s="28"/>
      <c r="OBP748" s="28"/>
      <c r="OBQ748" s="28"/>
      <c r="OBR748" s="28"/>
      <c r="OBS748" s="28"/>
      <c r="OBT748" s="28"/>
      <c r="OBU748" s="28"/>
      <c r="OBV748" s="28"/>
      <c r="OBW748" s="28"/>
      <c r="OBX748" s="28"/>
      <c r="OBY748" s="28"/>
      <c r="OBZ748" s="28"/>
      <c r="OCA748" s="28"/>
      <c r="OCB748" s="28"/>
      <c r="OCC748" s="28"/>
      <c r="OCD748" s="28"/>
      <c r="OCE748" s="28"/>
      <c r="OCF748" s="28"/>
      <c r="OCG748" s="28"/>
      <c r="OCH748" s="28"/>
      <c r="OCI748" s="28"/>
      <c r="OCJ748" s="28"/>
      <c r="OCK748" s="28"/>
      <c r="OCL748" s="28"/>
      <c r="OCM748" s="28"/>
      <c r="OCN748" s="28"/>
      <c r="OCO748" s="28"/>
      <c r="OCP748" s="28"/>
      <c r="OCQ748" s="28"/>
      <c r="OCR748" s="28"/>
      <c r="OCS748" s="28"/>
      <c r="OCT748" s="28"/>
      <c r="OCU748" s="28"/>
      <c r="OCV748" s="28"/>
      <c r="OCW748" s="28"/>
      <c r="OCX748" s="28"/>
      <c r="OCY748" s="28"/>
      <c r="OCZ748" s="28"/>
      <c r="ODA748" s="28"/>
      <c r="ODB748" s="28"/>
      <c r="ODC748" s="28"/>
      <c r="ODD748" s="28"/>
      <c r="ODE748" s="28"/>
      <c r="ODF748" s="28"/>
      <c r="ODG748" s="28"/>
      <c r="ODH748" s="28"/>
      <c r="ODI748" s="28"/>
      <c r="ODJ748" s="28"/>
      <c r="ODK748" s="28"/>
      <c r="ODL748" s="28"/>
      <c r="ODM748" s="28"/>
      <c r="ODN748" s="28"/>
      <c r="ODO748" s="28"/>
      <c r="ODP748" s="28"/>
      <c r="ODQ748" s="28"/>
      <c r="ODR748" s="28"/>
      <c r="ODS748" s="28"/>
      <c r="ODT748" s="28"/>
      <c r="ODU748" s="28"/>
      <c r="ODV748" s="28"/>
      <c r="ODW748" s="28"/>
      <c r="ODX748" s="28"/>
      <c r="ODY748" s="28"/>
      <c r="ODZ748" s="28"/>
      <c r="OEA748" s="28"/>
      <c r="OEB748" s="28"/>
      <c r="OEC748" s="28"/>
      <c r="OED748" s="28"/>
      <c r="OEE748" s="28"/>
      <c r="OEF748" s="28"/>
      <c r="OEG748" s="28"/>
      <c r="OEH748" s="28"/>
      <c r="OEI748" s="28"/>
      <c r="OEJ748" s="28"/>
      <c r="OEK748" s="28"/>
      <c r="OEL748" s="28"/>
      <c r="OEM748" s="28"/>
      <c r="OEN748" s="28"/>
      <c r="OEO748" s="28"/>
      <c r="OEP748" s="28"/>
      <c r="OEQ748" s="28"/>
      <c r="OER748" s="28"/>
      <c r="OES748" s="28"/>
      <c r="OET748" s="28"/>
      <c r="OEU748" s="28"/>
      <c r="OEV748" s="28"/>
      <c r="OEW748" s="28"/>
      <c r="OEX748" s="28"/>
      <c r="OEY748" s="28"/>
      <c r="OEZ748" s="28"/>
      <c r="OFA748" s="28"/>
      <c r="OFB748" s="28"/>
      <c r="OFC748" s="28"/>
      <c r="OFD748" s="28"/>
      <c r="OFE748" s="28"/>
      <c r="OFF748" s="28"/>
      <c r="OFG748" s="28"/>
      <c r="OFH748" s="28"/>
      <c r="OFI748" s="28"/>
      <c r="OFJ748" s="28"/>
      <c r="OFK748" s="28"/>
      <c r="OFL748" s="28"/>
      <c r="OFM748" s="28"/>
      <c r="OFN748" s="28"/>
      <c r="OFO748" s="28"/>
      <c r="OFP748" s="28"/>
      <c r="OFQ748" s="28"/>
      <c r="OFR748" s="28"/>
      <c r="OFS748" s="28"/>
      <c r="OFT748" s="28"/>
      <c r="OFU748" s="28"/>
      <c r="OFV748" s="28"/>
      <c r="OFW748" s="28"/>
      <c r="OFX748" s="28"/>
      <c r="OFY748" s="28"/>
      <c r="OFZ748" s="28"/>
      <c r="OGA748" s="28"/>
      <c r="OGB748" s="28"/>
      <c r="OGC748" s="28"/>
      <c r="OGD748" s="28"/>
      <c r="OGE748" s="28"/>
      <c r="OGF748" s="28"/>
      <c r="OGG748" s="28"/>
      <c r="OGH748" s="28"/>
      <c r="OGI748" s="28"/>
      <c r="OGJ748" s="28"/>
      <c r="OGK748" s="28"/>
      <c r="OGL748" s="28"/>
      <c r="OGM748" s="28"/>
      <c r="OGN748" s="28"/>
      <c r="OGO748" s="28"/>
      <c r="OGP748" s="28"/>
      <c r="OGQ748" s="28"/>
      <c r="OGR748" s="28"/>
      <c r="OGS748" s="28"/>
      <c r="OGT748" s="28"/>
      <c r="OGU748" s="28"/>
      <c r="OGV748" s="28"/>
      <c r="OGW748" s="28"/>
      <c r="OGX748" s="28"/>
      <c r="OGY748" s="28"/>
      <c r="OGZ748" s="28"/>
      <c r="OHA748" s="28"/>
      <c r="OHB748" s="28"/>
      <c r="OHC748" s="28"/>
      <c r="OHD748" s="28"/>
      <c r="OHE748" s="28"/>
      <c r="OHF748" s="28"/>
      <c r="OHG748" s="28"/>
      <c r="OHH748" s="28"/>
      <c r="OHI748" s="28"/>
      <c r="OHJ748" s="28"/>
      <c r="OHK748" s="28"/>
      <c r="OHL748" s="28"/>
      <c r="OHM748" s="28"/>
      <c r="OHN748" s="28"/>
      <c r="OHO748" s="28"/>
      <c r="OHP748" s="28"/>
      <c r="OHQ748" s="28"/>
      <c r="OHR748" s="28"/>
      <c r="OHS748" s="28"/>
      <c r="OHT748" s="28"/>
      <c r="OHU748" s="28"/>
      <c r="OHV748" s="28"/>
      <c r="OHW748" s="28"/>
      <c r="OHX748" s="28"/>
      <c r="OHY748" s="28"/>
      <c r="OHZ748" s="28"/>
      <c r="OIA748" s="28"/>
      <c r="OIB748" s="28"/>
      <c r="OIC748" s="28"/>
      <c r="OID748" s="28"/>
      <c r="OIE748" s="28"/>
      <c r="OIF748" s="28"/>
      <c r="OIG748" s="28"/>
      <c r="OIH748" s="28"/>
      <c r="OII748" s="28"/>
      <c r="OIJ748" s="28"/>
      <c r="OIK748" s="28"/>
      <c r="OIL748" s="28"/>
      <c r="OIM748" s="28"/>
      <c r="OIN748" s="28"/>
      <c r="OIO748" s="28"/>
      <c r="OIP748" s="28"/>
      <c r="OIQ748" s="28"/>
      <c r="OIR748" s="28"/>
      <c r="OIS748" s="28"/>
      <c r="OIT748" s="28"/>
      <c r="OIU748" s="28"/>
      <c r="OIV748" s="28"/>
      <c r="OIW748" s="28"/>
      <c r="OIX748" s="28"/>
      <c r="OIY748" s="28"/>
      <c r="OIZ748" s="28"/>
      <c r="OJA748" s="28"/>
      <c r="OJB748" s="28"/>
      <c r="OJC748" s="28"/>
      <c r="OJD748" s="28"/>
      <c r="OJE748" s="28"/>
      <c r="OJF748" s="28"/>
      <c r="OJG748" s="28"/>
      <c r="OJH748" s="28"/>
      <c r="OJI748" s="28"/>
      <c r="OJJ748" s="28"/>
      <c r="OJK748" s="28"/>
      <c r="OJL748" s="28"/>
      <c r="OJM748" s="28"/>
      <c r="OJN748" s="28"/>
      <c r="OJO748" s="28"/>
      <c r="OJP748" s="28"/>
      <c r="OJQ748" s="28"/>
      <c r="OJR748" s="28"/>
      <c r="OJS748" s="28"/>
      <c r="OJT748" s="28"/>
      <c r="OJU748" s="28"/>
      <c r="OJV748" s="28"/>
      <c r="OJW748" s="28"/>
      <c r="OJX748" s="28"/>
      <c r="OJY748" s="28"/>
      <c r="OJZ748" s="28"/>
      <c r="OKA748" s="28"/>
      <c r="OKB748" s="28"/>
      <c r="OKC748" s="28"/>
      <c r="OKD748" s="28"/>
      <c r="OKE748" s="28"/>
      <c r="OKF748" s="28"/>
      <c r="OKG748" s="28"/>
      <c r="OKH748" s="28"/>
      <c r="OKI748" s="28"/>
      <c r="OKJ748" s="28"/>
      <c r="OKK748" s="28"/>
      <c r="OKL748" s="28"/>
      <c r="OKM748" s="28"/>
      <c r="OKN748" s="28"/>
      <c r="OKO748" s="28"/>
      <c r="OKP748" s="28"/>
      <c r="OKQ748" s="28"/>
      <c r="OKR748" s="28"/>
      <c r="OKS748" s="28"/>
      <c r="OKT748" s="28"/>
      <c r="OKU748" s="28"/>
      <c r="OKV748" s="28"/>
      <c r="OKW748" s="28"/>
      <c r="OKX748" s="28"/>
      <c r="OKY748" s="28"/>
      <c r="OKZ748" s="28"/>
      <c r="OLA748" s="28"/>
      <c r="OLB748" s="28"/>
      <c r="OLC748" s="28"/>
      <c r="OLD748" s="28"/>
      <c r="OLE748" s="28"/>
      <c r="OLF748" s="28"/>
      <c r="OLG748" s="28"/>
      <c r="OLH748" s="28"/>
      <c r="OLI748" s="28"/>
      <c r="OLJ748" s="28"/>
      <c r="OLK748" s="28"/>
      <c r="OLL748" s="28"/>
      <c r="OLM748" s="28"/>
      <c r="OLN748" s="28"/>
      <c r="OLO748" s="28"/>
      <c r="OLP748" s="28"/>
      <c r="OLQ748" s="28"/>
      <c r="OLR748" s="28"/>
      <c r="OLS748" s="28"/>
      <c r="OLT748" s="28"/>
      <c r="OLU748" s="28"/>
      <c r="OLV748" s="28"/>
      <c r="OLW748" s="28"/>
      <c r="OLX748" s="28"/>
      <c r="OLY748" s="28"/>
      <c r="OLZ748" s="28"/>
      <c r="OMA748" s="28"/>
      <c r="OMB748" s="28"/>
      <c r="OMC748" s="28"/>
      <c r="OMD748" s="28"/>
      <c r="OME748" s="28"/>
      <c r="OMF748" s="28"/>
      <c r="OMG748" s="28"/>
      <c r="OMH748" s="28"/>
      <c r="OMI748" s="28"/>
      <c r="OMJ748" s="28"/>
      <c r="OMK748" s="28"/>
      <c r="OML748" s="28"/>
      <c r="OMM748" s="28"/>
      <c r="OMN748" s="28"/>
      <c r="OMO748" s="28"/>
      <c r="OMP748" s="28"/>
      <c r="OMQ748" s="28"/>
      <c r="OMR748" s="28"/>
      <c r="OMS748" s="28"/>
      <c r="OMT748" s="28"/>
      <c r="OMU748" s="28"/>
      <c r="OMV748" s="28"/>
      <c r="OMW748" s="28"/>
      <c r="OMX748" s="28"/>
      <c r="OMY748" s="28"/>
      <c r="OMZ748" s="28"/>
      <c r="ONA748" s="28"/>
      <c r="ONB748" s="28"/>
      <c r="ONC748" s="28"/>
      <c r="OND748" s="28"/>
      <c r="ONE748" s="28"/>
      <c r="ONF748" s="28"/>
      <c r="ONG748" s="28"/>
      <c r="ONH748" s="28"/>
      <c r="ONI748" s="28"/>
      <c r="ONJ748" s="28"/>
      <c r="ONK748" s="28"/>
      <c r="ONL748" s="28"/>
      <c r="ONM748" s="28"/>
      <c r="ONN748" s="28"/>
      <c r="ONO748" s="28"/>
      <c r="ONP748" s="28"/>
      <c r="ONQ748" s="28"/>
      <c r="ONR748" s="28"/>
      <c r="ONS748" s="28"/>
      <c r="ONT748" s="28"/>
      <c r="ONU748" s="28"/>
      <c r="ONV748" s="28"/>
      <c r="ONW748" s="28"/>
      <c r="ONX748" s="28"/>
      <c r="ONY748" s="28"/>
      <c r="ONZ748" s="28"/>
      <c r="OOA748" s="28"/>
      <c r="OOB748" s="28"/>
      <c r="OOC748" s="28"/>
      <c r="OOD748" s="28"/>
      <c r="OOE748" s="28"/>
      <c r="OOF748" s="28"/>
      <c r="OOG748" s="28"/>
      <c r="OOH748" s="28"/>
      <c r="OOI748" s="28"/>
      <c r="OOJ748" s="28"/>
      <c r="OOK748" s="28"/>
      <c r="OOL748" s="28"/>
      <c r="OOM748" s="28"/>
      <c r="OON748" s="28"/>
      <c r="OOO748" s="28"/>
      <c r="OOP748" s="28"/>
      <c r="OOQ748" s="28"/>
      <c r="OOR748" s="28"/>
      <c r="OOS748" s="28"/>
      <c r="OOT748" s="28"/>
      <c r="OOU748" s="28"/>
      <c r="OOV748" s="28"/>
      <c r="OOW748" s="28"/>
      <c r="OOX748" s="28"/>
      <c r="OOY748" s="28"/>
      <c r="OOZ748" s="28"/>
      <c r="OPA748" s="28"/>
      <c r="OPB748" s="28"/>
      <c r="OPC748" s="28"/>
      <c r="OPD748" s="28"/>
      <c r="OPE748" s="28"/>
      <c r="OPF748" s="28"/>
      <c r="OPG748" s="28"/>
      <c r="OPH748" s="28"/>
      <c r="OPI748" s="28"/>
      <c r="OPJ748" s="28"/>
      <c r="OPK748" s="28"/>
      <c r="OPL748" s="28"/>
      <c r="OPM748" s="28"/>
      <c r="OPN748" s="28"/>
      <c r="OPO748" s="28"/>
      <c r="OPP748" s="28"/>
      <c r="OPQ748" s="28"/>
      <c r="OPR748" s="28"/>
      <c r="OPS748" s="28"/>
      <c r="OPT748" s="28"/>
      <c r="OPU748" s="28"/>
      <c r="OPV748" s="28"/>
      <c r="OPW748" s="28"/>
      <c r="OPX748" s="28"/>
      <c r="OPY748" s="28"/>
      <c r="OPZ748" s="28"/>
      <c r="OQA748" s="28"/>
      <c r="OQB748" s="28"/>
      <c r="OQC748" s="28"/>
      <c r="OQD748" s="28"/>
      <c r="OQE748" s="28"/>
      <c r="OQF748" s="28"/>
      <c r="OQG748" s="28"/>
      <c r="OQH748" s="28"/>
      <c r="OQI748" s="28"/>
      <c r="OQJ748" s="28"/>
      <c r="OQK748" s="28"/>
      <c r="OQL748" s="28"/>
      <c r="OQM748" s="28"/>
      <c r="OQN748" s="28"/>
      <c r="OQO748" s="28"/>
      <c r="OQP748" s="28"/>
      <c r="OQQ748" s="28"/>
      <c r="OQR748" s="28"/>
      <c r="OQS748" s="28"/>
      <c r="OQT748" s="28"/>
      <c r="OQU748" s="28"/>
      <c r="OQV748" s="28"/>
      <c r="OQW748" s="28"/>
      <c r="OQX748" s="28"/>
      <c r="OQY748" s="28"/>
      <c r="OQZ748" s="28"/>
      <c r="ORA748" s="28"/>
      <c r="ORB748" s="28"/>
      <c r="ORC748" s="28"/>
      <c r="ORD748" s="28"/>
      <c r="ORE748" s="28"/>
      <c r="ORF748" s="28"/>
      <c r="ORG748" s="28"/>
      <c r="ORH748" s="28"/>
      <c r="ORI748" s="28"/>
      <c r="ORJ748" s="28"/>
      <c r="ORK748" s="28"/>
      <c r="ORL748" s="28"/>
      <c r="ORM748" s="28"/>
      <c r="ORN748" s="28"/>
      <c r="ORO748" s="28"/>
      <c r="ORP748" s="28"/>
      <c r="ORQ748" s="28"/>
      <c r="ORR748" s="28"/>
      <c r="ORS748" s="28"/>
      <c r="ORT748" s="28"/>
      <c r="ORU748" s="28"/>
      <c r="ORV748" s="28"/>
      <c r="ORW748" s="28"/>
      <c r="ORX748" s="28"/>
      <c r="ORY748" s="28"/>
      <c r="ORZ748" s="28"/>
      <c r="OSA748" s="28"/>
      <c r="OSB748" s="28"/>
      <c r="OSC748" s="28"/>
      <c r="OSD748" s="28"/>
      <c r="OSE748" s="28"/>
      <c r="OSF748" s="28"/>
      <c r="OSG748" s="28"/>
      <c r="OSH748" s="28"/>
      <c r="OSI748" s="28"/>
      <c r="OSJ748" s="28"/>
      <c r="OSK748" s="28"/>
      <c r="OSL748" s="28"/>
      <c r="OSM748" s="28"/>
      <c r="OSN748" s="28"/>
      <c r="OSO748" s="28"/>
      <c r="OSP748" s="28"/>
      <c r="OSQ748" s="28"/>
      <c r="OSR748" s="28"/>
      <c r="OSS748" s="28"/>
      <c r="OST748" s="28"/>
      <c r="OSU748" s="28"/>
      <c r="OSV748" s="28"/>
      <c r="OSW748" s="28"/>
      <c r="OSX748" s="28"/>
      <c r="OSY748" s="28"/>
      <c r="OSZ748" s="28"/>
      <c r="OTA748" s="28"/>
      <c r="OTB748" s="28"/>
      <c r="OTC748" s="28"/>
      <c r="OTD748" s="28"/>
      <c r="OTE748" s="28"/>
      <c r="OTF748" s="28"/>
      <c r="OTG748" s="28"/>
      <c r="OTH748" s="28"/>
      <c r="OTI748" s="28"/>
      <c r="OTJ748" s="28"/>
      <c r="OTK748" s="28"/>
      <c r="OTL748" s="28"/>
      <c r="OTM748" s="28"/>
      <c r="OTN748" s="28"/>
      <c r="OTO748" s="28"/>
      <c r="OTP748" s="28"/>
      <c r="OTQ748" s="28"/>
      <c r="OTR748" s="28"/>
      <c r="OTS748" s="28"/>
      <c r="OTT748" s="28"/>
      <c r="OTU748" s="28"/>
      <c r="OTV748" s="28"/>
      <c r="OTW748" s="28"/>
      <c r="OTX748" s="28"/>
      <c r="OTY748" s="28"/>
      <c r="OTZ748" s="28"/>
      <c r="OUA748" s="28"/>
      <c r="OUB748" s="28"/>
      <c r="OUC748" s="28"/>
      <c r="OUD748" s="28"/>
      <c r="OUE748" s="28"/>
      <c r="OUF748" s="28"/>
      <c r="OUG748" s="28"/>
      <c r="OUH748" s="28"/>
      <c r="OUI748" s="28"/>
      <c r="OUJ748" s="28"/>
      <c r="OUK748" s="28"/>
      <c r="OUL748" s="28"/>
      <c r="OUM748" s="28"/>
      <c r="OUN748" s="28"/>
      <c r="OUO748" s="28"/>
      <c r="OUP748" s="28"/>
      <c r="OUQ748" s="28"/>
      <c r="OUR748" s="28"/>
      <c r="OUS748" s="28"/>
      <c r="OUT748" s="28"/>
      <c r="OUU748" s="28"/>
      <c r="OUV748" s="28"/>
      <c r="OUW748" s="28"/>
      <c r="OUX748" s="28"/>
      <c r="OUY748" s="28"/>
      <c r="OUZ748" s="28"/>
      <c r="OVA748" s="28"/>
      <c r="OVB748" s="28"/>
      <c r="OVC748" s="28"/>
      <c r="OVD748" s="28"/>
      <c r="OVE748" s="28"/>
      <c r="OVF748" s="28"/>
      <c r="OVG748" s="28"/>
      <c r="OVH748" s="28"/>
      <c r="OVI748" s="28"/>
      <c r="OVJ748" s="28"/>
      <c r="OVK748" s="28"/>
      <c r="OVL748" s="28"/>
      <c r="OVM748" s="28"/>
      <c r="OVN748" s="28"/>
      <c r="OVO748" s="28"/>
      <c r="OVP748" s="28"/>
      <c r="OVQ748" s="28"/>
      <c r="OVR748" s="28"/>
      <c r="OVS748" s="28"/>
      <c r="OVT748" s="28"/>
      <c r="OVU748" s="28"/>
      <c r="OVV748" s="28"/>
      <c r="OVW748" s="28"/>
      <c r="OVX748" s="28"/>
      <c r="OVY748" s="28"/>
      <c r="OVZ748" s="28"/>
      <c r="OWA748" s="28"/>
      <c r="OWB748" s="28"/>
      <c r="OWC748" s="28"/>
      <c r="OWD748" s="28"/>
      <c r="OWE748" s="28"/>
      <c r="OWF748" s="28"/>
      <c r="OWG748" s="28"/>
      <c r="OWH748" s="28"/>
      <c r="OWI748" s="28"/>
      <c r="OWJ748" s="28"/>
      <c r="OWK748" s="28"/>
      <c r="OWL748" s="28"/>
      <c r="OWM748" s="28"/>
      <c r="OWN748" s="28"/>
      <c r="OWO748" s="28"/>
      <c r="OWP748" s="28"/>
      <c r="OWQ748" s="28"/>
      <c r="OWR748" s="28"/>
      <c r="OWS748" s="28"/>
      <c r="OWT748" s="28"/>
      <c r="OWU748" s="28"/>
      <c r="OWV748" s="28"/>
      <c r="OWW748" s="28"/>
      <c r="OWX748" s="28"/>
      <c r="OWY748" s="28"/>
      <c r="OWZ748" s="28"/>
      <c r="OXA748" s="28"/>
      <c r="OXB748" s="28"/>
      <c r="OXC748" s="28"/>
      <c r="OXD748" s="28"/>
      <c r="OXE748" s="28"/>
      <c r="OXF748" s="28"/>
      <c r="OXG748" s="28"/>
      <c r="OXH748" s="28"/>
      <c r="OXI748" s="28"/>
      <c r="OXJ748" s="28"/>
      <c r="OXK748" s="28"/>
      <c r="OXL748" s="28"/>
      <c r="OXM748" s="28"/>
      <c r="OXN748" s="28"/>
      <c r="OXO748" s="28"/>
      <c r="OXP748" s="28"/>
      <c r="OXQ748" s="28"/>
      <c r="OXR748" s="28"/>
      <c r="OXS748" s="28"/>
      <c r="OXT748" s="28"/>
      <c r="OXU748" s="28"/>
      <c r="OXV748" s="28"/>
      <c r="OXW748" s="28"/>
      <c r="OXX748" s="28"/>
      <c r="OXY748" s="28"/>
      <c r="OXZ748" s="28"/>
      <c r="OYA748" s="28"/>
      <c r="OYB748" s="28"/>
      <c r="OYC748" s="28"/>
      <c r="OYD748" s="28"/>
      <c r="OYE748" s="28"/>
      <c r="OYF748" s="28"/>
      <c r="OYG748" s="28"/>
      <c r="OYH748" s="28"/>
      <c r="OYI748" s="28"/>
      <c r="OYJ748" s="28"/>
      <c r="OYK748" s="28"/>
      <c r="OYL748" s="28"/>
      <c r="OYM748" s="28"/>
      <c r="OYN748" s="28"/>
      <c r="OYO748" s="28"/>
      <c r="OYP748" s="28"/>
      <c r="OYQ748" s="28"/>
      <c r="OYR748" s="28"/>
      <c r="OYS748" s="28"/>
      <c r="OYT748" s="28"/>
      <c r="OYU748" s="28"/>
      <c r="OYV748" s="28"/>
      <c r="OYW748" s="28"/>
      <c r="OYX748" s="28"/>
      <c r="OYY748" s="28"/>
      <c r="OYZ748" s="28"/>
      <c r="OZA748" s="28"/>
      <c r="OZB748" s="28"/>
      <c r="OZC748" s="28"/>
      <c r="OZD748" s="28"/>
      <c r="OZE748" s="28"/>
      <c r="OZF748" s="28"/>
      <c r="OZG748" s="28"/>
      <c r="OZH748" s="28"/>
      <c r="OZI748" s="28"/>
      <c r="OZJ748" s="28"/>
      <c r="OZK748" s="28"/>
      <c r="OZL748" s="28"/>
      <c r="OZM748" s="28"/>
      <c r="OZN748" s="28"/>
      <c r="OZO748" s="28"/>
      <c r="OZP748" s="28"/>
      <c r="OZQ748" s="28"/>
      <c r="OZR748" s="28"/>
      <c r="OZS748" s="28"/>
      <c r="OZT748" s="28"/>
      <c r="OZU748" s="28"/>
      <c r="OZV748" s="28"/>
      <c r="OZW748" s="28"/>
      <c r="OZX748" s="28"/>
      <c r="OZY748" s="28"/>
      <c r="OZZ748" s="28"/>
      <c r="PAA748" s="28"/>
      <c r="PAB748" s="28"/>
      <c r="PAC748" s="28"/>
      <c r="PAD748" s="28"/>
      <c r="PAE748" s="28"/>
      <c r="PAF748" s="28"/>
      <c r="PAG748" s="28"/>
      <c r="PAH748" s="28"/>
      <c r="PAI748" s="28"/>
      <c r="PAJ748" s="28"/>
      <c r="PAK748" s="28"/>
      <c r="PAL748" s="28"/>
      <c r="PAM748" s="28"/>
      <c r="PAN748" s="28"/>
      <c r="PAO748" s="28"/>
      <c r="PAP748" s="28"/>
      <c r="PAQ748" s="28"/>
      <c r="PAR748" s="28"/>
      <c r="PAS748" s="28"/>
      <c r="PAT748" s="28"/>
      <c r="PAU748" s="28"/>
      <c r="PAV748" s="28"/>
      <c r="PAW748" s="28"/>
      <c r="PAX748" s="28"/>
      <c r="PAY748" s="28"/>
      <c r="PAZ748" s="28"/>
      <c r="PBA748" s="28"/>
      <c r="PBB748" s="28"/>
      <c r="PBC748" s="28"/>
      <c r="PBD748" s="28"/>
      <c r="PBE748" s="28"/>
      <c r="PBF748" s="28"/>
      <c r="PBG748" s="28"/>
      <c r="PBH748" s="28"/>
      <c r="PBI748" s="28"/>
      <c r="PBJ748" s="28"/>
      <c r="PBK748" s="28"/>
      <c r="PBL748" s="28"/>
      <c r="PBM748" s="28"/>
      <c r="PBN748" s="28"/>
      <c r="PBO748" s="28"/>
      <c r="PBP748" s="28"/>
      <c r="PBQ748" s="28"/>
      <c r="PBR748" s="28"/>
      <c r="PBS748" s="28"/>
      <c r="PBT748" s="28"/>
      <c r="PBU748" s="28"/>
      <c r="PBV748" s="28"/>
      <c r="PBW748" s="28"/>
      <c r="PBX748" s="28"/>
      <c r="PBY748" s="28"/>
      <c r="PBZ748" s="28"/>
      <c r="PCA748" s="28"/>
      <c r="PCB748" s="28"/>
      <c r="PCC748" s="28"/>
      <c r="PCD748" s="28"/>
      <c r="PCE748" s="28"/>
      <c r="PCF748" s="28"/>
      <c r="PCG748" s="28"/>
      <c r="PCH748" s="28"/>
      <c r="PCI748" s="28"/>
      <c r="PCJ748" s="28"/>
      <c r="PCK748" s="28"/>
      <c r="PCL748" s="28"/>
      <c r="PCM748" s="28"/>
      <c r="PCN748" s="28"/>
      <c r="PCO748" s="28"/>
      <c r="PCP748" s="28"/>
      <c r="PCQ748" s="28"/>
      <c r="PCR748" s="28"/>
      <c r="PCS748" s="28"/>
      <c r="PCT748" s="28"/>
      <c r="PCU748" s="28"/>
      <c r="PCV748" s="28"/>
      <c r="PCW748" s="28"/>
      <c r="PCX748" s="28"/>
      <c r="PCY748" s="28"/>
      <c r="PCZ748" s="28"/>
      <c r="PDA748" s="28"/>
      <c r="PDB748" s="28"/>
      <c r="PDC748" s="28"/>
      <c r="PDD748" s="28"/>
      <c r="PDE748" s="28"/>
      <c r="PDF748" s="28"/>
      <c r="PDG748" s="28"/>
      <c r="PDH748" s="28"/>
      <c r="PDI748" s="28"/>
      <c r="PDJ748" s="28"/>
      <c r="PDK748" s="28"/>
      <c r="PDL748" s="28"/>
      <c r="PDM748" s="28"/>
      <c r="PDN748" s="28"/>
      <c r="PDO748" s="28"/>
      <c r="PDP748" s="28"/>
      <c r="PDQ748" s="28"/>
      <c r="PDR748" s="28"/>
      <c r="PDS748" s="28"/>
      <c r="PDT748" s="28"/>
      <c r="PDU748" s="28"/>
      <c r="PDV748" s="28"/>
      <c r="PDW748" s="28"/>
      <c r="PDX748" s="28"/>
      <c r="PDY748" s="28"/>
      <c r="PDZ748" s="28"/>
      <c r="PEA748" s="28"/>
      <c r="PEB748" s="28"/>
      <c r="PEC748" s="28"/>
      <c r="PED748" s="28"/>
      <c r="PEE748" s="28"/>
      <c r="PEF748" s="28"/>
      <c r="PEG748" s="28"/>
      <c r="PEH748" s="28"/>
      <c r="PEI748" s="28"/>
      <c r="PEJ748" s="28"/>
      <c r="PEK748" s="28"/>
      <c r="PEL748" s="28"/>
      <c r="PEM748" s="28"/>
      <c r="PEN748" s="28"/>
      <c r="PEO748" s="28"/>
      <c r="PEP748" s="28"/>
      <c r="PEQ748" s="28"/>
      <c r="PER748" s="28"/>
      <c r="PES748" s="28"/>
      <c r="PET748" s="28"/>
      <c r="PEU748" s="28"/>
      <c r="PEV748" s="28"/>
      <c r="PEW748" s="28"/>
      <c r="PEX748" s="28"/>
      <c r="PEY748" s="28"/>
      <c r="PEZ748" s="28"/>
      <c r="PFA748" s="28"/>
      <c r="PFB748" s="28"/>
      <c r="PFC748" s="28"/>
      <c r="PFD748" s="28"/>
      <c r="PFE748" s="28"/>
      <c r="PFF748" s="28"/>
      <c r="PFG748" s="28"/>
      <c r="PFH748" s="28"/>
      <c r="PFI748" s="28"/>
      <c r="PFJ748" s="28"/>
      <c r="PFK748" s="28"/>
      <c r="PFL748" s="28"/>
      <c r="PFM748" s="28"/>
      <c r="PFN748" s="28"/>
      <c r="PFO748" s="28"/>
      <c r="PFP748" s="28"/>
      <c r="PFQ748" s="28"/>
      <c r="PFR748" s="28"/>
      <c r="PFS748" s="28"/>
      <c r="PFT748" s="28"/>
      <c r="PFU748" s="28"/>
      <c r="PFV748" s="28"/>
      <c r="PFW748" s="28"/>
      <c r="PFX748" s="28"/>
      <c r="PFY748" s="28"/>
      <c r="PFZ748" s="28"/>
      <c r="PGA748" s="28"/>
      <c r="PGB748" s="28"/>
      <c r="PGC748" s="28"/>
      <c r="PGD748" s="28"/>
      <c r="PGE748" s="28"/>
      <c r="PGF748" s="28"/>
      <c r="PGG748" s="28"/>
      <c r="PGH748" s="28"/>
      <c r="PGI748" s="28"/>
      <c r="PGJ748" s="28"/>
      <c r="PGK748" s="28"/>
      <c r="PGL748" s="28"/>
      <c r="PGM748" s="28"/>
      <c r="PGN748" s="28"/>
      <c r="PGO748" s="28"/>
      <c r="PGP748" s="28"/>
      <c r="PGQ748" s="28"/>
      <c r="PGR748" s="28"/>
      <c r="PGS748" s="28"/>
      <c r="PGT748" s="28"/>
      <c r="PGU748" s="28"/>
      <c r="PGV748" s="28"/>
      <c r="PGW748" s="28"/>
      <c r="PGX748" s="28"/>
      <c r="PGY748" s="28"/>
      <c r="PGZ748" s="28"/>
      <c r="PHA748" s="28"/>
      <c r="PHB748" s="28"/>
      <c r="PHC748" s="28"/>
      <c r="PHD748" s="28"/>
      <c r="PHE748" s="28"/>
      <c r="PHF748" s="28"/>
      <c r="PHG748" s="28"/>
      <c r="PHH748" s="28"/>
      <c r="PHI748" s="28"/>
      <c r="PHJ748" s="28"/>
      <c r="PHK748" s="28"/>
      <c r="PHL748" s="28"/>
      <c r="PHM748" s="28"/>
      <c r="PHN748" s="28"/>
      <c r="PHO748" s="28"/>
      <c r="PHP748" s="28"/>
      <c r="PHQ748" s="28"/>
      <c r="PHR748" s="28"/>
      <c r="PHS748" s="28"/>
      <c r="PHT748" s="28"/>
      <c r="PHU748" s="28"/>
      <c r="PHV748" s="28"/>
      <c r="PHW748" s="28"/>
      <c r="PHX748" s="28"/>
      <c r="PHY748" s="28"/>
      <c r="PHZ748" s="28"/>
      <c r="PIA748" s="28"/>
      <c r="PIB748" s="28"/>
      <c r="PIC748" s="28"/>
      <c r="PID748" s="28"/>
      <c r="PIE748" s="28"/>
      <c r="PIF748" s="28"/>
      <c r="PIG748" s="28"/>
      <c r="PIH748" s="28"/>
      <c r="PII748" s="28"/>
      <c r="PIJ748" s="28"/>
      <c r="PIK748" s="28"/>
      <c r="PIL748" s="28"/>
      <c r="PIM748" s="28"/>
      <c r="PIN748" s="28"/>
      <c r="PIO748" s="28"/>
      <c r="PIP748" s="28"/>
      <c r="PIQ748" s="28"/>
      <c r="PIR748" s="28"/>
      <c r="PIS748" s="28"/>
      <c r="PIT748" s="28"/>
      <c r="PIU748" s="28"/>
      <c r="PIV748" s="28"/>
      <c r="PIW748" s="28"/>
      <c r="PIX748" s="28"/>
      <c r="PIY748" s="28"/>
      <c r="PIZ748" s="28"/>
      <c r="PJA748" s="28"/>
      <c r="PJB748" s="28"/>
      <c r="PJC748" s="28"/>
      <c r="PJD748" s="28"/>
      <c r="PJE748" s="28"/>
      <c r="PJF748" s="28"/>
      <c r="PJG748" s="28"/>
      <c r="PJH748" s="28"/>
      <c r="PJI748" s="28"/>
      <c r="PJJ748" s="28"/>
      <c r="PJK748" s="28"/>
      <c r="PJL748" s="28"/>
      <c r="PJM748" s="28"/>
      <c r="PJN748" s="28"/>
      <c r="PJO748" s="28"/>
      <c r="PJP748" s="28"/>
      <c r="PJQ748" s="28"/>
      <c r="PJR748" s="28"/>
      <c r="PJS748" s="28"/>
      <c r="PJT748" s="28"/>
      <c r="PJU748" s="28"/>
      <c r="PJV748" s="28"/>
      <c r="PJW748" s="28"/>
      <c r="PJX748" s="28"/>
      <c r="PJY748" s="28"/>
      <c r="PJZ748" s="28"/>
      <c r="PKA748" s="28"/>
      <c r="PKB748" s="28"/>
      <c r="PKC748" s="28"/>
      <c r="PKD748" s="28"/>
      <c r="PKE748" s="28"/>
      <c r="PKF748" s="28"/>
      <c r="PKG748" s="28"/>
      <c r="PKH748" s="28"/>
      <c r="PKI748" s="28"/>
      <c r="PKJ748" s="28"/>
      <c r="PKK748" s="28"/>
      <c r="PKL748" s="28"/>
      <c r="PKM748" s="28"/>
      <c r="PKN748" s="28"/>
      <c r="PKO748" s="28"/>
      <c r="PKP748" s="28"/>
      <c r="PKQ748" s="28"/>
      <c r="PKR748" s="28"/>
      <c r="PKS748" s="28"/>
      <c r="PKT748" s="28"/>
      <c r="PKU748" s="28"/>
      <c r="PKV748" s="28"/>
      <c r="PKW748" s="28"/>
      <c r="PKX748" s="28"/>
      <c r="PKY748" s="28"/>
      <c r="PKZ748" s="28"/>
      <c r="PLA748" s="28"/>
      <c r="PLB748" s="28"/>
      <c r="PLC748" s="28"/>
      <c r="PLD748" s="28"/>
      <c r="PLE748" s="28"/>
      <c r="PLF748" s="28"/>
      <c r="PLG748" s="28"/>
      <c r="PLH748" s="28"/>
      <c r="PLI748" s="28"/>
      <c r="PLJ748" s="28"/>
      <c r="PLK748" s="28"/>
      <c r="PLL748" s="28"/>
      <c r="PLM748" s="28"/>
      <c r="PLN748" s="28"/>
      <c r="PLO748" s="28"/>
      <c r="PLP748" s="28"/>
      <c r="PLQ748" s="28"/>
      <c r="PLR748" s="28"/>
      <c r="PLS748" s="28"/>
      <c r="PLT748" s="28"/>
      <c r="PLU748" s="28"/>
      <c r="PLV748" s="28"/>
      <c r="PLW748" s="28"/>
      <c r="PLX748" s="28"/>
      <c r="PLY748" s="28"/>
      <c r="PLZ748" s="28"/>
      <c r="PMA748" s="28"/>
      <c r="PMB748" s="28"/>
      <c r="PMC748" s="28"/>
      <c r="PMD748" s="28"/>
      <c r="PME748" s="28"/>
      <c r="PMF748" s="28"/>
      <c r="PMG748" s="28"/>
      <c r="PMH748" s="28"/>
      <c r="PMI748" s="28"/>
      <c r="PMJ748" s="28"/>
      <c r="PMK748" s="28"/>
      <c r="PML748" s="28"/>
      <c r="PMM748" s="28"/>
      <c r="PMN748" s="28"/>
      <c r="PMO748" s="28"/>
      <c r="PMP748" s="28"/>
      <c r="PMQ748" s="28"/>
      <c r="PMR748" s="28"/>
      <c r="PMS748" s="28"/>
      <c r="PMT748" s="28"/>
      <c r="PMU748" s="28"/>
      <c r="PMV748" s="28"/>
      <c r="PMW748" s="28"/>
      <c r="PMX748" s="28"/>
      <c r="PMY748" s="28"/>
      <c r="PMZ748" s="28"/>
      <c r="PNA748" s="28"/>
      <c r="PNB748" s="28"/>
      <c r="PNC748" s="28"/>
      <c r="PND748" s="28"/>
      <c r="PNE748" s="28"/>
      <c r="PNF748" s="28"/>
      <c r="PNG748" s="28"/>
      <c r="PNH748" s="28"/>
      <c r="PNI748" s="28"/>
      <c r="PNJ748" s="28"/>
      <c r="PNK748" s="28"/>
      <c r="PNL748" s="28"/>
      <c r="PNM748" s="28"/>
      <c r="PNN748" s="28"/>
      <c r="PNO748" s="28"/>
      <c r="PNP748" s="28"/>
      <c r="PNQ748" s="28"/>
      <c r="PNR748" s="28"/>
      <c r="PNS748" s="28"/>
      <c r="PNT748" s="28"/>
      <c r="PNU748" s="28"/>
      <c r="PNV748" s="28"/>
      <c r="PNW748" s="28"/>
      <c r="PNX748" s="28"/>
      <c r="PNY748" s="28"/>
      <c r="PNZ748" s="28"/>
      <c r="POA748" s="28"/>
      <c r="POB748" s="28"/>
      <c r="POC748" s="28"/>
      <c r="POD748" s="28"/>
      <c r="POE748" s="28"/>
      <c r="POF748" s="28"/>
      <c r="POG748" s="28"/>
      <c r="POH748" s="28"/>
      <c r="POI748" s="28"/>
      <c r="POJ748" s="28"/>
      <c r="POK748" s="28"/>
      <c r="POL748" s="28"/>
      <c r="POM748" s="28"/>
      <c r="PON748" s="28"/>
      <c r="POO748" s="28"/>
      <c r="POP748" s="28"/>
      <c r="POQ748" s="28"/>
      <c r="POR748" s="28"/>
      <c r="POS748" s="28"/>
      <c r="POT748" s="28"/>
      <c r="POU748" s="28"/>
      <c r="POV748" s="28"/>
      <c r="POW748" s="28"/>
      <c r="POX748" s="28"/>
      <c r="POY748" s="28"/>
      <c r="POZ748" s="28"/>
      <c r="PPA748" s="28"/>
      <c r="PPB748" s="28"/>
      <c r="PPC748" s="28"/>
      <c r="PPD748" s="28"/>
      <c r="PPE748" s="28"/>
      <c r="PPF748" s="28"/>
      <c r="PPG748" s="28"/>
      <c r="PPH748" s="28"/>
      <c r="PPI748" s="28"/>
      <c r="PPJ748" s="28"/>
      <c r="PPK748" s="28"/>
      <c r="PPL748" s="28"/>
      <c r="PPM748" s="28"/>
      <c r="PPN748" s="28"/>
      <c r="PPO748" s="28"/>
      <c r="PPP748" s="28"/>
      <c r="PPQ748" s="28"/>
      <c r="PPR748" s="28"/>
      <c r="PPS748" s="28"/>
      <c r="PPT748" s="28"/>
      <c r="PPU748" s="28"/>
      <c r="PPV748" s="28"/>
      <c r="PPW748" s="28"/>
      <c r="PPX748" s="28"/>
      <c r="PPY748" s="28"/>
      <c r="PPZ748" s="28"/>
      <c r="PQA748" s="28"/>
      <c r="PQB748" s="28"/>
      <c r="PQC748" s="28"/>
      <c r="PQD748" s="28"/>
      <c r="PQE748" s="28"/>
      <c r="PQF748" s="28"/>
      <c r="PQG748" s="28"/>
      <c r="PQH748" s="28"/>
      <c r="PQI748" s="28"/>
      <c r="PQJ748" s="28"/>
      <c r="PQK748" s="28"/>
      <c r="PQL748" s="28"/>
      <c r="PQM748" s="28"/>
      <c r="PQN748" s="28"/>
      <c r="PQO748" s="28"/>
      <c r="PQP748" s="28"/>
      <c r="PQQ748" s="28"/>
      <c r="PQR748" s="28"/>
      <c r="PQS748" s="28"/>
      <c r="PQT748" s="28"/>
      <c r="PQU748" s="28"/>
      <c r="PQV748" s="28"/>
      <c r="PQW748" s="28"/>
      <c r="PQX748" s="28"/>
      <c r="PQY748" s="28"/>
      <c r="PQZ748" s="28"/>
      <c r="PRA748" s="28"/>
      <c r="PRB748" s="28"/>
      <c r="PRC748" s="28"/>
      <c r="PRD748" s="28"/>
      <c r="PRE748" s="28"/>
      <c r="PRF748" s="28"/>
      <c r="PRG748" s="28"/>
      <c r="PRH748" s="28"/>
      <c r="PRI748" s="28"/>
      <c r="PRJ748" s="28"/>
      <c r="PRK748" s="28"/>
      <c r="PRL748" s="28"/>
      <c r="PRM748" s="28"/>
      <c r="PRN748" s="28"/>
      <c r="PRO748" s="28"/>
      <c r="PRP748" s="28"/>
      <c r="PRQ748" s="28"/>
      <c r="PRR748" s="28"/>
      <c r="PRS748" s="28"/>
      <c r="PRT748" s="28"/>
      <c r="PRU748" s="28"/>
      <c r="PRV748" s="28"/>
      <c r="PRW748" s="28"/>
      <c r="PRX748" s="28"/>
      <c r="PRY748" s="28"/>
      <c r="PRZ748" s="28"/>
      <c r="PSA748" s="28"/>
      <c r="PSB748" s="28"/>
      <c r="PSC748" s="28"/>
      <c r="PSD748" s="28"/>
      <c r="PSE748" s="28"/>
      <c r="PSF748" s="28"/>
      <c r="PSG748" s="28"/>
      <c r="PSH748" s="28"/>
      <c r="PSI748" s="28"/>
      <c r="PSJ748" s="28"/>
      <c r="PSK748" s="28"/>
      <c r="PSL748" s="28"/>
      <c r="PSM748" s="28"/>
      <c r="PSN748" s="28"/>
      <c r="PSO748" s="28"/>
      <c r="PSP748" s="28"/>
      <c r="PSQ748" s="28"/>
      <c r="PSR748" s="28"/>
      <c r="PSS748" s="28"/>
      <c r="PST748" s="28"/>
      <c r="PSU748" s="28"/>
      <c r="PSV748" s="28"/>
      <c r="PSW748" s="28"/>
      <c r="PSX748" s="28"/>
      <c r="PSY748" s="28"/>
      <c r="PSZ748" s="28"/>
      <c r="PTA748" s="28"/>
      <c r="PTB748" s="28"/>
      <c r="PTC748" s="28"/>
      <c r="PTD748" s="28"/>
      <c r="PTE748" s="28"/>
      <c r="PTF748" s="28"/>
      <c r="PTG748" s="28"/>
      <c r="PTH748" s="28"/>
      <c r="PTI748" s="28"/>
      <c r="PTJ748" s="28"/>
      <c r="PTK748" s="28"/>
      <c r="PTL748" s="28"/>
      <c r="PTM748" s="28"/>
      <c r="PTN748" s="28"/>
      <c r="PTO748" s="28"/>
      <c r="PTP748" s="28"/>
      <c r="PTQ748" s="28"/>
      <c r="PTR748" s="28"/>
      <c r="PTS748" s="28"/>
      <c r="PTT748" s="28"/>
      <c r="PTU748" s="28"/>
      <c r="PTV748" s="28"/>
      <c r="PTW748" s="28"/>
      <c r="PTX748" s="28"/>
      <c r="PTY748" s="28"/>
      <c r="PTZ748" s="28"/>
      <c r="PUA748" s="28"/>
      <c r="PUB748" s="28"/>
      <c r="PUC748" s="28"/>
      <c r="PUD748" s="28"/>
      <c r="PUE748" s="28"/>
      <c r="PUF748" s="28"/>
      <c r="PUG748" s="28"/>
      <c r="PUH748" s="28"/>
      <c r="PUI748" s="28"/>
      <c r="PUJ748" s="28"/>
      <c r="PUK748" s="28"/>
      <c r="PUL748" s="28"/>
      <c r="PUM748" s="28"/>
      <c r="PUN748" s="28"/>
      <c r="PUO748" s="28"/>
      <c r="PUP748" s="28"/>
      <c r="PUQ748" s="28"/>
      <c r="PUR748" s="28"/>
      <c r="PUS748" s="28"/>
      <c r="PUT748" s="28"/>
      <c r="PUU748" s="28"/>
      <c r="PUV748" s="28"/>
      <c r="PUW748" s="28"/>
      <c r="PUX748" s="28"/>
      <c r="PUY748" s="28"/>
      <c r="PUZ748" s="28"/>
      <c r="PVA748" s="28"/>
      <c r="PVB748" s="28"/>
      <c r="PVC748" s="28"/>
      <c r="PVD748" s="28"/>
      <c r="PVE748" s="28"/>
      <c r="PVF748" s="28"/>
      <c r="PVG748" s="28"/>
      <c r="PVH748" s="28"/>
      <c r="PVI748" s="28"/>
      <c r="PVJ748" s="28"/>
      <c r="PVK748" s="28"/>
      <c r="PVL748" s="28"/>
      <c r="PVM748" s="28"/>
      <c r="PVN748" s="28"/>
      <c r="PVO748" s="28"/>
      <c r="PVP748" s="28"/>
      <c r="PVQ748" s="28"/>
      <c r="PVR748" s="28"/>
      <c r="PVS748" s="28"/>
      <c r="PVT748" s="28"/>
      <c r="PVU748" s="28"/>
      <c r="PVV748" s="28"/>
      <c r="PVW748" s="28"/>
      <c r="PVX748" s="28"/>
      <c r="PVY748" s="28"/>
      <c r="PVZ748" s="28"/>
      <c r="PWA748" s="28"/>
      <c r="PWB748" s="28"/>
      <c r="PWC748" s="28"/>
      <c r="PWD748" s="28"/>
      <c r="PWE748" s="28"/>
      <c r="PWF748" s="28"/>
      <c r="PWG748" s="28"/>
      <c r="PWH748" s="28"/>
      <c r="PWI748" s="28"/>
      <c r="PWJ748" s="28"/>
      <c r="PWK748" s="28"/>
      <c r="PWL748" s="28"/>
      <c r="PWM748" s="28"/>
      <c r="PWN748" s="28"/>
      <c r="PWO748" s="28"/>
      <c r="PWP748" s="28"/>
      <c r="PWQ748" s="28"/>
      <c r="PWR748" s="28"/>
      <c r="PWS748" s="28"/>
      <c r="PWT748" s="28"/>
      <c r="PWU748" s="28"/>
      <c r="PWV748" s="28"/>
      <c r="PWW748" s="28"/>
      <c r="PWX748" s="28"/>
      <c r="PWY748" s="28"/>
      <c r="PWZ748" s="28"/>
      <c r="PXA748" s="28"/>
      <c r="PXB748" s="28"/>
      <c r="PXC748" s="28"/>
      <c r="PXD748" s="28"/>
      <c r="PXE748" s="28"/>
      <c r="PXF748" s="28"/>
      <c r="PXG748" s="28"/>
      <c r="PXH748" s="28"/>
      <c r="PXI748" s="28"/>
      <c r="PXJ748" s="28"/>
      <c r="PXK748" s="28"/>
      <c r="PXL748" s="28"/>
      <c r="PXM748" s="28"/>
      <c r="PXN748" s="28"/>
      <c r="PXO748" s="28"/>
      <c r="PXP748" s="28"/>
      <c r="PXQ748" s="28"/>
      <c r="PXR748" s="28"/>
      <c r="PXS748" s="28"/>
      <c r="PXT748" s="28"/>
      <c r="PXU748" s="28"/>
      <c r="PXV748" s="28"/>
      <c r="PXW748" s="28"/>
      <c r="PXX748" s="28"/>
      <c r="PXY748" s="28"/>
      <c r="PXZ748" s="28"/>
      <c r="PYA748" s="28"/>
      <c r="PYB748" s="28"/>
      <c r="PYC748" s="28"/>
      <c r="PYD748" s="28"/>
      <c r="PYE748" s="28"/>
      <c r="PYF748" s="28"/>
      <c r="PYG748" s="28"/>
      <c r="PYH748" s="28"/>
      <c r="PYI748" s="28"/>
      <c r="PYJ748" s="28"/>
      <c r="PYK748" s="28"/>
      <c r="PYL748" s="28"/>
      <c r="PYM748" s="28"/>
      <c r="PYN748" s="28"/>
      <c r="PYO748" s="28"/>
      <c r="PYP748" s="28"/>
      <c r="PYQ748" s="28"/>
      <c r="PYR748" s="28"/>
      <c r="PYS748" s="28"/>
      <c r="PYT748" s="28"/>
      <c r="PYU748" s="28"/>
      <c r="PYV748" s="28"/>
      <c r="PYW748" s="28"/>
      <c r="PYX748" s="28"/>
      <c r="PYY748" s="28"/>
      <c r="PYZ748" s="28"/>
      <c r="PZA748" s="28"/>
      <c r="PZB748" s="28"/>
      <c r="PZC748" s="28"/>
      <c r="PZD748" s="28"/>
      <c r="PZE748" s="28"/>
      <c r="PZF748" s="28"/>
      <c r="PZG748" s="28"/>
      <c r="PZH748" s="28"/>
      <c r="PZI748" s="28"/>
      <c r="PZJ748" s="28"/>
      <c r="PZK748" s="28"/>
      <c r="PZL748" s="28"/>
      <c r="PZM748" s="28"/>
      <c r="PZN748" s="28"/>
      <c r="PZO748" s="28"/>
      <c r="PZP748" s="28"/>
      <c r="PZQ748" s="28"/>
      <c r="PZR748" s="28"/>
      <c r="PZS748" s="28"/>
      <c r="PZT748" s="28"/>
      <c r="PZU748" s="28"/>
      <c r="PZV748" s="28"/>
      <c r="PZW748" s="28"/>
      <c r="PZX748" s="28"/>
      <c r="PZY748" s="28"/>
      <c r="PZZ748" s="28"/>
      <c r="QAA748" s="28"/>
      <c r="QAB748" s="28"/>
      <c r="QAC748" s="28"/>
      <c r="QAD748" s="28"/>
      <c r="QAE748" s="28"/>
      <c r="QAF748" s="28"/>
      <c r="QAG748" s="28"/>
      <c r="QAH748" s="28"/>
      <c r="QAI748" s="28"/>
      <c r="QAJ748" s="28"/>
      <c r="QAK748" s="28"/>
      <c r="QAL748" s="28"/>
      <c r="QAM748" s="28"/>
      <c r="QAN748" s="28"/>
      <c r="QAO748" s="28"/>
      <c r="QAP748" s="28"/>
      <c r="QAQ748" s="28"/>
      <c r="QAR748" s="28"/>
      <c r="QAS748" s="28"/>
      <c r="QAT748" s="28"/>
      <c r="QAU748" s="28"/>
      <c r="QAV748" s="28"/>
      <c r="QAW748" s="28"/>
      <c r="QAX748" s="28"/>
      <c r="QAY748" s="28"/>
      <c r="QAZ748" s="28"/>
      <c r="QBA748" s="28"/>
      <c r="QBB748" s="28"/>
      <c r="QBC748" s="28"/>
      <c r="QBD748" s="28"/>
      <c r="QBE748" s="28"/>
      <c r="QBF748" s="28"/>
      <c r="QBG748" s="28"/>
      <c r="QBH748" s="28"/>
      <c r="QBI748" s="28"/>
      <c r="QBJ748" s="28"/>
      <c r="QBK748" s="28"/>
      <c r="QBL748" s="28"/>
      <c r="QBM748" s="28"/>
      <c r="QBN748" s="28"/>
      <c r="QBO748" s="28"/>
      <c r="QBP748" s="28"/>
      <c r="QBQ748" s="28"/>
      <c r="QBR748" s="28"/>
      <c r="QBS748" s="28"/>
      <c r="QBT748" s="28"/>
      <c r="QBU748" s="28"/>
      <c r="QBV748" s="28"/>
      <c r="QBW748" s="28"/>
      <c r="QBX748" s="28"/>
      <c r="QBY748" s="28"/>
      <c r="QBZ748" s="28"/>
      <c r="QCA748" s="28"/>
      <c r="QCB748" s="28"/>
      <c r="QCC748" s="28"/>
      <c r="QCD748" s="28"/>
      <c r="QCE748" s="28"/>
      <c r="QCF748" s="28"/>
      <c r="QCG748" s="28"/>
      <c r="QCH748" s="28"/>
      <c r="QCI748" s="28"/>
      <c r="QCJ748" s="28"/>
      <c r="QCK748" s="28"/>
      <c r="QCL748" s="28"/>
      <c r="QCM748" s="28"/>
      <c r="QCN748" s="28"/>
      <c r="QCO748" s="28"/>
      <c r="QCP748" s="28"/>
      <c r="QCQ748" s="28"/>
      <c r="QCR748" s="28"/>
      <c r="QCS748" s="28"/>
      <c r="QCT748" s="28"/>
      <c r="QCU748" s="28"/>
      <c r="QCV748" s="28"/>
      <c r="QCW748" s="28"/>
      <c r="QCX748" s="28"/>
      <c r="QCY748" s="28"/>
      <c r="QCZ748" s="28"/>
      <c r="QDA748" s="28"/>
      <c r="QDB748" s="28"/>
      <c r="QDC748" s="28"/>
      <c r="QDD748" s="28"/>
      <c r="QDE748" s="28"/>
      <c r="QDF748" s="28"/>
      <c r="QDG748" s="28"/>
      <c r="QDH748" s="28"/>
      <c r="QDI748" s="28"/>
      <c r="QDJ748" s="28"/>
      <c r="QDK748" s="28"/>
      <c r="QDL748" s="28"/>
      <c r="QDM748" s="28"/>
      <c r="QDN748" s="28"/>
      <c r="QDO748" s="28"/>
      <c r="QDP748" s="28"/>
      <c r="QDQ748" s="28"/>
      <c r="QDR748" s="28"/>
      <c r="QDS748" s="28"/>
      <c r="QDT748" s="28"/>
      <c r="QDU748" s="28"/>
      <c r="QDV748" s="28"/>
      <c r="QDW748" s="28"/>
      <c r="QDX748" s="28"/>
      <c r="QDY748" s="28"/>
      <c r="QDZ748" s="28"/>
      <c r="QEA748" s="28"/>
      <c r="QEB748" s="28"/>
      <c r="QEC748" s="28"/>
      <c r="QED748" s="28"/>
      <c r="QEE748" s="28"/>
      <c r="QEF748" s="28"/>
      <c r="QEG748" s="28"/>
      <c r="QEH748" s="28"/>
      <c r="QEI748" s="28"/>
      <c r="QEJ748" s="28"/>
      <c r="QEK748" s="28"/>
      <c r="QEL748" s="28"/>
      <c r="QEM748" s="28"/>
      <c r="QEN748" s="28"/>
      <c r="QEO748" s="28"/>
      <c r="QEP748" s="28"/>
      <c r="QEQ748" s="28"/>
      <c r="QER748" s="28"/>
      <c r="QES748" s="28"/>
      <c r="QET748" s="28"/>
      <c r="QEU748" s="28"/>
      <c r="QEV748" s="28"/>
      <c r="QEW748" s="28"/>
      <c r="QEX748" s="28"/>
      <c r="QEY748" s="28"/>
      <c r="QEZ748" s="28"/>
      <c r="QFA748" s="28"/>
      <c r="QFB748" s="28"/>
      <c r="QFC748" s="28"/>
      <c r="QFD748" s="28"/>
      <c r="QFE748" s="28"/>
      <c r="QFF748" s="28"/>
      <c r="QFG748" s="28"/>
      <c r="QFH748" s="28"/>
      <c r="QFI748" s="28"/>
      <c r="QFJ748" s="28"/>
      <c r="QFK748" s="28"/>
      <c r="QFL748" s="28"/>
      <c r="QFM748" s="28"/>
      <c r="QFN748" s="28"/>
      <c r="QFO748" s="28"/>
      <c r="QFP748" s="28"/>
      <c r="QFQ748" s="28"/>
      <c r="QFR748" s="28"/>
      <c r="QFS748" s="28"/>
      <c r="QFT748" s="28"/>
      <c r="QFU748" s="28"/>
      <c r="QFV748" s="28"/>
      <c r="QFW748" s="28"/>
      <c r="QFX748" s="28"/>
      <c r="QFY748" s="28"/>
      <c r="QFZ748" s="28"/>
      <c r="QGA748" s="28"/>
      <c r="QGB748" s="28"/>
      <c r="QGC748" s="28"/>
      <c r="QGD748" s="28"/>
      <c r="QGE748" s="28"/>
      <c r="QGF748" s="28"/>
      <c r="QGG748" s="28"/>
      <c r="QGH748" s="28"/>
      <c r="QGI748" s="28"/>
      <c r="QGJ748" s="28"/>
      <c r="QGK748" s="28"/>
      <c r="QGL748" s="28"/>
      <c r="QGM748" s="28"/>
      <c r="QGN748" s="28"/>
      <c r="QGO748" s="28"/>
      <c r="QGP748" s="28"/>
      <c r="QGQ748" s="28"/>
      <c r="QGR748" s="28"/>
      <c r="QGS748" s="28"/>
      <c r="QGT748" s="28"/>
      <c r="QGU748" s="28"/>
      <c r="QGV748" s="28"/>
      <c r="QGW748" s="28"/>
      <c r="QGX748" s="28"/>
      <c r="QGY748" s="28"/>
      <c r="QGZ748" s="28"/>
      <c r="QHA748" s="28"/>
      <c r="QHB748" s="28"/>
      <c r="QHC748" s="28"/>
      <c r="QHD748" s="28"/>
      <c r="QHE748" s="28"/>
      <c r="QHF748" s="28"/>
      <c r="QHG748" s="28"/>
      <c r="QHH748" s="28"/>
      <c r="QHI748" s="28"/>
      <c r="QHJ748" s="28"/>
      <c r="QHK748" s="28"/>
      <c r="QHL748" s="28"/>
      <c r="QHM748" s="28"/>
      <c r="QHN748" s="28"/>
      <c r="QHO748" s="28"/>
      <c r="QHP748" s="28"/>
      <c r="QHQ748" s="28"/>
      <c r="QHR748" s="28"/>
      <c r="QHS748" s="28"/>
      <c r="QHT748" s="28"/>
      <c r="QHU748" s="28"/>
      <c r="QHV748" s="28"/>
      <c r="QHW748" s="28"/>
      <c r="QHX748" s="28"/>
      <c r="QHY748" s="28"/>
      <c r="QHZ748" s="28"/>
      <c r="QIA748" s="28"/>
      <c r="QIB748" s="28"/>
      <c r="QIC748" s="28"/>
      <c r="QID748" s="28"/>
      <c r="QIE748" s="28"/>
      <c r="QIF748" s="28"/>
      <c r="QIG748" s="28"/>
      <c r="QIH748" s="28"/>
      <c r="QII748" s="28"/>
      <c r="QIJ748" s="28"/>
      <c r="QIK748" s="28"/>
      <c r="QIL748" s="28"/>
      <c r="QIM748" s="28"/>
      <c r="QIN748" s="28"/>
      <c r="QIO748" s="28"/>
      <c r="QIP748" s="28"/>
      <c r="QIQ748" s="28"/>
      <c r="QIR748" s="28"/>
      <c r="QIS748" s="28"/>
      <c r="QIT748" s="28"/>
      <c r="QIU748" s="28"/>
      <c r="QIV748" s="28"/>
      <c r="QIW748" s="28"/>
      <c r="QIX748" s="28"/>
      <c r="QIY748" s="28"/>
      <c r="QIZ748" s="28"/>
      <c r="QJA748" s="28"/>
      <c r="QJB748" s="28"/>
      <c r="QJC748" s="28"/>
      <c r="QJD748" s="28"/>
      <c r="QJE748" s="28"/>
      <c r="QJF748" s="28"/>
      <c r="QJG748" s="28"/>
      <c r="QJH748" s="28"/>
      <c r="QJI748" s="28"/>
      <c r="QJJ748" s="28"/>
      <c r="QJK748" s="28"/>
      <c r="QJL748" s="28"/>
      <c r="QJM748" s="28"/>
      <c r="QJN748" s="28"/>
      <c r="QJO748" s="28"/>
      <c r="QJP748" s="28"/>
      <c r="QJQ748" s="28"/>
      <c r="QJR748" s="28"/>
      <c r="QJS748" s="28"/>
      <c r="QJT748" s="28"/>
      <c r="QJU748" s="28"/>
      <c r="QJV748" s="28"/>
      <c r="QJW748" s="28"/>
      <c r="QJX748" s="28"/>
      <c r="QJY748" s="28"/>
      <c r="QJZ748" s="28"/>
      <c r="QKA748" s="28"/>
      <c r="QKB748" s="28"/>
      <c r="QKC748" s="28"/>
      <c r="QKD748" s="28"/>
      <c r="QKE748" s="28"/>
      <c r="QKF748" s="28"/>
      <c r="QKG748" s="28"/>
      <c r="QKH748" s="28"/>
      <c r="QKI748" s="28"/>
      <c r="QKJ748" s="28"/>
      <c r="QKK748" s="28"/>
      <c r="QKL748" s="28"/>
      <c r="QKM748" s="28"/>
      <c r="QKN748" s="28"/>
      <c r="QKO748" s="28"/>
      <c r="QKP748" s="28"/>
      <c r="QKQ748" s="28"/>
      <c r="QKR748" s="28"/>
      <c r="QKS748" s="28"/>
      <c r="QKT748" s="28"/>
      <c r="QKU748" s="28"/>
      <c r="QKV748" s="28"/>
      <c r="QKW748" s="28"/>
      <c r="QKX748" s="28"/>
      <c r="QKY748" s="28"/>
      <c r="QKZ748" s="28"/>
      <c r="QLA748" s="28"/>
      <c r="QLB748" s="28"/>
      <c r="QLC748" s="28"/>
      <c r="QLD748" s="28"/>
      <c r="QLE748" s="28"/>
      <c r="QLF748" s="28"/>
      <c r="QLG748" s="28"/>
      <c r="QLH748" s="28"/>
      <c r="QLI748" s="28"/>
      <c r="QLJ748" s="28"/>
      <c r="QLK748" s="28"/>
      <c r="QLL748" s="28"/>
      <c r="QLM748" s="28"/>
      <c r="QLN748" s="28"/>
      <c r="QLO748" s="28"/>
      <c r="QLP748" s="28"/>
      <c r="QLQ748" s="28"/>
      <c r="QLR748" s="28"/>
      <c r="QLS748" s="28"/>
      <c r="QLT748" s="28"/>
      <c r="QLU748" s="28"/>
      <c r="QLV748" s="28"/>
      <c r="QLW748" s="28"/>
      <c r="QLX748" s="28"/>
      <c r="QLY748" s="28"/>
      <c r="QLZ748" s="28"/>
      <c r="QMA748" s="28"/>
      <c r="QMB748" s="28"/>
      <c r="QMC748" s="28"/>
      <c r="QMD748" s="28"/>
      <c r="QME748" s="28"/>
      <c r="QMF748" s="28"/>
      <c r="QMG748" s="28"/>
      <c r="QMH748" s="28"/>
      <c r="QMI748" s="28"/>
      <c r="QMJ748" s="28"/>
      <c r="QMK748" s="28"/>
      <c r="QML748" s="28"/>
      <c r="QMM748" s="28"/>
      <c r="QMN748" s="28"/>
      <c r="QMO748" s="28"/>
      <c r="QMP748" s="28"/>
      <c r="QMQ748" s="28"/>
      <c r="QMR748" s="28"/>
      <c r="QMS748" s="28"/>
      <c r="QMT748" s="28"/>
      <c r="QMU748" s="28"/>
      <c r="QMV748" s="28"/>
      <c r="QMW748" s="28"/>
      <c r="QMX748" s="28"/>
      <c r="QMY748" s="28"/>
      <c r="QMZ748" s="28"/>
      <c r="QNA748" s="28"/>
      <c r="QNB748" s="28"/>
      <c r="QNC748" s="28"/>
      <c r="QND748" s="28"/>
      <c r="QNE748" s="28"/>
      <c r="QNF748" s="28"/>
      <c r="QNG748" s="28"/>
      <c r="QNH748" s="28"/>
      <c r="QNI748" s="28"/>
      <c r="QNJ748" s="28"/>
      <c r="QNK748" s="28"/>
      <c r="QNL748" s="28"/>
      <c r="QNM748" s="28"/>
      <c r="QNN748" s="28"/>
      <c r="QNO748" s="28"/>
      <c r="QNP748" s="28"/>
      <c r="QNQ748" s="28"/>
      <c r="QNR748" s="28"/>
      <c r="QNS748" s="28"/>
      <c r="QNT748" s="28"/>
      <c r="QNU748" s="28"/>
      <c r="QNV748" s="28"/>
      <c r="QNW748" s="28"/>
      <c r="QNX748" s="28"/>
      <c r="QNY748" s="28"/>
      <c r="QNZ748" s="28"/>
      <c r="QOA748" s="28"/>
      <c r="QOB748" s="28"/>
      <c r="QOC748" s="28"/>
      <c r="QOD748" s="28"/>
      <c r="QOE748" s="28"/>
      <c r="QOF748" s="28"/>
      <c r="QOG748" s="28"/>
      <c r="QOH748" s="28"/>
      <c r="QOI748" s="28"/>
      <c r="QOJ748" s="28"/>
      <c r="QOK748" s="28"/>
      <c r="QOL748" s="28"/>
      <c r="QOM748" s="28"/>
      <c r="QON748" s="28"/>
      <c r="QOO748" s="28"/>
      <c r="QOP748" s="28"/>
      <c r="QOQ748" s="28"/>
      <c r="QOR748" s="28"/>
      <c r="QOS748" s="28"/>
      <c r="QOT748" s="28"/>
      <c r="QOU748" s="28"/>
      <c r="QOV748" s="28"/>
      <c r="QOW748" s="28"/>
      <c r="QOX748" s="28"/>
      <c r="QOY748" s="28"/>
      <c r="QOZ748" s="28"/>
      <c r="QPA748" s="28"/>
      <c r="QPB748" s="28"/>
      <c r="QPC748" s="28"/>
      <c r="QPD748" s="28"/>
      <c r="QPE748" s="28"/>
      <c r="QPF748" s="28"/>
      <c r="QPG748" s="28"/>
      <c r="QPH748" s="28"/>
      <c r="QPI748" s="28"/>
      <c r="QPJ748" s="28"/>
      <c r="QPK748" s="28"/>
      <c r="QPL748" s="28"/>
      <c r="QPM748" s="28"/>
      <c r="QPN748" s="28"/>
      <c r="QPO748" s="28"/>
      <c r="QPP748" s="28"/>
      <c r="QPQ748" s="28"/>
      <c r="QPR748" s="28"/>
      <c r="QPS748" s="28"/>
      <c r="QPT748" s="28"/>
      <c r="QPU748" s="28"/>
      <c r="QPV748" s="28"/>
      <c r="QPW748" s="28"/>
      <c r="QPX748" s="28"/>
      <c r="QPY748" s="28"/>
      <c r="QPZ748" s="28"/>
      <c r="QQA748" s="28"/>
      <c r="QQB748" s="28"/>
      <c r="QQC748" s="28"/>
      <c r="QQD748" s="28"/>
      <c r="QQE748" s="28"/>
      <c r="QQF748" s="28"/>
      <c r="QQG748" s="28"/>
      <c r="QQH748" s="28"/>
      <c r="QQI748" s="28"/>
      <c r="QQJ748" s="28"/>
      <c r="QQK748" s="28"/>
      <c r="QQL748" s="28"/>
      <c r="QQM748" s="28"/>
      <c r="QQN748" s="28"/>
      <c r="QQO748" s="28"/>
      <c r="QQP748" s="28"/>
      <c r="QQQ748" s="28"/>
      <c r="QQR748" s="28"/>
      <c r="QQS748" s="28"/>
      <c r="QQT748" s="28"/>
      <c r="QQU748" s="28"/>
      <c r="QQV748" s="28"/>
      <c r="QQW748" s="28"/>
      <c r="QQX748" s="28"/>
      <c r="QQY748" s="28"/>
      <c r="QQZ748" s="28"/>
      <c r="QRA748" s="28"/>
      <c r="QRB748" s="28"/>
      <c r="QRC748" s="28"/>
      <c r="QRD748" s="28"/>
      <c r="QRE748" s="28"/>
      <c r="QRF748" s="28"/>
      <c r="QRG748" s="28"/>
      <c r="QRH748" s="28"/>
      <c r="QRI748" s="28"/>
      <c r="QRJ748" s="28"/>
      <c r="QRK748" s="28"/>
      <c r="QRL748" s="28"/>
      <c r="QRM748" s="28"/>
      <c r="QRN748" s="28"/>
      <c r="QRO748" s="28"/>
      <c r="QRP748" s="28"/>
      <c r="QRQ748" s="28"/>
      <c r="QRR748" s="28"/>
      <c r="QRS748" s="28"/>
      <c r="QRT748" s="28"/>
      <c r="QRU748" s="28"/>
      <c r="QRV748" s="28"/>
      <c r="QRW748" s="28"/>
      <c r="QRX748" s="28"/>
      <c r="QRY748" s="28"/>
      <c r="QRZ748" s="28"/>
      <c r="QSA748" s="28"/>
      <c r="QSB748" s="28"/>
      <c r="QSC748" s="28"/>
      <c r="QSD748" s="28"/>
      <c r="QSE748" s="28"/>
      <c r="QSF748" s="28"/>
      <c r="QSG748" s="28"/>
      <c r="QSH748" s="28"/>
      <c r="QSI748" s="28"/>
      <c r="QSJ748" s="28"/>
      <c r="QSK748" s="28"/>
      <c r="QSL748" s="28"/>
      <c r="QSM748" s="28"/>
      <c r="QSN748" s="28"/>
      <c r="QSO748" s="28"/>
      <c r="QSP748" s="28"/>
      <c r="QSQ748" s="28"/>
      <c r="QSR748" s="28"/>
      <c r="QSS748" s="28"/>
      <c r="QST748" s="28"/>
      <c r="QSU748" s="28"/>
      <c r="QSV748" s="28"/>
      <c r="QSW748" s="28"/>
      <c r="QSX748" s="28"/>
      <c r="QSY748" s="28"/>
      <c r="QSZ748" s="28"/>
      <c r="QTA748" s="28"/>
      <c r="QTB748" s="28"/>
      <c r="QTC748" s="28"/>
      <c r="QTD748" s="28"/>
      <c r="QTE748" s="28"/>
      <c r="QTF748" s="28"/>
      <c r="QTG748" s="28"/>
      <c r="QTH748" s="28"/>
      <c r="QTI748" s="28"/>
      <c r="QTJ748" s="28"/>
      <c r="QTK748" s="28"/>
      <c r="QTL748" s="28"/>
      <c r="QTM748" s="28"/>
      <c r="QTN748" s="28"/>
      <c r="QTO748" s="28"/>
      <c r="QTP748" s="28"/>
      <c r="QTQ748" s="28"/>
      <c r="QTR748" s="28"/>
      <c r="QTS748" s="28"/>
      <c r="QTT748" s="28"/>
      <c r="QTU748" s="28"/>
      <c r="QTV748" s="28"/>
      <c r="QTW748" s="28"/>
      <c r="QTX748" s="28"/>
      <c r="QTY748" s="28"/>
      <c r="QTZ748" s="28"/>
      <c r="QUA748" s="28"/>
      <c r="QUB748" s="28"/>
      <c r="QUC748" s="28"/>
      <c r="QUD748" s="28"/>
      <c r="QUE748" s="28"/>
      <c r="QUF748" s="28"/>
      <c r="QUG748" s="28"/>
      <c r="QUH748" s="28"/>
      <c r="QUI748" s="28"/>
      <c r="QUJ748" s="28"/>
      <c r="QUK748" s="28"/>
      <c r="QUL748" s="28"/>
      <c r="QUM748" s="28"/>
      <c r="QUN748" s="28"/>
      <c r="QUO748" s="28"/>
      <c r="QUP748" s="28"/>
      <c r="QUQ748" s="28"/>
      <c r="QUR748" s="28"/>
      <c r="QUS748" s="28"/>
      <c r="QUT748" s="28"/>
      <c r="QUU748" s="28"/>
      <c r="QUV748" s="28"/>
      <c r="QUW748" s="28"/>
      <c r="QUX748" s="28"/>
      <c r="QUY748" s="28"/>
      <c r="QUZ748" s="28"/>
      <c r="QVA748" s="28"/>
      <c r="QVB748" s="28"/>
      <c r="QVC748" s="28"/>
      <c r="QVD748" s="28"/>
      <c r="QVE748" s="28"/>
      <c r="QVF748" s="28"/>
      <c r="QVG748" s="28"/>
      <c r="QVH748" s="28"/>
      <c r="QVI748" s="28"/>
      <c r="QVJ748" s="28"/>
      <c r="QVK748" s="28"/>
      <c r="QVL748" s="28"/>
      <c r="QVM748" s="28"/>
      <c r="QVN748" s="28"/>
      <c r="QVO748" s="28"/>
      <c r="QVP748" s="28"/>
      <c r="QVQ748" s="28"/>
      <c r="QVR748" s="28"/>
      <c r="QVS748" s="28"/>
      <c r="QVT748" s="28"/>
      <c r="QVU748" s="28"/>
      <c r="QVV748" s="28"/>
      <c r="QVW748" s="28"/>
      <c r="QVX748" s="28"/>
      <c r="QVY748" s="28"/>
      <c r="QVZ748" s="28"/>
      <c r="QWA748" s="28"/>
      <c r="QWB748" s="28"/>
      <c r="QWC748" s="28"/>
      <c r="QWD748" s="28"/>
      <c r="QWE748" s="28"/>
      <c r="QWF748" s="28"/>
      <c r="QWG748" s="28"/>
      <c r="QWH748" s="28"/>
      <c r="QWI748" s="28"/>
      <c r="QWJ748" s="28"/>
      <c r="QWK748" s="28"/>
      <c r="QWL748" s="28"/>
      <c r="QWM748" s="28"/>
      <c r="QWN748" s="28"/>
      <c r="QWO748" s="28"/>
      <c r="QWP748" s="28"/>
      <c r="QWQ748" s="28"/>
      <c r="QWR748" s="28"/>
      <c r="QWS748" s="28"/>
      <c r="QWT748" s="28"/>
      <c r="QWU748" s="28"/>
      <c r="QWV748" s="28"/>
      <c r="QWW748" s="28"/>
      <c r="QWX748" s="28"/>
      <c r="QWY748" s="28"/>
      <c r="QWZ748" s="28"/>
      <c r="QXA748" s="28"/>
      <c r="QXB748" s="28"/>
      <c r="QXC748" s="28"/>
      <c r="QXD748" s="28"/>
      <c r="QXE748" s="28"/>
      <c r="QXF748" s="28"/>
      <c r="QXG748" s="28"/>
      <c r="QXH748" s="28"/>
      <c r="QXI748" s="28"/>
      <c r="QXJ748" s="28"/>
      <c r="QXK748" s="28"/>
      <c r="QXL748" s="28"/>
      <c r="QXM748" s="28"/>
      <c r="QXN748" s="28"/>
      <c r="QXO748" s="28"/>
      <c r="QXP748" s="28"/>
      <c r="QXQ748" s="28"/>
      <c r="QXR748" s="28"/>
      <c r="QXS748" s="28"/>
      <c r="QXT748" s="28"/>
      <c r="QXU748" s="28"/>
      <c r="QXV748" s="28"/>
      <c r="QXW748" s="28"/>
      <c r="QXX748" s="28"/>
      <c r="QXY748" s="28"/>
      <c r="QXZ748" s="28"/>
      <c r="QYA748" s="28"/>
      <c r="QYB748" s="28"/>
      <c r="QYC748" s="28"/>
      <c r="QYD748" s="28"/>
      <c r="QYE748" s="28"/>
      <c r="QYF748" s="28"/>
      <c r="QYG748" s="28"/>
      <c r="QYH748" s="28"/>
      <c r="QYI748" s="28"/>
      <c r="QYJ748" s="28"/>
      <c r="QYK748" s="28"/>
      <c r="QYL748" s="28"/>
      <c r="QYM748" s="28"/>
      <c r="QYN748" s="28"/>
      <c r="QYO748" s="28"/>
      <c r="QYP748" s="28"/>
      <c r="QYQ748" s="28"/>
      <c r="QYR748" s="28"/>
      <c r="QYS748" s="28"/>
      <c r="QYT748" s="28"/>
      <c r="QYU748" s="28"/>
      <c r="QYV748" s="28"/>
      <c r="QYW748" s="28"/>
      <c r="QYX748" s="28"/>
      <c r="QYY748" s="28"/>
      <c r="QYZ748" s="28"/>
      <c r="QZA748" s="28"/>
      <c r="QZB748" s="28"/>
      <c r="QZC748" s="28"/>
      <c r="QZD748" s="28"/>
      <c r="QZE748" s="28"/>
      <c r="QZF748" s="28"/>
      <c r="QZG748" s="28"/>
      <c r="QZH748" s="28"/>
      <c r="QZI748" s="28"/>
      <c r="QZJ748" s="28"/>
      <c r="QZK748" s="28"/>
      <c r="QZL748" s="28"/>
      <c r="QZM748" s="28"/>
      <c r="QZN748" s="28"/>
      <c r="QZO748" s="28"/>
      <c r="QZP748" s="28"/>
      <c r="QZQ748" s="28"/>
      <c r="QZR748" s="28"/>
      <c r="QZS748" s="28"/>
      <c r="QZT748" s="28"/>
      <c r="QZU748" s="28"/>
      <c r="QZV748" s="28"/>
      <c r="QZW748" s="28"/>
      <c r="QZX748" s="28"/>
      <c r="QZY748" s="28"/>
      <c r="QZZ748" s="28"/>
      <c r="RAA748" s="28"/>
      <c r="RAB748" s="28"/>
      <c r="RAC748" s="28"/>
      <c r="RAD748" s="28"/>
      <c r="RAE748" s="28"/>
      <c r="RAF748" s="28"/>
      <c r="RAG748" s="28"/>
      <c r="RAH748" s="28"/>
      <c r="RAI748" s="28"/>
      <c r="RAJ748" s="28"/>
      <c r="RAK748" s="28"/>
      <c r="RAL748" s="28"/>
      <c r="RAM748" s="28"/>
      <c r="RAN748" s="28"/>
      <c r="RAO748" s="28"/>
      <c r="RAP748" s="28"/>
      <c r="RAQ748" s="28"/>
      <c r="RAR748" s="28"/>
      <c r="RAS748" s="28"/>
      <c r="RAT748" s="28"/>
      <c r="RAU748" s="28"/>
      <c r="RAV748" s="28"/>
      <c r="RAW748" s="28"/>
      <c r="RAX748" s="28"/>
      <c r="RAY748" s="28"/>
      <c r="RAZ748" s="28"/>
      <c r="RBA748" s="28"/>
      <c r="RBB748" s="28"/>
      <c r="RBC748" s="28"/>
      <c r="RBD748" s="28"/>
      <c r="RBE748" s="28"/>
      <c r="RBF748" s="28"/>
      <c r="RBG748" s="28"/>
      <c r="RBH748" s="28"/>
      <c r="RBI748" s="28"/>
      <c r="RBJ748" s="28"/>
      <c r="RBK748" s="28"/>
      <c r="RBL748" s="28"/>
      <c r="RBM748" s="28"/>
      <c r="RBN748" s="28"/>
      <c r="RBO748" s="28"/>
      <c r="RBP748" s="28"/>
      <c r="RBQ748" s="28"/>
      <c r="RBR748" s="28"/>
      <c r="RBS748" s="28"/>
      <c r="RBT748" s="28"/>
      <c r="RBU748" s="28"/>
      <c r="RBV748" s="28"/>
      <c r="RBW748" s="28"/>
      <c r="RBX748" s="28"/>
      <c r="RBY748" s="28"/>
      <c r="RBZ748" s="28"/>
      <c r="RCA748" s="28"/>
      <c r="RCB748" s="28"/>
      <c r="RCC748" s="28"/>
      <c r="RCD748" s="28"/>
      <c r="RCE748" s="28"/>
      <c r="RCF748" s="28"/>
      <c r="RCG748" s="28"/>
      <c r="RCH748" s="28"/>
      <c r="RCI748" s="28"/>
      <c r="RCJ748" s="28"/>
      <c r="RCK748" s="28"/>
      <c r="RCL748" s="28"/>
      <c r="RCM748" s="28"/>
      <c r="RCN748" s="28"/>
      <c r="RCO748" s="28"/>
      <c r="RCP748" s="28"/>
      <c r="RCQ748" s="28"/>
      <c r="RCR748" s="28"/>
      <c r="RCS748" s="28"/>
      <c r="RCT748" s="28"/>
      <c r="RCU748" s="28"/>
      <c r="RCV748" s="28"/>
      <c r="RCW748" s="28"/>
      <c r="RCX748" s="28"/>
      <c r="RCY748" s="28"/>
      <c r="RCZ748" s="28"/>
      <c r="RDA748" s="28"/>
      <c r="RDB748" s="28"/>
      <c r="RDC748" s="28"/>
      <c r="RDD748" s="28"/>
      <c r="RDE748" s="28"/>
      <c r="RDF748" s="28"/>
      <c r="RDG748" s="28"/>
      <c r="RDH748" s="28"/>
      <c r="RDI748" s="28"/>
      <c r="RDJ748" s="28"/>
      <c r="RDK748" s="28"/>
      <c r="RDL748" s="28"/>
      <c r="RDM748" s="28"/>
      <c r="RDN748" s="28"/>
      <c r="RDO748" s="28"/>
      <c r="RDP748" s="28"/>
      <c r="RDQ748" s="28"/>
      <c r="RDR748" s="28"/>
      <c r="RDS748" s="28"/>
      <c r="RDT748" s="28"/>
      <c r="RDU748" s="28"/>
      <c r="RDV748" s="28"/>
      <c r="RDW748" s="28"/>
      <c r="RDX748" s="28"/>
      <c r="RDY748" s="28"/>
      <c r="RDZ748" s="28"/>
      <c r="REA748" s="28"/>
      <c r="REB748" s="28"/>
      <c r="REC748" s="28"/>
      <c r="RED748" s="28"/>
      <c r="REE748" s="28"/>
      <c r="REF748" s="28"/>
      <c r="REG748" s="28"/>
      <c r="REH748" s="28"/>
      <c r="REI748" s="28"/>
      <c r="REJ748" s="28"/>
      <c r="REK748" s="28"/>
      <c r="REL748" s="28"/>
      <c r="REM748" s="28"/>
      <c r="REN748" s="28"/>
      <c r="REO748" s="28"/>
      <c r="REP748" s="28"/>
      <c r="REQ748" s="28"/>
      <c r="RER748" s="28"/>
      <c r="RES748" s="28"/>
      <c r="RET748" s="28"/>
      <c r="REU748" s="28"/>
      <c r="REV748" s="28"/>
      <c r="REW748" s="28"/>
      <c r="REX748" s="28"/>
      <c r="REY748" s="28"/>
      <c r="REZ748" s="28"/>
      <c r="RFA748" s="28"/>
      <c r="RFB748" s="28"/>
      <c r="RFC748" s="28"/>
      <c r="RFD748" s="28"/>
      <c r="RFE748" s="28"/>
      <c r="RFF748" s="28"/>
      <c r="RFG748" s="28"/>
      <c r="RFH748" s="28"/>
      <c r="RFI748" s="28"/>
      <c r="RFJ748" s="28"/>
      <c r="RFK748" s="28"/>
      <c r="RFL748" s="28"/>
      <c r="RFM748" s="28"/>
      <c r="RFN748" s="28"/>
      <c r="RFO748" s="28"/>
      <c r="RFP748" s="28"/>
      <c r="RFQ748" s="28"/>
      <c r="RFR748" s="28"/>
      <c r="RFS748" s="28"/>
      <c r="RFT748" s="28"/>
      <c r="RFU748" s="28"/>
      <c r="RFV748" s="28"/>
      <c r="RFW748" s="28"/>
      <c r="RFX748" s="28"/>
      <c r="RFY748" s="28"/>
      <c r="RFZ748" s="28"/>
      <c r="RGA748" s="28"/>
      <c r="RGB748" s="28"/>
      <c r="RGC748" s="28"/>
      <c r="RGD748" s="28"/>
      <c r="RGE748" s="28"/>
      <c r="RGF748" s="28"/>
      <c r="RGG748" s="28"/>
      <c r="RGH748" s="28"/>
      <c r="RGI748" s="28"/>
      <c r="RGJ748" s="28"/>
      <c r="RGK748" s="28"/>
      <c r="RGL748" s="28"/>
      <c r="RGM748" s="28"/>
      <c r="RGN748" s="28"/>
      <c r="RGO748" s="28"/>
      <c r="RGP748" s="28"/>
      <c r="RGQ748" s="28"/>
      <c r="RGR748" s="28"/>
      <c r="RGS748" s="28"/>
      <c r="RGT748" s="28"/>
      <c r="RGU748" s="28"/>
      <c r="RGV748" s="28"/>
      <c r="RGW748" s="28"/>
      <c r="RGX748" s="28"/>
      <c r="RGY748" s="28"/>
      <c r="RGZ748" s="28"/>
      <c r="RHA748" s="28"/>
      <c r="RHB748" s="28"/>
      <c r="RHC748" s="28"/>
      <c r="RHD748" s="28"/>
      <c r="RHE748" s="28"/>
      <c r="RHF748" s="28"/>
      <c r="RHG748" s="28"/>
      <c r="RHH748" s="28"/>
      <c r="RHI748" s="28"/>
      <c r="RHJ748" s="28"/>
      <c r="RHK748" s="28"/>
      <c r="RHL748" s="28"/>
      <c r="RHM748" s="28"/>
      <c r="RHN748" s="28"/>
      <c r="RHO748" s="28"/>
      <c r="RHP748" s="28"/>
      <c r="RHQ748" s="28"/>
      <c r="RHR748" s="28"/>
      <c r="RHS748" s="28"/>
      <c r="RHT748" s="28"/>
      <c r="RHU748" s="28"/>
      <c r="RHV748" s="28"/>
      <c r="RHW748" s="28"/>
      <c r="RHX748" s="28"/>
      <c r="RHY748" s="28"/>
      <c r="RHZ748" s="28"/>
      <c r="RIA748" s="28"/>
      <c r="RIB748" s="28"/>
      <c r="RIC748" s="28"/>
      <c r="RID748" s="28"/>
      <c r="RIE748" s="28"/>
      <c r="RIF748" s="28"/>
      <c r="RIG748" s="28"/>
      <c r="RIH748" s="28"/>
      <c r="RII748" s="28"/>
      <c r="RIJ748" s="28"/>
      <c r="RIK748" s="28"/>
      <c r="RIL748" s="28"/>
      <c r="RIM748" s="28"/>
      <c r="RIN748" s="28"/>
      <c r="RIO748" s="28"/>
      <c r="RIP748" s="28"/>
      <c r="RIQ748" s="28"/>
      <c r="RIR748" s="28"/>
      <c r="RIS748" s="28"/>
      <c r="RIT748" s="28"/>
      <c r="RIU748" s="28"/>
      <c r="RIV748" s="28"/>
      <c r="RIW748" s="28"/>
      <c r="RIX748" s="28"/>
      <c r="RIY748" s="28"/>
      <c r="RIZ748" s="28"/>
      <c r="RJA748" s="28"/>
      <c r="RJB748" s="28"/>
      <c r="RJC748" s="28"/>
      <c r="RJD748" s="28"/>
      <c r="RJE748" s="28"/>
      <c r="RJF748" s="28"/>
      <c r="RJG748" s="28"/>
      <c r="RJH748" s="28"/>
      <c r="RJI748" s="28"/>
      <c r="RJJ748" s="28"/>
      <c r="RJK748" s="28"/>
      <c r="RJL748" s="28"/>
      <c r="RJM748" s="28"/>
      <c r="RJN748" s="28"/>
      <c r="RJO748" s="28"/>
      <c r="RJP748" s="28"/>
      <c r="RJQ748" s="28"/>
      <c r="RJR748" s="28"/>
      <c r="RJS748" s="28"/>
      <c r="RJT748" s="28"/>
      <c r="RJU748" s="28"/>
      <c r="RJV748" s="28"/>
      <c r="RJW748" s="28"/>
      <c r="RJX748" s="28"/>
      <c r="RJY748" s="28"/>
      <c r="RJZ748" s="28"/>
      <c r="RKA748" s="28"/>
      <c r="RKB748" s="28"/>
      <c r="RKC748" s="28"/>
      <c r="RKD748" s="28"/>
      <c r="RKE748" s="28"/>
      <c r="RKF748" s="28"/>
      <c r="RKG748" s="28"/>
      <c r="RKH748" s="28"/>
      <c r="RKI748" s="28"/>
      <c r="RKJ748" s="28"/>
      <c r="RKK748" s="28"/>
      <c r="RKL748" s="28"/>
      <c r="RKM748" s="28"/>
      <c r="RKN748" s="28"/>
      <c r="RKO748" s="28"/>
      <c r="RKP748" s="28"/>
      <c r="RKQ748" s="28"/>
      <c r="RKR748" s="28"/>
      <c r="RKS748" s="28"/>
      <c r="RKT748" s="28"/>
      <c r="RKU748" s="28"/>
      <c r="RKV748" s="28"/>
      <c r="RKW748" s="28"/>
      <c r="RKX748" s="28"/>
      <c r="RKY748" s="28"/>
      <c r="RKZ748" s="28"/>
      <c r="RLA748" s="28"/>
      <c r="RLB748" s="28"/>
      <c r="RLC748" s="28"/>
      <c r="RLD748" s="28"/>
      <c r="RLE748" s="28"/>
      <c r="RLF748" s="28"/>
      <c r="RLG748" s="28"/>
      <c r="RLH748" s="28"/>
      <c r="RLI748" s="28"/>
      <c r="RLJ748" s="28"/>
      <c r="RLK748" s="28"/>
      <c r="RLL748" s="28"/>
      <c r="RLM748" s="28"/>
      <c r="RLN748" s="28"/>
      <c r="RLO748" s="28"/>
      <c r="RLP748" s="28"/>
      <c r="RLQ748" s="28"/>
      <c r="RLR748" s="28"/>
      <c r="RLS748" s="28"/>
      <c r="RLT748" s="28"/>
      <c r="RLU748" s="28"/>
      <c r="RLV748" s="28"/>
      <c r="RLW748" s="28"/>
      <c r="RLX748" s="28"/>
      <c r="RLY748" s="28"/>
      <c r="RLZ748" s="28"/>
      <c r="RMA748" s="28"/>
      <c r="RMB748" s="28"/>
      <c r="RMC748" s="28"/>
      <c r="RMD748" s="28"/>
      <c r="RME748" s="28"/>
      <c r="RMF748" s="28"/>
      <c r="RMG748" s="28"/>
      <c r="RMH748" s="28"/>
      <c r="RMI748" s="28"/>
      <c r="RMJ748" s="28"/>
      <c r="RMK748" s="28"/>
      <c r="RML748" s="28"/>
      <c r="RMM748" s="28"/>
      <c r="RMN748" s="28"/>
      <c r="RMO748" s="28"/>
      <c r="RMP748" s="28"/>
      <c r="RMQ748" s="28"/>
      <c r="RMR748" s="28"/>
      <c r="RMS748" s="28"/>
      <c r="RMT748" s="28"/>
      <c r="RMU748" s="28"/>
      <c r="RMV748" s="28"/>
      <c r="RMW748" s="28"/>
      <c r="RMX748" s="28"/>
      <c r="RMY748" s="28"/>
      <c r="RMZ748" s="28"/>
      <c r="RNA748" s="28"/>
      <c r="RNB748" s="28"/>
      <c r="RNC748" s="28"/>
      <c r="RND748" s="28"/>
      <c r="RNE748" s="28"/>
      <c r="RNF748" s="28"/>
      <c r="RNG748" s="28"/>
      <c r="RNH748" s="28"/>
      <c r="RNI748" s="28"/>
      <c r="RNJ748" s="28"/>
      <c r="RNK748" s="28"/>
      <c r="RNL748" s="28"/>
      <c r="RNM748" s="28"/>
      <c r="RNN748" s="28"/>
      <c r="RNO748" s="28"/>
      <c r="RNP748" s="28"/>
      <c r="RNQ748" s="28"/>
      <c r="RNR748" s="28"/>
      <c r="RNS748" s="28"/>
      <c r="RNT748" s="28"/>
      <c r="RNU748" s="28"/>
      <c r="RNV748" s="28"/>
      <c r="RNW748" s="28"/>
      <c r="RNX748" s="28"/>
      <c r="RNY748" s="28"/>
      <c r="RNZ748" s="28"/>
      <c r="ROA748" s="28"/>
      <c r="ROB748" s="28"/>
      <c r="ROC748" s="28"/>
      <c r="ROD748" s="28"/>
      <c r="ROE748" s="28"/>
      <c r="ROF748" s="28"/>
      <c r="ROG748" s="28"/>
      <c r="ROH748" s="28"/>
      <c r="ROI748" s="28"/>
      <c r="ROJ748" s="28"/>
      <c r="ROK748" s="28"/>
      <c r="ROL748" s="28"/>
      <c r="ROM748" s="28"/>
      <c r="RON748" s="28"/>
      <c r="ROO748" s="28"/>
      <c r="ROP748" s="28"/>
      <c r="ROQ748" s="28"/>
      <c r="ROR748" s="28"/>
      <c r="ROS748" s="28"/>
      <c r="ROT748" s="28"/>
      <c r="ROU748" s="28"/>
      <c r="ROV748" s="28"/>
      <c r="ROW748" s="28"/>
      <c r="ROX748" s="28"/>
      <c r="ROY748" s="28"/>
      <c r="ROZ748" s="28"/>
      <c r="RPA748" s="28"/>
      <c r="RPB748" s="28"/>
      <c r="RPC748" s="28"/>
      <c r="RPD748" s="28"/>
      <c r="RPE748" s="28"/>
      <c r="RPF748" s="28"/>
      <c r="RPG748" s="28"/>
      <c r="RPH748" s="28"/>
      <c r="RPI748" s="28"/>
      <c r="RPJ748" s="28"/>
      <c r="RPK748" s="28"/>
      <c r="RPL748" s="28"/>
      <c r="RPM748" s="28"/>
      <c r="RPN748" s="28"/>
      <c r="RPO748" s="28"/>
      <c r="RPP748" s="28"/>
      <c r="RPQ748" s="28"/>
      <c r="RPR748" s="28"/>
      <c r="RPS748" s="28"/>
      <c r="RPT748" s="28"/>
      <c r="RPU748" s="28"/>
      <c r="RPV748" s="28"/>
      <c r="RPW748" s="28"/>
      <c r="RPX748" s="28"/>
      <c r="RPY748" s="28"/>
      <c r="RPZ748" s="28"/>
      <c r="RQA748" s="28"/>
      <c r="RQB748" s="28"/>
      <c r="RQC748" s="28"/>
      <c r="RQD748" s="28"/>
      <c r="RQE748" s="28"/>
      <c r="RQF748" s="28"/>
      <c r="RQG748" s="28"/>
      <c r="RQH748" s="28"/>
      <c r="RQI748" s="28"/>
      <c r="RQJ748" s="28"/>
      <c r="RQK748" s="28"/>
      <c r="RQL748" s="28"/>
      <c r="RQM748" s="28"/>
      <c r="RQN748" s="28"/>
      <c r="RQO748" s="28"/>
      <c r="RQP748" s="28"/>
      <c r="RQQ748" s="28"/>
      <c r="RQR748" s="28"/>
      <c r="RQS748" s="28"/>
      <c r="RQT748" s="28"/>
      <c r="RQU748" s="28"/>
      <c r="RQV748" s="28"/>
      <c r="RQW748" s="28"/>
      <c r="RQX748" s="28"/>
      <c r="RQY748" s="28"/>
      <c r="RQZ748" s="28"/>
      <c r="RRA748" s="28"/>
      <c r="RRB748" s="28"/>
      <c r="RRC748" s="28"/>
      <c r="RRD748" s="28"/>
      <c r="RRE748" s="28"/>
      <c r="RRF748" s="28"/>
      <c r="RRG748" s="28"/>
      <c r="RRH748" s="28"/>
      <c r="RRI748" s="28"/>
      <c r="RRJ748" s="28"/>
      <c r="RRK748" s="28"/>
      <c r="RRL748" s="28"/>
      <c r="RRM748" s="28"/>
      <c r="RRN748" s="28"/>
      <c r="RRO748" s="28"/>
      <c r="RRP748" s="28"/>
      <c r="RRQ748" s="28"/>
      <c r="RRR748" s="28"/>
      <c r="RRS748" s="28"/>
      <c r="RRT748" s="28"/>
      <c r="RRU748" s="28"/>
      <c r="RRV748" s="28"/>
      <c r="RRW748" s="28"/>
      <c r="RRX748" s="28"/>
      <c r="RRY748" s="28"/>
      <c r="RRZ748" s="28"/>
      <c r="RSA748" s="28"/>
      <c r="RSB748" s="28"/>
      <c r="RSC748" s="28"/>
      <c r="RSD748" s="28"/>
      <c r="RSE748" s="28"/>
      <c r="RSF748" s="28"/>
      <c r="RSG748" s="28"/>
      <c r="RSH748" s="28"/>
      <c r="RSI748" s="28"/>
      <c r="RSJ748" s="28"/>
      <c r="RSK748" s="28"/>
      <c r="RSL748" s="28"/>
      <c r="RSM748" s="28"/>
      <c r="RSN748" s="28"/>
      <c r="RSO748" s="28"/>
      <c r="RSP748" s="28"/>
      <c r="RSQ748" s="28"/>
      <c r="RSR748" s="28"/>
      <c r="RSS748" s="28"/>
      <c r="RST748" s="28"/>
      <c r="RSU748" s="28"/>
      <c r="RSV748" s="28"/>
      <c r="RSW748" s="28"/>
      <c r="RSX748" s="28"/>
      <c r="RSY748" s="28"/>
      <c r="RSZ748" s="28"/>
      <c r="RTA748" s="28"/>
      <c r="RTB748" s="28"/>
      <c r="RTC748" s="28"/>
      <c r="RTD748" s="28"/>
      <c r="RTE748" s="28"/>
      <c r="RTF748" s="28"/>
      <c r="RTG748" s="28"/>
      <c r="RTH748" s="28"/>
      <c r="RTI748" s="28"/>
      <c r="RTJ748" s="28"/>
      <c r="RTK748" s="28"/>
      <c r="RTL748" s="28"/>
      <c r="RTM748" s="28"/>
      <c r="RTN748" s="28"/>
      <c r="RTO748" s="28"/>
      <c r="RTP748" s="28"/>
      <c r="RTQ748" s="28"/>
      <c r="RTR748" s="28"/>
      <c r="RTS748" s="28"/>
      <c r="RTT748" s="28"/>
      <c r="RTU748" s="28"/>
      <c r="RTV748" s="28"/>
      <c r="RTW748" s="28"/>
      <c r="RTX748" s="28"/>
      <c r="RTY748" s="28"/>
      <c r="RTZ748" s="28"/>
      <c r="RUA748" s="28"/>
      <c r="RUB748" s="28"/>
      <c r="RUC748" s="28"/>
      <c r="RUD748" s="28"/>
      <c r="RUE748" s="28"/>
      <c r="RUF748" s="28"/>
      <c r="RUG748" s="28"/>
      <c r="RUH748" s="28"/>
      <c r="RUI748" s="28"/>
      <c r="RUJ748" s="28"/>
      <c r="RUK748" s="28"/>
      <c r="RUL748" s="28"/>
      <c r="RUM748" s="28"/>
      <c r="RUN748" s="28"/>
      <c r="RUO748" s="28"/>
      <c r="RUP748" s="28"/>
      <c r="RUQ748" s="28"/>
      <c r="RUR748" s="28"/>
      <c r="RUS748" s="28"/>
      <c r="RUT748" s="28"/>
      <c r="RUU748" s="28"/>
      <c r="RUV748" s="28"/>
      <c r="RUW748" s="28"/>
      <c r="RUX748" s="28"/>
      <c r="RUY748" s="28"/>
      <c r="RUZ748" s="28"/>
      <c r="RVA748" s="28"/>
      <c r="RVB748" s="28"/>
      <c r="RVC748" s="28"/>
      <c r="RVD748" s="28"/>
      <c r="RVE748" s="28"/>
      <c r="RVF748" s="28"/>
      <c r="RVG748" s="28"/>
      <c r="RVH748" s="28"/>
      <c r="RVI748" s="28"/>
      <c r="RVJ748" s="28"/>
      <c r="RVK748" s="28"/>
      <c r="RVL748" s="28"/>
      <c r="RVM748" s="28"/>
      <c r="RVN748" s="28"/>
      <c r="RVO748" s="28"/>
      <c r="RVP748" s="28"/>
      <c r="RVQ748" s="28"/>
      <c r="RVR748" s="28"/>
      <c r="RVS748" s="28"/>
      <c r="RVT748" s="28"/>
      <c r="RVU748" s="28"/>
      <c r="RVV748" s="28"/>
      <c r="RVW748" s="28"/>
      <c r="RVX748" s="28"/>
      <c r="RVY748" s="28"/>
      <c r="RVZ748" s="28"/>
      <c r="RWA748" s="28"/>
      <c r="RWB748" s="28"/>
      <c r="RWC748" s="28"/>
      <c r="RWD748" s="28"/>
      <c r="RWE748" s="28"/>
      <c r="RWF748" s="28"/>
      <c r="RWG748" s="28"/>
      <c r="RWH748" s="28"/>
      <c r="RWI748" s="28"/>
      <c r="RWJ748" s="28"/>
      <c r="RWK748" s="28"/>
      <c r="RWL748" s="28"/>
      <c r="RWM748" s="28"/>
      <c r="RWN748" s="28"/>
      <c r="RWO748" s="28"/>
      <c r="RWP748" s="28"/>
      <c r="RWQ748" s="28"/>
      <c r="RWR748" s="28"/>
      <c r="RWS748" s="28"/>
      <c r="RWT748" s="28"/>
      <c r="RWU748" s="28"/>
      <c r="RWV748" s="28"/>
      <c r="RWW748" s="28"/>
      <c r="RWX748" s="28"/>
      <c r="RWY748" s="28"/>
      <c r="RWZ748" s="28"/>
      <c r="RXA748" s="28"/>
      <c r="RXB748" s="28"/>
      <c r="RXC748" s="28"/>
      <c r="RXD748" s="28"/>
      <c r="RXE748" s="28"/>
      <c r="RXF748" s="28"/>
      <c r="RXG748" s="28"/>
      <c r="RXH748" s="28"/>
      <c r="RXI748" s="28"/>
      <c r="RXJ748" s="28"/>
      <c r="RXK748" s="28"/>
      <c r="RXL748" s="28"/>
      <c r="RXM748" s="28"/>
      <c r="RXN748" s="28"/>
      <c r="RXO748" s="28"/>
      <c r="RXP748" s="28"/>
      <c r="RXQ748" s="28"/>
      <c r="RXR748" s="28"/>
      <c r="RXS748" s="28"/>
      <c r="RXT748" s="28"/>
      <c r="RXU748" s="28"/>
      <c r="RXV748" s="28"/>
      <c r="RXW748" s="28"/>
      <c r="RXX748" s="28"/>
      <c r="RXY748" s="28"/>
      <c r="RXZ748" s="28"/>
      <c r="RYA748" s="28"/>
      <c r="RYB748" s="28"/>
      <c r="RYC748" s="28"/>
      <c r="RYD748" s="28"/>
      <c r="RYE748" s="28"/>
      <c r="RYF748" s="28"/>
      <c r="RYG748" s="28"/>
      <c r="RYH748" s="28"/>
      <c r="RYI748" s="28"/>
      <c r="RYJ748" s="28"/>
      <c r="RYK748" s="28"/>
      <c r="RYL748" s="28"/>
      <c r="RYM748" s="28"/>
      <c r="RYN748" s="28"/>
      <c r="RYO748" s="28"/>
      <c r="RYP748" s="28"/>
      <c r="RYQ748" s="28"/>
      <c r="RYR748" s="28"/>
      <c r="RYS748" s="28"/>
      <c r="RYT748" s="28"/>
      <c r="RYU748" s="28"/>
      <c r="RYV748" s="28"/>
      <c r="RYW748" s="28"/>
      <c r="RYX748" s="28"/>
      <c r="RYY748" s="28"/>
      <c r="RYZ748" s="28"/>
      <c r="RZA748" s="28"/>
      <c r="RZB748" s="28"/>
      <c r="RZC748" s="28"/>
      <c r="RZD748" s="28"/>
      <c r="RZE748" s="28"/>
      <c r="RZF748" s="28"/>
      <c r="RZG748" s="28"/>
      <c r="RZH748" s="28"/>
      <c r="RZI748" s="28"/>
      <c r="RZJ748" s="28"/>
      <c r="RZK748" s="28"/>
      <c r="RZL748" s="28"/>
      <c r="RZM748" s="28"/>
      <c r="RZN748" s="28"/>
      <c r="RZO748" s="28"/>
      <c r="RZP748" s="28"/>
      <c r="RZQ748" s="28"/>
      <c r="RZR748" s="28"/>
      <c r="RZS748" s="28"/>
      <c r="RZT748" s="28"/>
      <c r="RZU748" s="28"/>
      <c r="RZV748" s="28"/>
      <c r="RZW748" s="28"/>
      <c r="RZX748" s="28"/>
      <c r="RZY748" s="28"/>
      <c r="RZZ748" s="28"/>
      <c r="SAA748" s="28"/>
      <c r="SAB748" s="28"/>
      <c r="SAC748" s="28"/>
      <c r="SAD748" s="28"/>
      <c r="SAE748" s="28"/>
      <c r="SAF748" s="28"/>
      <c r="SAG748" s="28"/>
      <c r="SAH748" s="28"/>
      <c r="SAI748" s="28"/>
      <c r="SAJ748" s="28"/>
      <c r="SAK748" s="28"/>
      <c r="SAL748" s="28"/>
      <c r="SAM748" s="28"/>
      <c r="SAN748" s="28"/>
      <c r="SAO748" s="28"/>
      <c r="SAP748" s="28"/>
      <c r="SAQ748" s="28"/>
      <c r="SAR748" s="28"/>
      <c r="SAS748" s="28"/>
      <c r="SAT748" s="28"/>
      <c r="SAU748" s="28"/>
      <c r="SAV748" s="28"/>
      <c r="SAW748" s="28"/>
      <c r="SAX748" s="28"/>
      <c r="SAY748" s="28"/>
      <c r="SAZ748" s="28"/>
      <c r="SBA748" s="28"/>
      <c r="SBB748" s="28"/>
      <c r="SBC748" s="28"/>
      <c r="SBD748" s="28"/>
      <c r="SBE748" s="28"/>
      <c r="SBF748" s="28"/>
      <c r="SBG748" s="28"/>
      <c r="SBH748" s="28"/>
      <c r="SBI748" s="28"/>
      <c r="SBJ748" s="28"/>
      <c r="SBK748" s="28"/>
      <c r="SBL748" s="28"/>
      <c r="SBM748" s="28"/>
      <c r="SBN748" s="28"/>
      <c r="SBO748" s="28"/>
      <c r="SBP748" s="28"/>
      <c r="SBQ748" s="28"/>
      <c r="SBR748" s="28"/>
      <c r="SBS748" s="28"/>
      <c r="SBT748" s="28"/>
      <c r="SBU748" s="28"/>
      <c r="SBV748" s="28"/>
      <c r="SBW748" s="28"/>
      <c r="SBX748" s="28"/>
      <c r="SBY748" s="28"/>
      <c r="SBZ748" s="28"/>
      <c r="SCA748" s="28"/>
      <c r="SCB748" s="28"/>
      <c r="SCC748" s="28"/>
      <c r="SCD748" s="28"/>
      <c r="SCE748" s="28"/>
      <c r="SCF748" s="28"/>
      <c r="SCG748" s="28"/>
      <c r="SCH748" s="28"/>
      <c r="SCI748" s="28"/>
      <c r="SCJ748" s="28"/>
      <c r="SCK748" s="28"/>
      <c r="SCL748" s="28"/>
      <c r="SCM748" s="28"/>
      <c r="SCN748" s="28"/>
      <c r="SCO748" s="28"/>
      <c r="SCP748" s="28"/>
      <c r="SCQ748" s="28"/>
      <c r="SCR748" s="28"/>
      <c r="SCS748" s="28"/>
      <c r="SCT748" s="28"/>
      <c r="SCU748" s="28"/>
      <c r="SCV748" s="28"/>
      <c r="SCW748" s="28"/>
      <c r="SCX748" s="28"/>
      <c r="SCY748" s="28"/>
      <c r="SCZ748" s="28"/>
      <c r="SDA748" s="28"/>
      <c r="SDB748" s="28"/>
      <c r="SDC748" s="28"/>
      <c r="SDD748" s="28"/>
      <c r="SDE748" s="28"/>
      <c r="SDF748" s="28"/>
      <c r="SDG748" s="28"/>
      <c r="SDH748" s="28"/>
      <c r="SDI748" s="28"/>
      <c r="SDJ748" s="28"/>
      <c r="SDK748" s="28"/>
      <c r="SDL748" s="28"/>
      <c r="SDM748" s="28"/>
      <c r="SDN748" s="28"/>
      <c r="SDO748" s="28"/>
      <c r="SDP748" s="28"/>
      <c r="SDQ748" s="28"/>
      <c r="SDR748" s="28"/>
      <c r="SDS748" s="28"/>
      <c r="SDT748" s="28"/>
      <c r="SDU748" s="28"/>
      <c r="SDV748" s="28"/>
      <c r="SDW748" s="28"/>
      <c r="SDX748" s="28"/>
      <c r="SDY748" s="28"/>
      <c r="SDZ748" s="28"/>
      <c r="SEA748" s="28"/>
      <c r="SEB748" s="28"/>
      <c r="SEC748" s="28"/>
      <c r="SED748" s="28"/>
      <c r="SEE748" s="28"/>
      <c r="SEF748" s="28"/>
      <c r="SEG748" s="28"/>
      <c r="SEH748" s="28"/>
      <c r="SEI748" s="28"/>
      <c r="SEJ748" s="28"/>
      <c r="SEK748" s="28"/>
      <c r="SEL748" s="28"/>
      <c r="SEM748" s="28"/>
      <c r="SEN748" s="28"/>
      <c r="SEO748" s="28"/>
      <c r="SEP748" s="28"/>
      <c r="SEQ748" s="28"/>
      <c r="SER748" s="28"/>
      <c r="SES748" s="28"/>
      <c r="SET748" s="28"/>
      <c r="SEU748" s="28"/>
      <c r="SEV748" s="28"/>
      <c r="SEW748" s="28"/>
      <c r="SEX748" s="28"/>
      <c r="SEY748" s="28"/>
      <c r="SEZ748" s="28"/>
      <c r="SFA748" s="28"/>
      <c r="SFB748" s="28"/>
      <c r="SFC748" s="28"/>
      <c r="SFD748" s="28"/>
      <c r="SFE748" s="28"/>
      <c r="SFF748" s="28"/>
      <c r="SFG748" s="28"/>
      <c r="SFH748" s="28"/>
      <c r="SFI748" s="28"/>
      <c r="SFJ748" s="28"/>
      <c r="SFK748" s="28"/>
      <c r="SFL748" s="28"/>
      <c r="SFM748" s="28"/>
      <c r="SFN748" s="28"/>
      <c r="SFO748" s="28"/>
      <c r="SFP748" s="28"/>
      <c r="SFQ748" s="28"/>
      <c r="SFR748" s="28"/>
      <c r="SFS748" s="28"/>
      <c r="SFT748" s="28"/>
      <c r="SFU748" s="28"/>
      <c r="SFV748" s="28"/>
      <c r="SFW748" s="28"/>
      <c r="SFX748" s="28"/>
      <c r="SFY748" s="28"/>
      <c r="SFZ748" s="28"/>
      <c r="SGA748" s="28"/>
      <c r="SGB748" s="28"/>
      <c r="SGC748" s="28"/>
      <c r="SGD748" s="28"/>
      <c r="SGE748" s="28"/>
      <c r="SGF748" s="28"/>
      <c r="SGG748" s="28"/>
      <c r="SGH748" s="28"/>
      <c r="SGI748" s="28"/>
      <c r="SGJ748" s="28"/>
      <c r="SGK748" s="28"/>
      <c r="SGL748" s="28"/>
      <c r="SGM748" s="28"/>
      <c r="SGN748" s="28"/>
      <c r="SGO748" s="28"/>
      <c r="SGP748" s="28"/>
      <c r="SGQ748" s="28"/>
      <c r="SGR748" s="28"/>
      <c r="SGS748" s="28"/>
      <c r="SGT748" s="28"/>
      <c r="SGU748" s="28"/>
      <c r="SGV748" s="28"/>
      <c r="SGW748" s="28"/>
      <c r="SGX748" s="28"/>
      <c r="SGY748" s="28"/>
      <c r="SGZ748" s="28"/>
      <c r="SHA748" s="28"/>
      <c r="SHB748" s="28"/>
      <c r="SHC748" s="28"/>
      <c r="SHD748" s="28"/>
      <c r="SHE748" s="28"/>
      <c r="SHF748" s="28"/>
      <c r="SHG748" s="28"/>
      <c r="SHH748" s="28"/>
      <c r="SHI748" s="28"/>
      <c r="SHJ748" s="28"/>
      <c r="SHK748" s="28"/>
      <c r="SHL748" s="28"/>
      <c r="SHM748" s="28"/>
      <c r="SHN748" s="28"/>
      <c r="SHO748" s="28"/>
      <c r="SHP748" s="28"/>
      <c r="SHQ748" s="28"/>
      <c r="SHR748" s="28"/>
      <c r="SHS748" s="28"/>
      <c r="SHT748" s="28"/>
      <c r="SHU748" s="28"/>
      <c r="SHV748" s="28"/>
      <c r="SHW748" s="28"/>
      <c r="SHX748" s="28"/>
      <c r="SHY748" s="28"/>
      <c r="SHZ748" s="28"/>
      <c r="SIA748" s="28"/>
      <c r="SIB748" s="28"/>
      <c r="SIC748" s="28"/>
      <c r="SID748" s="28"/>
      <c r="SIE748" s="28"/>
      <c r="SIF748" s="28"/>
      <c r="SIG748" s="28"/>
      <c r="SIH748" s="28"/>
      <c r="SII748" s="28"/>
      <c r="SIJ748" s="28"/>
      <c r="SIK748" s="28"/>
      <c r="SIL748" s="28"/>
      <c r="SIM748" s="28"/>
      <c r="SIN748" s="28"/>
      <c r="SIO748" s="28"/>
      <c r="SIP748" s="28"/>
      <c r="SIQ748" s="28"/>
      <c r="SIR748" s="28"/>
      <c r="SIS748" s="28"/>
      <c r="SIT748" s="28"/>
      <c r="SIU748" s="28"/>
      <c r="SIV748" s="28"/>
      <c r="SIW748" s="28"/>
      <c r="SIX748" s="28"/>
      <c r="SIY748" s="28"/>
      <c r="SIZ748" s="28"/>
      <c r="SJA748" s="28"/>
      <c r="SJB748" s="28"/>
      <c r="SJC748" s="28"/>
      <c r="SJD748" s="28"/>
      <c r="SJE748" s="28"/>
      <c r="SJF748" s="28"/>
      <c r="SJG748" s="28"/>
      <c r="SJH748" s="28"/>
      <c r="SJI748" s="28"/>
      <c r="SJJ748" s="28"/>
      <c r="SJK748" s="28"/>
      <c r="SJL748" s="28"/>
      <c r="SJM748" s="28"/>
      <c r="SJN748" s="28"/>
      <c r="SJO748" s="28"/>
      <c r="SJP748" s="28"/>
      <c r="SJQ748" s="28"/>
      <c r="SJR748" s="28"/>
      <c r="SJS748" s="28"/>
      <c r="SJT748" s="28"/>
      <c r="SJU748" s="28"/>
      <c r="SJV748" s="28"/>
      <c r="SJW748" s="28"/>
      <c r="SJX748" s="28"/>
      <c r="SJY748" s="28"/>
      <c r="SJZ748" s="28"/>
      <c r="SKA748" s="28"/>
      <c r="SKB748" s="28"/>
      <c r="SKC748" s="28"/>
      <c r="SKD748" s="28"/>
      <c r="SKE748" s="28"/>
      <c r="SKF748" s="28"/>
      <c r="SKG748" s="28"/>
      <c r="SKH748" s="28"/>
      <c r="SKI748" s="28"/>
      <c r="SKJ748" s="28"/>
      <c r="SKK748" s="28"/>
      <c r="SKL748" s="28"/>
      <c r="SKM748" s="28"/>
      <c r="SKN748" s="28"/>
      <c r="SKO748" s="28"/>
      <c r="SKP748" s="28"/>
      <c r="SKQ748" s="28"/>
      <c r="SKR748" s="28"/>
      <c r="SKS748" s="28"/>
      <c r="SKT748" s="28"/>
      <c r="SKU748" s="28"/>
      <c r="SKV748" s="28"/>
      <c r="SKW748" s="28"/>
      <c r="SKX748" s="28"/>
      <c r="SKY748" s="28"/>
      <c r="SKZ748" s="28"/>
      <c r="SLA748" s="28"/>
      <c r="SLB748" s="28"/>
      <c r="SLC748" s="28"/>
      <c r="SLD748" s="28"/>
      <c r="SLE748" s="28"/>
      <c r="SLF748" s="28"/>
      <c r="SLG748" s="28"/>
      <c r="SLH748" s="28"/>
      <c r="SLI748" s="28"/>
      <c r="SLJ748" s="28"/>
      <c r="SLK748" s="28"/>
      <c r="SLL748" s="28"/>
      <c r="SLM748" s="28"/>
      <c r="SLN748" s="28"/>
      <c r="SLO748" s="28"/>
      <c r="SLP748" s="28"/>
      <c r="SLQ748" s="28"/>
      <c r="SLR748" s="28"/>
      <c r="SLS748" s="28"/>
      <c r="SLT748" s="28"/>
      <c r="SLU748" s="28"/>
      <c r="SLV748" s="28"/>
      <c r="SLW748" s="28"/>
      <c r="SLX748" s="28"/>
      <c r="SLY748" s="28"/>
      <c r="SLZ748" s="28"/>
      <c r="SMA748" s="28"/>
      <c r="SMB748" s="28"/>
      <c r="SMC748" s="28"/>
      <c r="SMD748" s="28"/>
      <c r="SME748" s="28"/>
      <c r="SMF748" s="28"/>
      <c r="SMG748" s="28"/>
      <c r="SMH748" s="28"/>
      <c r="SMI748" s="28"/>
      <c r="SMJ748" s="28"/>
      <c r="SMK748" s="28"/>
      <c r="SML748" s="28"/>
      <c r="SMM748" s="28"/>
      <c r="SMN748" s="28"/>
      <c r="SMO748" s="28"/>
      <c r="SMP748" s="28"/>
      <c r="SMQ748" s="28"/>
      <c r="SMR748" s="28"/>
      <c r="SMS748" s="28"/>
      <c r="SMT748" s="28"/>
      <c r="SMU748" s="28"/>
      <c r="SMV748" s="28"/>
      <c r="SMW748" s="28"/>
      <c r="SMX748" s="28"/>
      <c r="SMY748" s="28"/>
      <c r="SMZ748" s="28"/>
      <c r="SNA748" s="28"/>
      <c r="SNB748" s="28"/>
      <c r="SNC748" s="28"/>
      <c r="SND748" s="28"/>
      <c r="SNE748" s="28"/>
      <c r="SNF748" s="28"/>
      <c r="SNG748" s="28"/>
      <c r="SNH748" s="28"/>
      <c r="SNI748" s="28"/>
      <c r="SNJ748" s="28"/>
      <c r="SNK748" s="28"/>
      <c r="SNL748" s="28"/>
      <c r="SNM748" s="28"/>
      <c r="SNN748" s="28"/>
      <c r="SNO748" s="28"/>
      <c r="SNP748" s="28"/>
      <c r="SNQ748" s="28"/>
      <c r="SNR748" s="28"/>
      <c r="SNS748" s="28"/>
      <c r="SNT748" s="28"/>
      <c r="SNU748" s="28"/>
      <c r="SNV748" s="28"/>
      <c r="SNW748" s="28"/>
      <c r="SNX748" s="28"/>
      <c r="SNY748" s="28"/>
      <c r="SNZ748" s="28"/>
      <c r="SOA748" s="28"/>
      <c r="SOB748" s="28"/>
      <c r="SOC748" s="28"/>
      <c r="SOD748" s="28"/>
      <c r="SOE748" s="28"/>
      <c r="SOF748" s="28"/>
      <c r="SOG748" s="28"/>
      <c r="SOH748" s="28"/>
      <c r="SOI748" s="28"/>
      <c r="SOJ748" s="28"/>
      <c r="SOK748" s="28"/>
      <c r="SOL748" s="28"/>
      <c r="SOM748" s="28"/>
      <c r="SON748" s="28"/>
      <c r="SOO748" s="28"/>
      <c r="SOP748" s="28"/>
      <c r="SOQ748" s="28"/>
      <c r="SOR748" s="28"/>
      <c r="SOS748" s="28"/>
      <c r="SOT748" s="28"/>
      <c r="SOU748" s="28"/>
      <c r="SOV748" s="28"/>
      <c r="SOW748" s="28"/>
      <c r="SOX748" s="28"/>
      <c r="SOY748" s="28"/>
      <c r="SOZ748" s="28"/>
      <c r="SPA748" s="28"/>
      <c r="SPB748" s="28"/>
      <c r="SPC748" s="28"/>
      <c r="SPD748" s="28"/>
      <c r="SPE748" s="28"/>
      <c r="SPF748" s="28"/>
      <c r="SPG748" s="28"/>
      <c r="SPH748" s="28"/>
      <c r="SPI748" s="28"/>
      <c r="SPJ748" s="28"/>
      <c r="SPK748" s="28"/>
      <c r="SPL748" s="28"/>
      <c r="SPM748" s="28"/>
      <c r="SPN748" s="28"/>
      <c r="SPO748" s="28"/>
      <c r="SPP748" s="28"/>
      <c r="SPQ748" s="28"/>
      <c r="SPR748" s="28"/>
      <c r="SPS748" s="28"/>
      <c r="SPT748" s="28"/>
      <c r="SPU748" s="28"/>
      <c r="SPV748" s="28"/>
      <c r="SPW748" s="28"/>
      <c r="SPX748" s="28"/>
      <c r="SPY748" s="28"/>
      <c r="SPZ748" s="28"/>
      <c r="SQA748" s="28"/>
      <c r="SQB748" s="28"/>
      <c r="SQC748" s="28"/>
      <c r="SQD748" s="28"/>
      <c r="SQE748" s="28"/>
      <c r="SQF748" s="28"/>
      <c r="SQG748" s="28"/>
      <c r="SQH748" s="28"/>
      <c r="SQI748" s="28"/>
      <c r="SQJ748" s="28"/>
      <c r="SQK748" s="28"/>
      <c r="SQL748" s="28"/>
      <c r="SQM748" s="28"/>
      <c r="SQN748" s="28"/>
      <c r="SQO748" s="28"/>
      <c r="SQP748" s="28"/>
      <c r="SQQ748" s="28"/>
      <c r="SQR748" s="28"/>
      <c r="SQS748" s="28"/>
      <c r="SQT748" s="28"/>
      <c r="SQU748" s="28"/>
      <c r="SQV748" s="28"/>
      <c r="SQW748" s="28"/>
      <c r="SQX748" s="28"/>
      <c r="SQY748" s="28"/>
      <c r="SQZ748" s="28"/>
      <c r="SRA748" s="28"/>
      <c r="SRB748" s="28"/>
      <c r="SRC748" s="28"/>
      <c r="SRD748" s="28"/>
      <c r="SRE748" s="28"/>
      <c r="SRF748" s="28"/>
      <c r="SRG748" s="28"/>
      <c r="SRH748" s="28"/>
      <c r="SRI748" s="28"/>
      <c r="SRJ748" s="28"/>
      <c r="SRK748" s="28"/>
      <c r="SRL748" s="28"/>
      <c r="SRM748" s="28"/>
      <c r="SRN748" s="28"/>
      <c r="SRO748" s="28"/>
      <c r="SRP748" s="28"/>
      <c r="SRQ748" s="28"/>
      <c r="SRR748" s="28"/>
      <c r="SRS748" s="28"/>
      <c r="SRT748" s="28"/>
      <c r="SRU748" s="28"/>
      <c r="SRV748" s="28"/>
      <c r="SRW748" s="28"/>
      <c r="SRX748" s="28"/>
      <c r="SRY748" s="28"/>
      <c r="SRZ748" s="28"/>
      <c r="SSA748" s="28"/>
      <c r="SSB748" s="28"/>
      <c r="SSC748" s="28"/>
      <c r="SSD748" s="28"/>
      <c r="SSE748" s="28"/>
      <c r="SSF748" s="28"/>
      <c r="SSG748" s="28"/>
      <c r="SSH748" s="28"/>
      <c r="SSI748" s="28"/>
      <c r="SSJ748" s="28"/>
      <c r="SSK748" s="28"/>
      <c r="SSL748" s="28"/>
      <c r="SSM748" s="28"/>
      <c r="SSN748" s="28"/>
      <c r="SSO748" s="28"/>
      <c r="SSP748" s="28"/>
      <c r="SSQ748" s="28"/>
      <c r="SSR748" s="28"/>
      <c r="SSS748" s="28"/>
      <c r="SST748" s="28"/>
      <c r="SSU748" s="28"/>
      <c r="SSV748" s="28"/>
      <c r="SSW748" s="28"/>
      <c r="SSX748" s="28"/>
      <c r="SSY748" s="28"/>
      <c r="SSZ748" s="28"/>
      <c r="STA748" s="28"/>
      <c r="STB748" s="28"/>
      <c r="STC748" s="28"/>
      <c r="STD748" s="28"/>
      <c r="STE748" s="28"/>
      <c r="STF748" s="28"/>
      <c r="STG748" s="28"/>
      <c r="STH748" s="28"/>
      <c r="STI748" s="28"/>
      <c r="STJ748" s="28"/>
      <c r="STK748" s="28"/>
      <c r="STL748" s="28"/>
      <c r="STM748" s="28"/>
      <c r="STN748" s="28"/>
      <c r="STO748" s="28"/>
      <c r="STP748" s="28"/>
      <c r="STQ748" s="28"/>
      <c r="STR748" s="28"/>
      <c r="STS748" s="28"/>
      <c r="STT748" s="28"/>
      <c r="STU748" s="28"/>
      <c r="STV748" s="28"/>
      <c r="STW748" s="28"/>
      <c r="STX748" s="28"/>
      <c r="STY748" s="28"/>
      <c r="STZ748" s="28"/>
      <c r="SUA748" s="28"/>
      <c r="SUB748" s="28"/>
      <c r="SUC748" s="28"/>
      <c r="SUD748" s="28"/>
      <c r="SUE748" s="28"/>
      <c r="SUF748" s="28"/>
      <c r="SUG748" s="28"/>
      <c r="SUH748" s="28"/>
      <c r="SUI748" s="28"/>
      <c r="SUJ748" s="28"/>
      <c r="SUK748" s="28"/>
      <c r="SUL748" s="28"/>
      <c r="SUM748" s="28"/>
      <c r="SUN748" s="28"/>
      <c r="SUO748" s="28"/>
      <c r="SUP748" s="28"/>
      <c r="SUQ748" s="28"/>
      <c r="SUR748" s="28"/>
      <c r="SUS748" s="28"/>
      <c r="SUT748" s="28"/>
      <c r="SUU748" s="28"/>
      <c r="SUV748" s="28"/>
      <c r="SUW748" s="28"/>
      <c r="SUX748" s="28"/>
      <c r="SUY748" s="28"/>
      <c r="SUZ748" s="28"/>
      <c r="SVA748" s="28"/>
      <c r="SVB748" s="28"/>
      <c r="SVC748" s="28"/>
      <c r="SVD748" s="28"/>
      <c r="SVE748" s="28"/>
      <c r="SVF748" s="28"/>
      <c r="SVG748" s="28"/>
      <c r="SVH748" s="28"/>
      <c r="SVI748" s="28"/>
      <c r="SVJ748" s="28"/>
      <c r="SVK748" s="28"/>
      <c r="SVL748" s="28"/>
      <c r="SVM748" s="28"/>
      <c r="SVN748" s="28"/>
      <c r="SVO748" s="28"/>
      <c r="SVP748" s="28"/>
      <c r="SVQ748" s="28"/>
      <c r="SVR748" s="28"/>
      <c r="SVS748" s="28"/>
      <c r="SVT748" s="28"/>
      <c r="SVU748" s="28"/>
      <c r="SVV748" s="28"/>
      <c r="SVW748" s="28"/>
      <c r="SVX748" s="28"/>
      <c r="SVY748" s="28"/>
      <c r="SVZ748" s="28"/>
      <c r="SWA748" s="28"/>
      <c r="SWB748" s="28"/>
      <c r="SWC748" s="28"/>
      <c r="SWD748" s="28"/>
      <c r="SWE748" s="28"/>
      <c r="SWF748" s="28"/>
      <c r="SWG748" s="28"/>
      <c r="SWH748" s="28"/>
      <c r="SWI748" s="28"/>
      <c r="SWJ748" s="28"/>
      <c r="SWK748" s="28"/>
      <c r="SWL748" s="28"/>
      <c r="SWM748" s="28"/>
      <c r="SWN748" s="28"/>
      <c r="SWO748" s="28"/>
      <c r="SWP748" s="28"/>
      <c r="SWQ748" s="28"/>
      <c r="SWR748" s="28"/>
      <c r="SWS748" s="28"/>
      <c r="SWT748" s="28"/>
      <c r="SWU748" s="28"/>
      <c r="SWV748" s="28"/>
      <c r="SWW748" s="28"/>
      <c r="SWX748" s="28"/>
      <c r="SWY748" s="28"/>
      <c r="SWZ748" s="28"/>
      <c r="SXA748" s="28"/>
      <c r="SXB748" s="28"/>
      <c r="SXC748" s="28"/>
      <c r="SXD748" s="28"/>
      <c r="SXE748" s="28"/>
      <c r="SXF748" s="28"/>
      <c r="SXG748" s="28"/>
      <c r="SXH748" s="28"/>
      <c r="SXI748" s="28"/>
      <c r="SXJ748" s="28"/>
      <c r="SXK748" s="28"/>
      <c r="SXL748" s="28"/>
      <c r="SXM748" s="28"/>
      <c r="SXN748" s="28"/>
      <c r="SXO748" s="28"/>
      <c r="SXP748" s="28"/>
      <c r="SXQ748" s="28"/>
      <c r="SXR748" s="28"/>
      <c r="SXS748" s="28"/>
      <c r="SXT748" s="28"/>
      <c r="SXU748" s="28"/>
      <c r="SXV748" s="28"/>
      <c r="SXW748" s="28"/>
      <c r="SXX748" s="28"/>
      <c r="SXY748" s="28"/>
      <c r="SXZ748" s="28"/>
      <c r="SYA748" s="28"/>
      <c r="SYB748" s="28"/>
      <c r="SYC748" s="28"/>
      <c r="SYD748" s="28"/>
      <c r="SYE748" s="28"/>
      <c r="SYF748" s="28"/>
      <c r="SYG748" s="28"/>
      <c r="SYH748" s="28"/>
      <c r="SYI748" s="28"/>
      <c r="SYJ748" s="28"/>
      <c r="SYK748" s="28"/>
      <c r="SYL748" s="28"/>
      <c r="SYM748" s="28"/>
      <c r="SYN748" s="28"/>
      <c r="SYO748" s="28"/>
      <c r="SYP748" s="28"/>
      <c r="SYQ748" s="28"/>
      <c r="SYR748" s="28"/>
      <c r="SYS748" s="28"/>
      <c r="SYT748" s="28"/>
      <c r="SYU748" s="28"/>
      <c r="SYV748" s="28"/>
      <c r="SYW748" s="28"/>
      <c r="SYX748" s="28"/>
      <c r="SYY748" s="28"/>
      <c r="SYZ748" s="28"/>
      <c r="SZA748" s="28"/>
      <c r="SZB748" s="28"/>
      <c r="SZC748" s="28"/>
      <c r="SZD748" s="28"/>
      <c r="SZE748" s="28"/>
      <c r="SZF748" s="28"/>
      <c r="SZG748" s="28"/>
      <c r="SZH748" s="28"/>
      <c r="SZI748" s="28"/>
      <c r="SZJ748" s="28"/>
      <c r="SZK748" s="28"/>
      <c r="SZL748" s="28"/>
      <c r="SZM748" s="28"/>
      <c r="SZN748" s="28"/>
      <c r="SZO748" s="28"/>
      <c r="SZP748" s="28"/>
      <c r="SZQ748" s="28"/>
      <c r="SZR748" s="28"/>
      <c r="SZS748" s="28"/>
      <c r="SZT748" s="28"/>
      <c r="SZU748" s="28"/>
      <c r="SZV748" s="28"/>
      <c r="SZW748" s="28"/>
      <c r="SZX748" s="28"/>
      <c r="SZY748" s="28"/>
      <c r="SZZ748" s="28"/>
      <c r="TAA748" s="28"/>
      <c r="TAB748" s="28"/>
      <c r="TAC748" s="28"/>
      <c r="TAD748" s="28"/>
      <c r="TAE748" s="28"/>
      <c r="TAF748" s="28"/>
      <c r="TAG748" s="28"/>
      <c r="TAH748" s="28"/>
      <c r="TAI748" s="28"/>
      <c r="TAJ748" s="28"/>
      <c r="TAK748" s="28"/>
      <c r="TAL748" s="28"/>
      <c r="TAM748" s="28"/>
      <c r="TAN748" s="28"/>
      <c r="TAO748" s="28"/>
      <c r="TAP748" s="28"/>
      <c r="TAQ748" s="28"/>
      <c r="TAR748" s="28"/>
      <c r="TAS748" s="28"/>
      <c r="TAT748" s="28"/>
      <c r="TAU748" s="28"/>
      <c r="TAV748" s="28"/>
      <c r="TAW748" s="28"/>
      <c r="TAX748" s="28"/>
      <c r="TAY748" s="28"/>
      <c r="TAZ748" s="28"/>
      <c r="TBA748" s="28"/>
      <c r="TBB748" s="28"/>
      <c r="TBC748" s="28"/>
      <c r="TBD748" s="28"/>
      <c r="TBE748" s="28"/>
      <c r="TBF748" s="28"/>
      <c r="TBG748" s="28"/>
      <c r="TBH748" s="28"/>
      <c r="TBI748" s="28"/>
      <c r="TBJ748" s="28"/>
      <c r="TBK748" s="28"/>
      <c r="TBL748" s="28"/>
      <c r="TBM748" s="28"/>
      <c r="TBN748" s="28"/>
      <c r="TBO748" s="28"/>
      <c r="TBP748" s="28"/>
      <c r="TBQ748" s="28"/>
      <c r="TBR748" s="28"/>
      <c r="TBS748" s="28"/>
      <c r="TBT748" s="28"/>
      <c r="TBU748" s="28"/>
      <c r="TBV748" s="28"/>
      <c r="TBW748" s="28"/>
      <c r="TBX748" s="28"/>
      <c r="TBY748" s="28"/>
      <c r="TBZ748" s="28"/>
      <c r="TCA748" s="28"/>
      <c r="TCB748" s="28"/>
      <c r="TCC748" s="28"/>
      <c r="TCD748" s="28"/>
      <c r="TCE748" s="28"/>
      <c r="TCF748" s="28"/>
      <c r="TCG748" s="28"/>
      <c r="TCH748" s="28"/>
      <c r="TCI748" s="28"/>
      <c r="TCJ748" s="28"/>
      <c r="TCK748" s="28"/>
      <c r="TCL748" s="28"/>
      <c r="TCM748" s="28"/>
      <c r="TCN748" s="28"/>
      <c r="TCO748" s="28"/>
      <c r="TCP748" s="28"/>
      <c r="TCQ748" s="28"/>
      <c r="TCR748" s="28"/>
      <c r="TCS748" s="28"/>
      <c r="TCT748" s="28"/>
      <c r="TCU748" s="28"/>
      <c r="TCV748" s="28"/>
      <c r="TCW748" s="28"/>
      <c r="TCX748" s="28"/>
      <c r="TCY748" s="28"/>
      <c r="TCZ748" s="28"/>
      <c r="TDA748" s="28"/>
      <c r="TDB748" s="28"/>
      <c r="TDC748" s="28"/>
      <c r="TDD748" s="28"/>
      <c r="TDE748" s="28"/>
      <c r="TDF748" s="28"/>
      <c r="TDG748" s="28"/>
      <c r="TDH748" s="28"/>
      <c r="TDI748" s="28"/>
      <c r="TDJ748" s="28"/>
      <c r="TDK748" s="28"/>
      <c r="TDL748" s="28"/>
      <c r="TDM748" s="28"/>
      <c r="TDN748" s="28"/>
      <c r="TDO748" s="28"/>
      <c r="TDP748" s="28"/>
      <c r="TDQ748" s="28"/>
      <c r="TDR748" s="28"/>
      <c r="TDS748" s="28"/>
      <c r="TDT748" s="28"/>
      <c r="TDU748" s="28"/>
      <c r="TDV748" s="28"/>
      <c r="TDW748" s="28"/>
      <c r="TDX748" s="28"/>
      <c r="TDY748" s="28"/>
      <c r="TDZ748" s="28"/>
      <c r="TEA748" s="28"/>
      <c r="TEB748" s="28"/>
      <c r="TEC748" s="28"/>
      <c r="TED748" s="28"/>
      <c r="TEE748" s="28"/>
      <c r="TEF748" s="28"/>
      <c r="TEG748" s="28"/>
      <c r="TEH748" s="28"/>
      <c r="TEI748" s="28"/>
      <c r="TEJ748" s="28"/>
      <c r="TEK748" s="28"/>
      <c r="TEL748" s="28"/>
      <c r="TEM748" s="28"/>
      <c r="TEN748" s="28"/>
      <c r="TEO748" s="28"/>
      <c r="TEP748" s="28"/>
      <c r="TEQ748" s="28"/>
      <c r="TER748" s="28"/>
      <c r="TES748" s="28"/>
      <c r="TET748" s="28"/>
      <c r="TEU748" s="28"/>
      <c r="TEV748" s="28"/>
      <c r="TEW748" s="28"/>
      <c r="TEX748" s="28"/>
      <c r="TEY748" s="28"/>
      <c r="TEZ748" s="28"/>
      <c r="TFA748" s="28"/>
      <c r="TFB748" s="28"/>
      <c r="TFC748" s="28"/>
      <c r="TFD748" s="28"/>
      <c r="TFE748" s="28"/>
      <c r="TFF748" s="28"/>
      <c r="TFG748" s="28"/>
      <c r="TFH748" s="28"/>
      <c r="TFI748" s="28"/>
      <c r="TFJ748" s="28"/>
      <c r="TFK748" s="28"/>
      <c r="TFL748" s="28"/>
      <c r="TFM748" s="28"/>
      <c r="TFN748" s="28"/>
      <c r="TFO748" s="28"/>
      <c r="TFP748" s="28"/>
      <c r="TFQ748" s="28"/>
      <c r="TFR748" s="28"/>
      <c r="TFS748" s="28"/>
      <c r="TFT748" s="28"/>
      <c r="TFU748" s="28"/>
      <c r="TFV748" s="28"/>
      <c r="TFW748" s="28"/>
      <c r="TFX748" s="28"/>
      <c r="TFY748" s="28"/>
      <c r="TFZ748" s="28"/>
      <c r="TGA748" s="28"/>
      <c r="TGB748" s="28"/>
      <c r="TGC748" s="28"/>
      <c r="TGD748" s="28"/>
      <c r="TGE748" s="28"/>
      <c r="TGF748" s="28"/>
      <c r="TGG748" s="28"/>
      <c r="TGH748" s="28"/>
      <c r="TGI748" s="28"/>
      <c r="TGJ748" s="28"/>
      <c r="TGK748" s="28"/>
      <c r="TGL748" s="28"/>
      <c r="TGM748" s="28"/>
      <c r="TGN748" s="28"/>
      <c r="TGO748" s="28"/>
      <c r="TGP748" s="28"/>
      <c r="TGQ748" s="28"/>
      <c r="TGR748" s="28"/>
      <c r="TGS748" s="28"/>
      <c r="TGT748" s="28"/>
      <c r="TGU748" s="28"/>
      <c r="TGV748" s="28"/>
      <c r="TGW748" s="28"/>
      <c r="TGX748" s="28"/>
      <c r="TGY748" s="28"/>
      <c r="TGZ748" s="28"/>
      <c r="THA748" s="28"/>
      <c r="THB748" s="28"/>
      <c r="THC748" s="28"/>
      <c r="THD748" s="28"/>
      <c r="THE748" s="28"/>
      <c r="THF748" s="28"/>
      <c r="THG748" s="28"/>
      <c r="THH748" s="28"/>
      <c r="THI748" s="28"/>
      <c r="THJ748" s="28"/>
      <c r="THK748" s="28"/>
      <c r="THL748" s="28"/>
      <c r="THM748" s="28"/>
      <c r="THN748" s="28"/>
      <c r="THO748" s="28"/>
      <c r="THP748" s="28"/>
      <c r="THQ748" s="28"/>
      <c r="THR748" s="28"/>
      <c r="THS748" s="28"/>
      <c r="THT748" s="28"/>
      <c r="THU748" s="28"/>
      <c r="THV748" s="28"/>
      <c r="THW748" s="28"/>
      <c r="THX748" s="28"/>
      <c r="THY748" s="28"/>
      <c r="THZ748" s="28"/>
      <c r="TIA748" s="28"/>
      <c r="TIB748" s="28"/>
      <c r="TIC748" s="28"/>
      <c r="TID748" s="28"/>
      <c r="TIE748" s="28"/>
      <c r="TIF748" s="28"/>
      <c r="TIG748" s="28"/>
      <c r="TIH748" s="28"/>
      <c r="TII748" s="28"/>
      <c r="TIJ748" s="28"/>
      <c r="TIK748" s="28"/>
      <c r="TIL748" s="28"/>
      <c r="TIM748" s="28"/>
      <c r="TIN748" s="28"/>
      <c r="TIO748" s="28"/>
      <c r="TIP748" s="28"/>
      <c r="TIQ748" s="28"/>
      <c r="TIR748" s="28"/>
      <c r="TIS748" s="28"/>
      <c r="TIT748" s="28"/>
      <c r="TIU748" s="28"/>
      <c r="TIV748" s="28"/>
      <c r="TIW748" s="28"/>
      <c r="TIX748" s="28"/>
      <c r="TIY748" s="28"/>
      <c r="TIZ748" s="28"/>
      <c r="TJA748" s="28"/>
      <c r="TJB748" s="28"/>
      <c r="TJC748" s="28"/>
      <c r="TJD748" s="28"/>
      <c r="TJE748" s="28"/>
      <c r="TJF748" s="28"/>
      <c r="TJG748" s="28"/>
      <c r="TJH748" s="28"/>
      <c r="TJI748" s="28"/>
      <c r="TJJ748" s="28"/>
      <c r="TJK748" s="28"/>
      <c r="TJL748" s="28"/>
      <c r="TJM748" s="28"/>
      <c r="TJN748" s="28"/>
      <c r="TJO748" s="28"/>
      <c r="TJP748" s="28"/>
      <c r="TJQ748" s="28"/>
      <c r="TJR748" s="28"/>
      <c r="TJS748" s="28"/>
      <c r="TJT748" s="28"/>
      <c r="TJU748" s="28"/>
      <c r="TJV748" s="28"/>
      <c r="TJW748" s="28"/>
      <c r="TJX748" s="28"/>
      <c r="TJY748" s="28"/>
      <c r="TJZ748" s="28"/>
      <c r="TKA748" s="28"/>
      <c r="TKB748" s="28"/>
      <c r="TKC748" s="28"/>
      <c r="TKD748" s="28"/>
      <c r="TKE748" s="28"/>
      <c r="TKF748" s="28"/>
      <c r="TKG748" s="28"/>
      <c r="TKH748" s="28"/>
      <c r="TKI748" s="28"/>
      <c r="TKJ748" s="28"/>
      <c r="TKK748" s="28"/>
      <c r="TKL748" s="28"/>
      <c r="TKM748" s="28"/>
      <c r="TKN748" s="28"/>
      <c r="TKO748" s="28"/>
      <c r="TKP748" s="28"/>
      <c r="TKQ748" s="28"/>
      <c r="TKR748" s="28"/>
      <c r="TKS748" s="28"/>
      <c r="TKT748" s="28"/>
      <c r="TKU748" s="28"/>
      <c r="TKV748" s="28"/>
      <c r="TKW748" s="28"/>
      <c r="TKX748" s="28"/>
      <c r="TKY748" s="28"/>
      <c r="TKZ748" s="28"/>
      <c r="TLA748" s="28"/>
      <c r="TLB748" s="28"/>
      <c r="TLC748" s="28"/>
      <c r="TLD748" s="28"/>
      <c r="TLE748" s="28"/>
      <c r="TLF748" s="28"/>
      <c r="TLG748" s="28"/>
      <c r="TLH748" s="28"/>
      <c r="TLI748" s="28"/>
      <c r="TLJ748" s="28"/>
      <c r="TLK748" s="28"/>
      <c r="TLL748" s="28"/>
      <c r="TLM748" s="28"/>
      <c r="TLN748" s="28"/>
      <c r="TLO748" s="28"/>
      <c r="TLP748" s="28"/>
      <c r="TLQ748" s="28"/>
      <c r="TLR748" s="28"/>
      <c r="TLS748" s="28"/>
      <c r="TLT748" s="28"/>
      <c r="TLU748" s="28"/>
      <c r="TLV748" s="28"/>
      <c r="TLW748" s="28"/>
      <c r="TLX748" s="28"/>
      <c r="TLY748" s="28"/>
      <c r="TLZ748" s="28"/>
      <c r="TMA748" s="28"/>
      <c r="TMB748" s="28"/>
      <c r="TMC748" s="28"/>
      <c r="TMD748" s="28"/>
      <c r="TME748" s="28"/>
      <c r="TMF748" s="28"/>
      <c r="TMG748" s="28"/>
      <c r="TMH748" s="28"/>
      <c r="TMI748" s="28"/>
      <c r="TMJ748" s="28"/>
      <c r="TMK748" s="28"/>
      <c r="TML748" s="28"/>
      <c r="TMM748" s="28"/>
      <c r="TMN748" s="28"/>
      <c r="TMO748" s="28"/>
      <c r="TMP748" s="28"/>
      <c r="TMQ748" s="28"/>
      <c r="TMR748" s="28"/>
      <c r="TMS748" s="28"/>
      <c r="TMT748" s="28"/>
      <c r="TMU748" s="28"/>
      <c r="TMV748" s="28"/>
      <c r="TMW748" s="28"/>
      <c r="TMX748" s="28"/>
      <c r="TMY748" s="28"/>
      <c r="TMZ748" s="28"/>
      <c r="TNA748" s="28"/>
      <c r="TNB748" s="28"/>
      <c r="TNC748" s="28"/>
      <c r="TND748" s="28"/>
      <c r="TNE748" s="28"/>
      <c r="TNF748" s="28"/>
      <c r="TNG748" s="28"/>
      <c r="TNH748" s="28"/>
      <c r="TNI748" s="28"/>
      <c r="TNJ748" s="28"/>
      <c r="TNK748" s="28"/>
      <c r="TNL748" s="28"/>
      <c r="TNM748" s="28"/>
      <c r="TNN748" s="28"/>
      <c r="TNO748" s="28"/>
      <c r="TNP748" s="28"/>
      <c r="TNQ748" s="28"/>
      <c r="TNR748" s="28"/>
      <c r="TNS748" s="28"/>
      <c r="TNT748" s="28"/>
      <c r="TNU748" s="28"/>
      <c r="TNV748" s="28"/>
      <c r="TNW748" s="28"/>
      <c r="TNX748" s="28"/>
      <c r="TNY748" s="28"/>
      <c r="TNZ748" s="28"/>
      <c r="TOA748" s="28"/>
      <c r="TOB748" s="28"/>
      <c r="TOC748" s="28"/>
      <c r="TOD748" s="28"/>
      <c r="TOE748" s="28"/>
      <c r="TOF748" s="28"/>
      <c r="TOG748" s="28"/>
      <c r="TOH748" s="28"/>
      <c r="TOI748" s="28"/>
      <c r="TOJ748" s="28"/>
      <c r="TOK748" s="28"/>
      <c r="TOL748" s="28"/>
      <c r="TOM748" s="28"/>
      <c r="TON748" s="28"/>
      <c r="TOO748" s="28"/>
      <c r="TOP748" s="28"/>
      <c r="TOQ748" s="28"/>
      <c r="TOR748" s="28"/>
      <c r="TOS748" s="28"/>
      <c r="TOT748" s="28"/>
      <c r="TOU748" s="28"/>
      <c r="TOV748" s="28"/>
      <c r="TOW748" s="28"/>
      <c r="TOX748" s="28"/>
      <c r="TOY748" s="28"/>
      <c r="TOZ748" s="28"/>
      <c r="TPA748" s="28"/>
      <c r="TPB748" s="28"/>
      <c r="TPC748" s="28"/>
      <c r="TPD748" s="28"/>
      <c r="TPE748" s="28"/>
      <c r="TPF748" s="28"/>
      <c r="TPG748" s="28"/>
      <c r="TPH748" s="28"/>
      <c r="TPI748" s="28"/>
      <c r="TPJ748" s="28"/>
      <c r="TPK748" s="28"/>
      <c r="TPL748" s="28"/>
      <c r="TPM748" s="28"/>
      <c r="TPN748" s="28"/>
      <c r="TPO748" s="28"/>
      <c r="TPP748" s="28"/>
      <c r="TPQ748" s="28"/>
      <c r="TPR748" s="28"/>
      <c r="TPS748" s="28"/>
      <c r="TPT748" s="28"/>
      <c r="TPU748" s="28"/>
      <c r="TPV748" s="28"/>
      <c r="TPW748" s="28"/>
      <c r="TPX748" s="28"/>
      <c r="TPY748" s="28"/>
      <c r="TPZ748" s="28"/>
      <c r="TQA748" s="28"/>
      <c r="TQB748" s="28"/>
      <c r="TQC748" s="28"/>
      <c r="TQD748" s="28"/>
      <c r="TQE748" s="28"/>
      <c r="TQF748" s="28"/>
      <c r="TQG748" s="28"/>
      <c r="TQH748" s="28"/>
      <c r="TQI748" s="28"/>
      <c r="TQJ748" s="28"/>
      <c r="TQK748" s="28"/>
      <c r="TQL748" s="28"/>
      <c r="TQM748" s="28"/>
      <c r="TQN748" s="28"/>
      <c r="TQO748" s="28"/>
      <c r="TQP748" s="28"/>
      <c r="TQQ748" s="28"/>
      <c r="TQR748" s="28"/>
      <c r="TQS748" s="28"/>
      <c r="TQT748" s="28"/>
      <c r="TQU748" s="28"/>
      <c r="TQV748" s="28"/>
      <c r="TQW748" s="28"/>
      <c r="TQX748" s="28"/>
      <c r="TQY748" s="28"/>
      <c r="TQZ748" s="28"/>
      <c r="TRA748" s="28"/>
      <c r="TRB748" s="28"/>
      <c r="TRC748" s="28"/>
      <c r="TRD748" s="28"/>
      <c r="TRE748" s="28"/>
      <c r="TRF748" s="28"/>
      <c r="TRG748" s="28"/>
      <c r="TRH748" s="28"/>
      <c r="TRI748" s="28"/>
      <c r="TRJ748" s="28"/>
      <c r="TRK748" s="28"/>
      <c r="TRL748" s="28"/>
      <c r="TRM748" s="28"/>
      <c r="TRN748" s="28"/>
      <c r="TRO748" s="28"/>
      <c r="TRP748" s="28"/>
      <c r="TRQ748" s="28"/>
      <c r="TRR748" s="28"/>
      <c r="TRS748" s="28"/>
      <c r="TRT748" s="28"/>
      <c r="TRU748" s="28"/>
      <c r="TRV748" s="28"/>
      <c r="TRW748" s="28"/>
      <c r="TRX748" s="28"/>
      <c r="TRY748" s="28"/>
      <c r="TRZ748" s="28"/>
      <c r="TSA748" s="28"/>
      <c r="TSB748" s="28"/>
      <c r="TSC748" s="28"/>
      <c r="TSD748" s="28"/>
      <c r="TSE748" s="28"/>
      <c r="TSF748" s="28"/>
      <c r="TSG748" s="28"/>
      <c r="TSH748" s="28"/>
      <c r="TSI748" s="28"/>
      <c r="TSJ748" s="28"/>
      <c r="TSK748" s="28"/>
      <c r="TSL748" s="28"/>
      <c r="TSM748" s="28"/>
      <c r="TSN748" s="28"/>
      <c r="TSO748" s="28"/>
      <c r="TSP748" s="28"/>
      <c r="TSQ748" s="28"/>
      <c r="TSR748" s="28"/>
      <c r="TSS748" s="28"/>
      <c r="TST748" s="28"/>
      <c r="TSU748" s="28"/>
      <c r="TSV748" s="28"/>
      <c r="TSW748" s="28"/>
      <c r="TSX748" s="28"/>
      <c r="TSY748" s="28"/>
      <c r="TSZ748" s="28"/>
      <c r="TTA748" s="28"/>
      <c r="TTB748" s="28"/>
      <c r="TTC748" s="28"/>
      <c r="TTD748" s="28"/>
      <c r="TTE748" s="28"/>
      <c r="TTF748" s="28"/>
      <c r="TTG748" s="28"/>
      <c r="TTH748" s="28"/>
      <c r="TTI748" s="28"/>
      <c r="TTJ748" s="28"/>
      <c r="TTK748" s="28"/>
      <c r="TTL748" s="28"/>
      <c r="TTM748" s="28"/>
      <c r="TTN748" s="28"/>
      <c r="TTO748" s="28"/>
      <c r="TTP748" s="28"/>
      <c r="TTQ748" s="28"/>
      <c r="TTR748" s="28"/>
      <c r="TTS748" s="28"/>
      <c r="TTT748" s="28"/>
      <c r="TTU748" s="28"/>
      <c r="TTV748" s="28"/>
      <c r="TTW748" s="28"/>
      <c r="TTX748" s="28"/>
      <c r="TTY748" s="28"/>
      <c r="TTZ748" s="28"/>
      <c r="TUA748" s="28"/>
      <c r="TUB748" s="28"/>
      <c r="TUC748" s="28"/>
      <c r="TUD748" s="28"/>
      <c r="TUE748" s="28"/>
      <c r="TUF748" s="28"/>
      <c r="TUG748" s="28"/>
      <c r="TUH748" s="28"/>
      <c r="TUI748" s="28"/>
      <c r="TUJ748" s="28"/>
      <c r="TUK748" s="28"/>
      <c r="TUL748" s="28"/>
      <c r="TUM748" s="28"/>
      <c r="TUN748" s="28"/>
      <c r="TUO748" s="28"/>
      <c r="TUP748" s="28"/>
      <c r="TUQ748" s="28"/>
      <c r="TUR748" s="28"/>
      <c r="TUS748" s="28"/>
      <c r="TUT748" s="28"/>
      <c r="TUU748" s="28"/>
      <c r="TUV748" s="28"/>
      <c r="TUW748" s="28"/>
      <c r="TUX748" s="28"/>
      <c r="TUY748" s="28"/>
      <c r="TUZ748" s="28"/>
      <c r="TVA748" s="28"/>
      <c r="TVB748" s="28"/>
      <c r="TVC748" s="28"/>
      <c r="TVD748" s="28"/>
      <c r="TVE748" s="28"/>
      <c r="TVF748" s="28"/>
      <c r="TVG748" s="28"/>
      <c r="TVH748" s="28"/>
      <c r="TVI748" s="28"/>
      <c r="TVJ748" s="28"/>
      <c r="TVK748" s="28"/>
      <c r="TVL748" s="28"/>
      <c r="TVM748" s="28"/>
      <c r="TVN748" s="28"/>
      <c r="TVO748" s="28"/>
      <c r="TVP748" s="28"/>
      <c r="TVQ748" s="28"/>
      <c r="TVR748" s="28"/>
      <c r="TVS748" s="28"/>
      <c r="TVT748" s="28"/>
      <c r="TVU748" s="28"/>
      <c r="TVV748" s="28"/>
      <c r="TVW748" s="28"/>
      <c r="TVX748" s="28"/>
      <c r="TVY748" s="28"/>
      <c r="TVZ748" s="28"/>
      <c r="TWA748" s="28"/>
      <c r="TWB748" s="28"/>
      <c r="TWC748" s="28"/>
      <c r="TWD748" s="28"/>
      <c r="TWE748" s="28"/>
      <c r="TWF748" s="28"/>
      <c r="TWG748" s="28"/>
      <c r="TWH748" s="28"/>
      <c r="TWI748" s="28"/>
      <c r="TWJ748" s="28"/>
      <c r="TWK748" s="28"/>
      <c r="TWL748" s="28"/>
      <c r="TWM748" s="28"/>
      <c r="TWN748" s="28"/>
      <c r="TWO748" s="28"/>
      <c r="TWP748" s="28"/>
      <c r="TWQ748" s="28"/>
      <c r="TWR748" s="28"/>
      <c r="TWS748" s="28"/>
      <c r="TWT748" s="28"/>
      <c r="TWU748" s="28"/>
      <c r="TWV748" s="28"/>
      <c r="TWW748" s="28"/>
      <c r="TWX748" s="28"/>
      <c r="TWY748" s="28"/>
      <c r="TWZ748" s="28"/>
      <c r="TXA748" s="28"/>
      <c r="TXB748" s="28"/>
      <c r="TXC748" s="28"/>
      <c r="TXD748" s="28"/>
      <c r="TXE748" s="28"/>
      <c r="TXF748" s="28"/>
      <c r="TXG748" s="28"/>
      <c r="TXH748" s="28"/>
      <c r="TXI748" s="28"/>
      <c r="TXJ748" s="28"/>
      <c r="TXK748" s="28"/>
      <c r="TXL748" s="28"/>
      <c r="TXM748" s="28"/>
      <c r="TXN748" s="28"/>
      <c r="TXO748" s="28"/>
      <c r="TXP748" s="28"/>
      <c r="TXQ748" s="28"/>
      <c r="TXR748" s="28"/>
      <c r="TXS748" s="28"/>
      <c r="TXT748" s="28"/>
      <c r="TXU748" s="28"/>
      <c r="TXV748" s="28"/>
      <c r="TXW748" s="28"/>
      <c r="TXX748" s="28"/>
      <c r="TXY748" s="28"/>
      <c r="TXZ748" s="28"/>
      <c r="TYA748" s="28"/>
      <c r="TYB748" s="28"/>
      <c r="TYC748" s="28"/>
      <c r="TYD748" s="28"/>
      <c r="TYE748" s="28"/>
      <c r="TYF748" s="28"/>
      <c r="TYG748" s="28"/>
      <c r="TYH748" s="28"/>
      <c r="TYI748" s="28"/>
      <c r="TYJ748" s="28"/>
      <c r="TYK748" s="28"/>
      <c r="TYL748" s="28"/>
      <c r="TYM748" s="28"/>
      <c r="TYN748" s="28"/>
      <c r="TYO748" s="28"/>
      <c r="TYP748" s="28"/>
      <c r="TYQ748" s="28"/>
      <c r="TYR748" s="28"/>
      <c r="TYS748" s="28"/>
      <c r="TYT748" s="28"/>
      <c r="TYU748" s="28"/>
      <c r="TYV748" s="28"/>
      <c r="TYW748" s="28"/>
      <c r="TYX748" s="28"/>
      <c r="TYY748" s="28"/>
      <c r="TYZ748" s="28"/>
      <c r="TZA748" s="28"/>
      <c r="TZB748" s="28"/>
      <c r="TZC748" s="28"/>
      <c r="TZD748" s="28"/>
      <c r="TZE748" s="28"/>
      <c r="TZF748" s="28"/>
      <c r="TZG748" s="28"/>
      <c r="TZH748" s="28"/>
      <c r="TZI748" s="28"/>
      <c r="TZJ748" s="28"/>
      <c r="TZK748" s="28"/>
      <c r="TZL748" s="28"/>
      <c r="TZM748" s="28"/>
      <c r="TZN748" s="28"/>
      <c r="TZO748" s="28"/>
      <c r="TZP748" s="28"/>
      <c r="TZQ748" s="28"/>
      <c r="TZR748" s="28"/>
      <c r="TZS748" s="28"/>
      <c r="TZT748" s="28"/>
      <c r="TZU748" s="28"/>
      <c r="TZV748" s="28"/>
      <c r="TZW748" s="28"/>
      <c r="TZX748" s="28"/>
      <c r="TZY748" s="28"/>
      <c r="TZZ748" s="28"/>
      <c r="UAA748" s="28"/>
      <c r="UAB748" s="28"/>
      <c r="UAC748" s="28"/>
      <c r="UAD748" s="28"/>
      <c r="UAE748" s="28"/>
      <c r="UAF748" s="28"/>
      <c r="UAG748" s="28"/>
      <c r="UAH748" s="28"/>
      <c r="UAI748" s="28"/>
      <c r="UAJ748" s="28"/>
      <c r="UAK748" s="28"/>
      <c r="UAL748" s="28"/>
      <c r="UAM748" s="28"/>
      <c r="UAN748" s="28"/>
      <c r="UAO748" s="28"/>
      <c r="UAP748" s="28"/>
      <c r="UAQ748" s="28"/>
      <c r="UAR748" s="28"/>
      <c r="UAS748" s="28"/>
      <c r="UAT748" s="28"/>
      <c r="UAU748" s="28"/>
      <c r="UAV748" s="28"/>
      <c r="UAW748" s="28"/>
      <c r="UAX748" s="28"/>
      <c r="UAY748" s="28"/>
      <c r="UAZ748" s="28"/>
      <c r="UBA748" s="28"/>
      <c r="UBB748" s="28"/>
      <c r="UBC748" s="28"/>
      <c r="UBD748" s="28"/>
      <c r="UBE748" s="28"/>
      <c r="UBF748" s="28"/>
      <c r="UBG748" s="28"/>
      <c r="UBH748" s="28"/>
      <c r="UBI748" s="28"/>
      <c r="UBJ748" s="28"/>
      <c r="UBK748" s="28"/>
      <c r="UBL748" s="28"/>
      <c r="UBM748" s="28"/>
      <c r="UBN748" s="28"/>
      <c r="UBO748" s="28"/>
      <c r="UBP748" s="28"/>
      <c r="UBQ748" s="28"/>
      <c r="UBR748" s="28"/>
      <c r="UBS748" s="28"/>
      <c r="UBT748" s="28"/>
      <c r="UBU748" s="28"/>
      <c r="UBV748" s="28"/>
      <c r="UBW748" s="28"/>
      <c r="UBX748" s="28"/>
      <c r="UBY748" s="28"/>
      <c r="UBZ748" s="28"/>
      <c r="UCA748" s="28"/>
      <c r="UCB748" s="28"/>
      <c r="UCC748" s="28"/>
      <c r="UCD748" s="28"/>
      <c r="UCE748" s="28"/>
      <c r="UCF748" s="28"/>
      <c r="UCG748" s="28"/>
      <c r="UCH748" s="28"/>
      <c r="UCI748" s="28"/>
      <c r="UCJ748" s="28"/>
      <c r="UCK748" s="28"/>
      <c r="UCL748" s="28"/>
      <c r="UCM748" s="28"/>
      <c r="UCN748" s="28"/>
      <c r="UCO748" s="28"/>
      <c r="UCP748" s="28"/>
      <c r="UCQ748" s="28"/>
      <c r="UCR748" s="28"/>
      <c r="UCS748" s="28"/>
      <c r="UCT748" s="28"/>
      <c r="UCU748" s="28"/>
      <c r="UCV748" s="28"/>
      <c r="UCW748" s="28"/>
      <c r="UCX748" s="28"/>
      <c r="UCY748" s="28"/>
      <c r="UCZ748" s="28"/>
      <c r="UDA748" s="28"/>
      <c r="UDB748" s="28"/>
      <c r="UDC748" s="28"/>
      <c r="UDD748" s="28"/>
      <c r="UDE748" s="28"/>
      <c r="UDF748" s="28"/>
      <c r="UDG748" s="28"/>
      <c r="UDH748" s="28"/>
      <c r="UDI748" s="28"/>
      <c r="UDJ748" s="28"/>
      <c r="UDK748" s="28"/>
      <c r="UDL748" s="28"/>
      <c r="UDM748" s="28"/>
      <c r="UDN748" s="28"/>
      <c r="UDO748" s="28"/>
      <c r="UDP748" s="28"/>
      <c r="UDQ748" s="28"/>
      <c r="UDR748" s="28"/>
      <c r="UDS748" s="28"/>
      <c r="UDT748" s="28"/>
      <c r="UDU748" s="28"/>
      <c r="UDV748" s="28"/>
      <c r="UDW748" s="28"/>
      <c r="UDX748" s="28"/>
      <c r="UDY748" s="28"/>
      <c r="UDZ748" s="28"/>
      <c r="UEA748" s="28"/>
      <c r="UEB748" s="28"/>
      <c r="UEC748" s="28"/>
      <c r="UED748" s="28"/>
      <c r="UEE748" s="28"/>
      <c r="UEF748" s="28"/>
      <c r="UEG748" s="28"/>
      <c r="UEH748" s="28"/>
      <c r="UEI748" s="28"/>
      <c r="UEJ748" s="28"/>
      <c r="UEK748" s="28"/>
      <c r="UEL748" s="28"/>
      <c r="UEM748" s="28"/>
      <c r="UEN748" s="28"/>
      <c r="UEO748" s="28"/>
      <c r="UEP748" s="28"/>
      <c r="UEQ748" s="28"/>
      <c r="UER748" s="28"/>
      <c r="UES748" s="28"/>
      <c r="UET748" s="28"/>
      <c r="UEU748" s="28"/>
      <c r="UEV748" s="28"/>
      <c r="UEW748" s="28"/>
      <c r="UEX748" s="28"/>
      <c r="UEY748" s="28"/>
      <c r="UEZ748" s="28"/>
      <c r="UFA748" s="28"/>
      <c r="UFB748" s="28"/>
      <c r="UFC748" s="28"/>
      <c r="UFD748" s="28"/>
      <c r="UFE748" s="28"/>
      <c r="UFF748" s="28"/>
      <c r="UFG748" s="28"/>
      <c r="UFH748" s="28"/>
      <c r="UFI748" s="28"/>
      <c r="UFJ748" s="28"/>
      <c r="UFK748" s="28"/>
      <c r="UFL748" s="28"/>
      <c r="UFM748" s="28"/>
      <c r="UFN748" s="28"/>
      <c r="UFO748" s="28"/>
      <c r="UFP748" s="28"/>
      <c r="UFQ748" s="28"/>
      <c r="UFR748" s="28"/>
      <c r="UFS748" s="28"/>
      <c r="UFT748" s="28"/>
      <c r="UFU748" s="28"/>
      <c r="UFV748" s="28"/>
      <c r="UFW748" s="28"/>
      <c r="UFX748" s="28"/>
      <c r="UFY748" s="28"/>
      <c r="UFZ748" s="28"/>
      <c r="UGA748" s="28"/>
      <c r="UGB748" s="28"/>
      <c r="UGC748" s="28"/>
      <c r="UGD748" s="28"/>
      <c r="UGE748" s="28"/>
      <c r="UGF748" s="28"/>
      <c r="UGG748" s="28"/>
      <c r="UGH748" s="28"/>
      <c r="UGI748" s="28"/>
      <c r="UGJ748" s="28"/>
      <c r="UGK748" s="28"/>
      <c r="UGL748" s="28"/>
      <c r="UGM748" s="28"/>
      <c r="UGN748" s="28"/>
      <c r="UGO748" s="28"/>
      <c r="UGP748" s="28"/>
      <c r="UGQ748" s="28"/>
      <c r="UGR748" s="28"/>
      <c r="UGS748" s="28"/>
      <c r="UGT748" s="28"/>
      <c r="UGU748" s="28"/>
      <c r="UGV748" s="28"/>
      <c r="UGW748" s="28"/>
      <c r="UGX748" s="28"/>
      <c r="UGY748" s="28"/>
      <c r="UGZ748" s="28"/>
      <c r="UHA748" s="28"/>
      <c r="UHB748" s="28"/>
      <c r="UHC748" s="28"/>
      <c r="UHD748" s="28"/>
      <c r="UHE748" s="28"/>
      <c r="UHF748" s="28"/>
      <c r="UHG748" s="28"/>
      <c r="UHH748" s="28"/>
      <c r="UHI748" s="28"/>
      <c r="UHJ748" s="28"/>
      <c r="UHK748" s="28"/>
      <c r="UHL748" s="28"/>
      <c r="UHM748" s="28"/>
      <c r="UHN748" s="28"/>
      <c r="UHO748" s="28"/>
      <c r="UHP748" s="28"/>
      <c r="UHQ748" s="28"/>
      <c r="UHR748" s="28"/>
      <c r="UHS748" s="28"/>
      <c r="UHT748" s="28"/>
      <c r="UHU748" s="28"/>
      <c r="UHV748" s="28"/>
      <c r="UHW748" s="28"/>
      <c r="UHX748" s="28"/>
      <c r="UHY748" s="28"/>
      <c r="UHZ748" s="28"/>
      <c r="UIA748" s="28"/>
      <c r="UIB748" s="28"/>
      <c r="UIC748" s="28"/>
      <c r="UID748" s="28"/>
      <c r="UIE748" s="28"/>
      <c r="UIF748" s="28"/>
      <c r="UIG748" s="28"/>
      <c r="UIH748" s="28"/>
      <c r="UII748" s="28"/>
      <c r="UIJ748" s="28"/>
      <c r="UIK748" s="28"/>
      <c r="UIL748" s="28"/>
      <c r="UIM748" s="28"/>
      <c r="UIN748" s="28"/>
      <c r="UIO748" s="28"/>
      <c r="UIP748" s="28"/>
      <c r="UIQ748" s="28"/>
      <c r="UIR748" s="28"/>
      <c r="UIS748" s="28"/>
      <c r="UIT748" s="28"/>
      <c r="UIU748" s="28"/>
      <c r="UIV748" s="28"/>
      <c r="UIW748" s="28"/>
      <c r="UIX748" s="28"/>
      <c r="UIY748" s="28"/>
      <c r="UIZ748" s="28"/>
      <c r="UJA748" s="28"/>
      <c r="UJB748" s="28"/>
      <c r="UJC748" s="28"/>
      <c r="UJD748" s="28"/>
      <c r="UJE748" s="28"/>
      <c r="UJF748" s="28"/>
      <c r="UJG748" s="28"/>
      <c r="UJH748" s="28"/>
      <c r="UJI748" s="28"/>
      <c r="UJJ748" s="28"/>
      <c r="UJK748" s="28"/>
      <c r="UJL748" s="28"/>
      <c r="UJM748" s="28"/>
      <c r="UJN748" s="28"/>
      <c r="UJO748" s="28"/>
      <c r="UJP748" s="28"/>
      <c r="UJQ748" s="28"/>
      <c r="UJR748" s="28"/>
      <c r="UJS748" s="28"/>
      <c r="UJT748" s="28"/>
      <c r="UJU748" s="28"/>
      <c r="UJV748" s="28"/>
      <c r="UJW748" s="28"/>
      <c r="UJX748" s="28"/>
      <c r="UJY748" s="28"/>
      <c r="UJZ748" s="28"/>
      <c r="UKA748" s="28"/>
      <c r="UKB748" s="28"/>
      <c r="UKC748" s="28"/>
      <c r="UKD748" s="28"/>
      <c r="UKE748" s="28"/>
      <c r="UKF748" s="28"/>
      <c r="UKG748" s="28"/>
      <c r="UKH748" s="28"/>
      <c r="UKI748" s="28"/>
      <c r="UKJ748" s="28"/>
      <c r="UKK748" s="28"/>
      <c r="UKL748" s="28"/>
      <c r="UKM748" s="28"/>
      <c r="UKN748" s="28"/>
      <c r="UKO748" s="28"/>
      <c r="UKP748" s="28"/>
      <c r="UKQ748" s="28"/>
      <c r="UKR748" s="28"/>
      <c r="UKS748" s="28"/>
      <c r="UKT748" s="28"/>
      <c r="UKU748" s="28"/>
      <c r="UKV748" s="28"/>
      <c r="UKW748" s="28"/>
      <c r="UKX748" s="28"/>
      <c r="UKY748" s="28"/>
      <c r="UKZ748" s="28"/>
      <c r="ULA748" s="28"/>
      <c r="ULB748" s="28"/>
      <c r="ULC748" s="28"/>
      <c r="ULD748" s="28"/>
      <c r="ULE748" s="28"/>
      <c r="ULF748" s="28"/>
      <c r="ULG748" s="28"/>
      <c r="ULH748" s="28"/>
      <c r="ULI748" s="28"/>
      <c r="ULJ748" s="28"/>
      <c r="ULK748" s="28"/>
      <c r="ULL748" s="28"/>
      <c r="ULM748" s="28"/>
      <c r="ULN748" s="28"/>
      <c r="ULO748" s="28"/>
      <c r="ULP748" s="28"/>
      <c r="ULQ748" s="28"/>
      <c r="ULR748" s="28"/>
      <c r="ULS748" s="28"/>
      <c r="ULT748" s="28"/>
      <c r="ULU748" s="28"/>
      <c r="ULV748" s="28"/>
      <c r="ULW748" s="28"/>
      <c r="ULX748" s="28"/>
      <c r="ULY748" s="28"/>
      <c r="ULZ748" s="28"/>
      <c r="UMA748" s="28"/>
      <c r="UMB748" s="28"/>
      <c r="UMC748" s="28"/>
      <c r="UMD748" s="28"/>
      <c r="UME748" s="28"/>
      <c r="UMF748" s="28"/>
      <c r="UMG748" s="28"/>
      <c r="UMH748" s="28"/>
      <c r="UMI748" s="28"/>
      <c r="UMJ748" s="28"/>
      <c r="UMK748" s="28"/>
      <c r="UML748" s="28"/>
      <c r="UMM748" s="28"/>
      <c r="UMN748" s="28"/>
      <c r="UMO748" s="28"/>
      <c r="UMP748" s="28"/>
      <c r="UMQ748" s="28"/>
      <c r="UMR748" s="28"/>
      <c r="UMS748" s="28"/>
      <c r="UMT748" s="28"/>
      <c r="UMU748" s="28"/>
      <c r="UMV748" s="28"/>
      <c r="UMW748" s="28"/>
      <c r="UMX748" s="28"/>
      <c r="UMY748" s="28"/>
      <c r="UMZ748" s="28"/>
      <c r="UNA748" s="28"/>
      <c r="UNB748" s="28"/>
      <c r="UNC748" s="28"/>
      <c r="UND748" s="28"/>
      <c r="UNE748" s="28"/>
      <c r="UNF748" s="28"/>
      <c r="UNG748" s="28"/>
      <c r="UNH748" s="28"/>
      <c r="UNI748" s="28"/>
      <c r="UNJ748" s="28"/>
      <c r="UNK748" s="28"/>
      <c r="UNL748" s="28"/>
      <c r="UNM748" s="28"/>
      <c r="UNN748" s="28"/>
      <c r="UNO748" s="28"/>
      <c r="UNP748" s="28"/>
      <c r="UNQ748" s="28"/>
      <c r="UNR748" s="28"/>
      <c r="UNS748" s="28"/>
      <c r="UNT748" s="28"/>
      <c r="UNU748" s="28"/>
      <c r="UNV748" s="28"/>
      <c r="UNW748" s="28"/>
      <c r="UNX748" s="28"/>
      <c r="UNY748" s="28"/>
      <c r="UNZ748" s="28"/>
      <c r="UOA748" s="28"/>
      <c r="UOB748" s="28"/>
      <c r="UOC748" s="28"/>
      <c r="UOD748" s="28"/>
      <c r="UOE748" s="28"/>
      <c r="UOF748" s="28"/>
      <c r="UOG748" s="28"/>
      <c r="UOH748" s="28"/>
      <c r="UOI748" s="28"/>
      <c r="UOJ748" s="28"/>
      <c r="UOK748" s="28"/>
      <c r="UOL748" s="28"/>
      <c r="UOM748" s="28"/>
      <c r="UON748" s="28"/>
      <c r="UOO748" s="28"/>
      <c r="UOP748" s="28"/>
      <c r="UOQ748" s="28"/>
      <c r="UOR748" s="28"/>
      <c r="UOS748" s="28"/>
      <c r="UOT748" s="28"/>
      <c r="UOU748" s="28"/>
      <c r="UOV748" s="28"/>
      <c r="UOW748" s="28"/>
      <c r="UOX748" s="28"/>
      <c r="UOY748" s="28"/>
      <c r="UOZ748" s="28"/>
      <c r="UPA748" s="28"/>
      <c r="UPB748" s="28"/>
      <c r="UPC748" s="28"/>
      <c r="UPD748" s="28"/>
      <c r="UPE748" s="28"/>
      <c r="UPF748" s="28"/>
      <c r="UPG748" s="28"/>
      <c r="UPH748" s="28"/>
      <c r="UPI748" s="28"/>
      <c r="UPJ748" s="28"/>
      <c r="UPK748" s="28"/>
      <c r="UPL748" s="28"/>
      <c r="UPM748" s="28"/>
      <c r="UPN748" s="28"/>
      <c r="UPO748" s="28"/>
      <c r="UPP748" s="28"/>
      <c r="UPQ748" s="28"/>
      <c r="UPR748" s="28"/>
      <c r="UPS748" s="28"/>
      <c r="UPT748" s="28"/>
      <c r="UPU748" s="28"/>
      <c r="UPV748" s="28"/>
      <c r="UPW748" s="28"/>
      <c r="UPX748" s="28"/>
      <c r="UPY748" s="28"/>
      <c r="UPZ748" s="28"/>
      <c r="UQA748" s="28"/>
      <c r="UQB748" s="28"/>
      <c r="UQC748" s="28"/>
      <c r="UQD748" s="28"/>
      <c r="UQE748" s="28"/>
      <c r="UQF748" s="28"/>
      <c r="UQG748" s="28"/>
      <c r="UQH748" s="28"/>
      <c r="UQI748" s="28"/>
      <c r="UQJ748" s="28"/>
      <c r="UQK748" s="28"/>
      <c r="UQL748" s="28"/>
      <c r="UQM748" s="28"/>
      <c r="UQN748" s="28"/>
      <c r="UQO748" s="28"/>
      <c r="UQP748" s="28"/>
      <c r="UQQ748" s="28"/>
      <c r="UQR748" s="28"/>
      <c r="UQS748" s="28"/>
      <c r="UQT748" s="28"/>
      <c r="UQU748" s="28"/>
      <c r="UQV748" s="28"/>
      <c r="UQW748" s="28"/>
      <c r="UQX748" s="28"/>
      <c r="UQY748" s="28"/>
      <c r="UQZ748" s="28"/>
      <c r="URA748" s="28"/>
      <c r="URB748" s="28"/>
      <c r="URC748" s="28"/>
      <c r="URD748" s="28"/>
      <c r="URE748" s="28"/>
      <c r="URF748" s="28"/>
      <c r="URG748" s="28"/>
      <c r="URH748" s="28"/>
      <c r="URI748" s="28"/>
      <c r="URJ748" s="28"/>
      <c r="URK748" s="28"/>
      <c r="URL748" s="28"/>
      <c r="URM748" s="28"/>
      <c r="URN748" s="28"/>
      <c r="URO748" s="28"/>
      <c r="URP748" s="28"/>
      <c r="URQ748" s="28"/>
      <c r="URR748" s="28"/>
      <c r="URS748" s="28"/>
      <c r="URT748" s="28"/>
      <c r="URU748" s="28"/>
      <c r="URV748" s="28"/>
      <c r="URW748" s="28"/>
      <c r="URX748" s="28"/>
      <c r="URY748" s="28"/>
      <c r="URZ748" s="28"/>
      <c r="USA748" s="28"/>
      <c r="USB748" s="28"/>
      <c r="USC748" s="28"/>
      <c r="USD748" s="28"/>
      <c r="USE748" s="28"/>
      <c r="USF748" s="28"/>
      <c r="USG748" s="28"/>
      <c r="USH748" s="28"/>
      <c r="USI748" s="28"/>
      <c r="USJ748" s="28"/>
      <c r="USK748" s="28"/>
      <c r="USL748" s="28"/>
      <c r="USM748" s="28"/>
      <c r="USN748" s="28"/>
      <c r="USO748" s="28"/>
      <c r="USP748" s="28"/>
      <c r="USQ748" s="28"/>
      <c r="USR748" s="28"/>
      <c r="USS748" s="28"/>
      <c r="UST748" s="28"/>
      <c r="USU748" s="28"/>
      <c r="USV748" s="28"/>
      <c r="USW748" s="28"/>
      <c r="USX748" s="28"/>
      <c r="USY748" s="28"/>
      <c r="USZ748" s="28"/>
      <c r="UTA748" s="28"/>
      <c r="UTB748" s="28"/>
      <c r="UTC748" s="28"/>
      <c r="UTD748" s="28"/>
      <c r="UTE748" s="28"/>
      <c r="UTF748" s="28"/>
      <c r="UTG748" s="28"/>
      <c r="UTH748" s="28"/>
      <c r="UTI748" s="28"/>
      <c r="UTJ748" s="28"/>
      <c r="UTK748" s="28"/>
      <c r="UTL748" s="28"/>
      <c r="UTM748" s="28"/>
      <c r="UTN748" s="28"/>
      <c r="UTO748" s="28"/>
      <c r="UTP748" s="28"/>
      <c r="UTQ748" s="28"/>
      <c r="UTR748" s="28"/>
      <c r="UTS748" s="28"/>
      <c r="UTT748" s="28"/>
      <c r="UTU748" s="28"/>
      <c r="UTV748" s="28"/>
      <c r="UTW748" s="28"/>
      <c r="UTX748" s="28"/>
      <c r="UTY748" s="28"/>
      <c r="UTZ748" s="28"/>
      <c r="UUA748" s="28"/>
      <c r="UUB748" s="28"/>
      <c r="UUC748" s="28"/>
      <c r="UUD748" s="28"/>
      <c r="UUE748" s="28"/>
      <c r="UUF748" s="28"/>
      <c r="UUG748" s="28"/>
      <c r="UUH748" s="28"/>
      <c r="UUI748" s="28"/>
      <c r="UUJ748" s="28"/>
      <c r="UUK748" s="28"/>
      <c r="UUL748" s="28"/>
      <c r="UUM748" s="28"/>
      <c r="UUN748" s="28"/>
      <c r="UUO748" s="28"/>
      <c r="UUP748" s="28"/>
      <c r="UUQ748" s="28"/>
      <c r="UUR748" s="28"/>
      <c r="UUS748" s="28"/>
      <c r="UUT748" s="28"/>
      <c r="UUU748" s="28"/>
      <c r="UUV748" s="28"/>
      <c r="UUW748" s="28"/>
      <c r="UUX748" s="28"/>
      <c r="UUY748" s="28"/>
      <c r="UUZ748" s="28"/>
      <c r="UVA748" s="28"/>
      <c r="UVB748" s="28"/>
      <c r="UVC748" s="28"/>
      <c r="UVD748" s="28"/>
      <c r="UVE748" s="28"/>
      <c r="UVF748" s="28"/>
      <c r="UVG748" s="28"/>
      <c r="UVH748" s="28"/>
      <c r="UVI748" s="28"/>
      <c r="UVJ748" s="28"/>
      <c r="UVK748" s="28"/>
      <c r="UVL748" s="28"/>
      <c r="UVM748" s="28"/>
      <c r="UVN748" s="28"/>
      <c r="UVO748" s="28"/>
      <c r="UVP748" s="28"/>
      <c r="UVQ748" s="28"/>
      <c r="UVR748" s="28"/>
      <c r="UVS748" s="28"/>
      <c r="UVT748" s="28"/>
      <c r="UVU748" s="28"/>
      <c r="UVV748" s="28"/>
      <c r="UVW748" s="28"/>
      <c r="UVX748" s="28"/>
      <c r="UVY748" s="28"/>
      <c r="UVZ748" s="28"/>
      <c r="UWA748" s="28"/>
      <c r="UWB748" s="28"/>
      <c r="UWC748" s="28"/>
      <c r="UWD748" s="28"/>
      <c r="UWE748" s="28"/>
      <c r="UWF748" s="28"/>
      <c r="UWG748" s="28"/>
      <c r="UWH748" s="28"/>
      <c r="UWI748" s="28"/>
      <c r="UWJ748" s="28"/>
      <c r="UWK748" s="28"/>
      <c r="UWL748" s="28"/>
      <c r="UWM748" s="28"/>
      <c r="UWN748" s="28"/>
      <c r="UWO748" s="28"/>
      <c r="UWP748" s="28"/>
      <c r="UWQ748" s="28"/>
      <c r="UWR748" s="28"/>
      <c r="UWS748" s="28"/>
      <c r="UWT748" s="28"/>
      <c r="UWU748" s="28"/>
      <c r="UWV748" s="28"/>
      <c r="UWW748" s="28"/>
      <c r="UWX748" s="28"/>
      <c r="UWY748" s="28"/>
      <c r="UWZ748" s="28"/>
      <c r="UXA748" s="28"/>
      <c r="UXB748" s="28"/>
      <c r="UXC748" s="28"/>
      <c r="UXD748" s="28"/>
      <c r="UXE748" s="28"/>
      <c r="UXF748" s="28"/>
      <c r="UXG748" s="28"/>
      <c r="UXH748" s="28"/>
      <c r="UXI748" s="28"/>
      <c r="UXJ748" s="28"/>
      <c r="UXK748" s="28"/>
      <c r="UXL748" s="28"/>
      <c r="UXM748" s="28"/>
      <c r="UXN748" s="28"/>
      <c r="UXO748" s="28"/>
      <c r="UXP748" s="28"/>
      <c r="UXQ748" s="28"/>
      <c r="UXR748" s="28"/>
      <c r="UXS748" s="28"/>
      <c r="UXT748" s="28"/>
      <c r="UXU748" s="28"/>
      <c r="UXV748" s="28"/>
      <c r="UXW748" s="28"/>
      <c r="UXX748" s="28"/>
      <c r="UXY748" s="28"/>
      <c r="UXZ748" s="28"/>
      <c r="UYA748" s="28"/>
      <c r="UYB748" s="28"/>
      <c r="UYC748" s="28"/>
      <c r="UYD748" s="28"/>
      <c r="UYE748" s="28"/>
      <c r="UYF748" s="28"/>
      <c r="UYG748" s="28"/>
      <c r="UYH748" s="28"/>
      <c r="UYI748" s="28"/>
      <c r="UYJ748" s="28"/>
      <c r="UYK748" s="28"/>
      <c r="UYL748" s="28"/>
      <c r="UYM748" s="28"/>
      <c r="UYN748" s="28"/>
      <c r="UYO748" s="28"/>
      <c r="UYP748" s="28"/>
      <c r="UYQ748" s="28"/>
      <c r="UYR748" s="28"/>
      <c r="UYS748" s="28"/>
      <c r="UYT748" s="28"/>
      <c r="UYU748" s="28"/>
      <c r="UYV748" s="28"/>
      <c r="UYW748" s="28"/>
      <c r="UYX748" s="28"/>
      <c r="UYY748" s="28"/>
      <c r="UYZ748" s="28"/>
      <c r="UZA748" s="28"/>
      <c r="UZB748" s="28"/>
      <c r="UZC748" s="28"/>
      <c r="UZD748" s="28"/>
      <c r="UZE748" s="28"/>
      <c r="UZF748" s="28"/>
      <c r="UZG748" s="28"/>
      <c r="UZH748" s="28"/>
      <c r="UZI748" s="28"/>
      <c r="UZJ748" s="28"/>
      <c r="UZK748" s="28"/>
      <c r="UZL748" s="28"/>
      <c r="UZM748" s="28"/>
      <c r="UZN748" s="28"/>
      <c r="UZO748" s="28"/>
      <c r="UZP748" s="28"/>
      <c r="UZQ748" s="28"/>
      <c r="UZR748" s="28"/>
      <c r="UZS748" s="28"/>
      <c r="UZT748" s="28"/>
      <c r="UZU748" s="28"/>
      <c r="UZV748" s="28"/>
      <c r="UZW748" s="28"/>
      <c r="UZX748" s="28"/>
      <c r="UZY748" s="28"/>
      <c r="UZZ748" s="28"/>
      <c r="VAA748" s="28"/>
      <c r="VAB748" s="28"/>
      <c r="VAC748" s="28"/>
      <c r="VAD748" s="28"/>
      <c r="VAE748" s="28"/>
      <c r="VAF748" s="28"/>
      <c r="VAG748" s="28"/>
      <c r="VAH748" s="28"/>
      <c r="VAI748" s="28"/>
      <c r="VAJ748" s="28"/>
      <c r="VAK748" s="28"/>
      <c r="VAL748" s="28"/>
      <c r="VAM748" s="28"/>
      <c r="VAN748" s="28"/>
      <c r="VAO748" s="28"/>
      <c r="VAP748" s="28"/>
      <c r="VAQ748" s="28"/>
      <c r="VAR748" s="28"/>
      <c r="VAS748" s="28"/>
      <c r="VAT748" s="28"/>
      <c r="VAU748" s="28"/>
      <c r="VAV748" s="28"/>
      <c r="VAW748" s="28"/>
      <c r="VAX748" s="28"/>
      <c r="VAY748" s="28"/>
      <c r="VAZ748" s="28"/>
      <c r="VBA748" s="28"/>
      <c r="VBB748" s="28"/>
      <c r="VBC748" s="28"/>
      <c r="VBD748" s="28"/>
      <c r="VBE748" s="28"/>
      <c r="VBF748" s="28"/>
      <c r="VBG748" s="28"/>
      <c r="VBH748" s="28"/>
      <c r="VBI748" s="28"/>
      <c r="VBJ748" s="28"/>
      <c r="VBK748" s="28"/>
      <c r="VBL748" s="28"/>
      <c r="VBM748" s="28"/>
      <c r="VBN748" s="28"/>
      <c r="VBO748" s="28"/>
      <c r="VBP748" s="28"/>
      <c r="VBQ748" s="28"/>
      <c r="VBR748" s="28"/>
      <c r="VBS748" s="28"/>
      <c r="VBT748" s="28"/>
      <c r="VBU748" s="28"/>
      <c r="VBV748" s="28"/>
      <c r="VBW748" s="28"/>
      <c r="VBX748" s="28"/>
      <c r="VBY748" s="28"/>
      <c r="VBZ748" s="28"/>
      <c r="VCA748" s="28"/>
      <c r="VCB748" s="28"/>
      <c r="VCC748" s="28"/>
      <c r="VCD748" s="28"/>
      <c r="VCE748" s="28"/>
      <c r="VCF748" s="28"/>
      <c r="VCG748" s="28"/>
      <c r="VCH748" s="28"/>
      <c r="VCI748" s="28"/>
      <c r="VCJ748" s="28"/>
      <c r="VCK748" s="28"/>
      <c r="VCL748" s="28"/>
      <c r="VCM748" s="28"/>
      <c r="VCN748" s="28"/>
      <c r="VCO748" s="28"/>
      <c r="VCP748" s="28"/>
      <c r="VCQ748" s="28"/>
      <c r="VCR748" s="28"/>
      <c r="VCS748" s="28"/>
      <c r="VCT748" s="28"/>
      <c r="VCU748" s="28"/>
      <c r="VCV748" s="28"/>
      <c r="VCW748" s="28"/>
      <c r="VCX748" s="28"/>
      <c r="VCY748" s="28"/>
      <c r="VCZ748" s="28"/>
      <c r="VDA748" s="28"/>
      <c r="VDB748" s="28"/>
      <c r="VDC748" s="28"/>
      <c r="VDD748" s="28"/>
      <c r="VDE748" s="28"/>
      <c r="VDF748" s="28"/>
      <c r="VDG748" s="28"/>
      <c r="VDH748" s="28"/>
      <c r="VDI748" s="28"/>
      <c r="VDJ748" s="28"/>
      <c r="VDK748" s="28"/>
      <c r="VDL748" s="28"/>
      <c r="VDM748" s="28"/>
      <c r="VDN748" s="28"/>
      <c r="VDO748" s="28"/>
      <c r="VDP748" s="28"/>
      <c r="VDQ748" s="28"/>
      <c r="VDR748" s="28"/>
      <c r="VDS748" s="28"/>
      <c r="VDT748" s="28"/>
      <c r="VDU748" s="28"/>
      <c r="VDV748" s="28"/>
      <c r="VDW748" s="28"/>
      <c r="VDX748" s="28"/>
      <c r="VDY748" s="28"/>
      <c r="VDZ748" s="28"/>
      <c r="VEA748" s="28"/>
      <c r="VEB748" s="28"/>
      <c r="VEC748" s="28"/>
      <c r="VED748" s="28"/>
      <c r="VEE748" s="28"/>
      <c r="VEF748" s="28"/>
      <c r="VEG748" s="28"/>
      <c r="VEH748" s="28"/>
      <c r="VEI748" s="28"/>
      <c r="VEJ748" s="28"/>
      <c r="VEK748" s="28"/>
      <c r="VEL748" s="28"/>
      <c r="VEM748" s="28"/>
      <c r="VEN748" s="28"/>
      <c r="VEO748" s="28"/>
      <c r="VEP748" s="28"/>
      <c r="VEQ748" s="28"/>
      <c r="VER748" s="28"/>
      <c r="VES748" s="28"/>
      <c r="VET748" s="28"/>
      <c r="VEU748" s="28"/>
      <c r="VEV748" s="28"/>
      <c r="VEW748" s="28"/>
      <c r="VEX748" s="28"/>
      <c r="VEY748" s="28"/>
      <c r="VEZ748" s="28"/>
      <c r="VFA748" s="28"/>
      <c r="VFB748" s="28"/>
      <c r="VFC748" s="28"/>
      <c r="VFD748" s="28"/>
      <c r="VFE748" s="28"/>
      <c r="VFF748" s="28"/>
      <c r="VFG748" s="28"/>
      <c r="VFH748" s="28"/>
      <c r="VFI748" s="28"/>
      <c r="VFJ748" s="28"/>
      <c r="VFK748" s="28"/>
      <c r="VFL748" s="28"/>
      <c r="VFM748" s="28"/>
      <c r="VFN748" s="28"/>
      <c r="VFO748" s="28"/>
      <c r="VFP748" s="28"/>
      <c r="VFQ748" s="28"/>
      <c r="VFR748" s="28"/>
      <c r="VFS748" s="28"/>
      <c r="VFT748" s="28"/>
      <c r="VFU748" s="28"/>
      <c r="VFV748" s="28"/>
      <c r="VFW748" s="28"/>
      <c r="VFX748" s="28"/>
      <c r="VFY748" s="28"/>
      <c r="VFZ748" s="28"/>
      <c r="VGA748" s="28"/>
      <c r="VGB748" s="28"/>
      <c r="VGC748" s="28"/>
      <c r="VGD748" s="28"/>
      <c r="VGE748" s="28"/>
      <c r="VGF748" s="28"/>
      <c r="VGG748" s="28"/>
      <c r="VGH748" s="28"/>
      <c r="VGI748" s="28"/>
      <c r="VGJ748" s="28"/>
      <c r="VGK748" s="28"/>
      <c r="VGL748" s="28"/>
      <c r="VGM748" s="28"/>
      <c r="VGN748" s="28"/>
      <c r="VGO748" s="28"/>
      <c r="VGP748" s="28"/>
      <c r="VGQ748" s="28"/>
      <c r="VGR748" s="28"/>
      <c r="VGS748" s="28"/>
      <c r="VGT748" s="28"/>
      <c r="VGU748" s="28"/>
      <c r="VGV748" s="28"/>
      <c r="VGW748" s="28"/>
      <c r="VGX748" s="28"/>
      <c r="VGY748" s="28"/>
      <c r="VGZ748" s="28"/>
      <c r="VHA748" s="28"/>
      <c r="VHB748" s="28"/>
      <c r="VHC748" s="28"/>
      <c r="VHD748" s="28"/>
      <c r="VHE748" s="28"/>
      <c r="VHF748" s="28"/>
      <c r="VHG748" s="28"/>
      <c r="VHH748" s="28"/>
      <c r="VHI748" s="28"/>
      <c r="VHJ748" s="28"/>
      <c r="VHK748" s="28"/>
      <c r="VHL748" s="28"/>
      <c r="VHM748" s="28"/>
      <c r="VHN748" s="28"/>
      <c r="VHO748" s="28"/>
      <c r="VHP748" s="28"/>
      <c r="VHQ748" s="28"/>
      <c r="VHR748" s="28"/>
      <c r="VHS748" s="28"/>
      <c r="VHT748" s="28"/>
      <c r="VHU748" s="28"/>
      <c r="VHV748" s="28"/>
      <c r="VHW748" s="28"/>
      <c r="VHX748" s="28"/>
      <c r="VHY748" s="28"/>
      <c r="VHZ748" s="28"/>
      <c r="VIA748" s="28"/>
      <c r="VIB748" s="28"/>
      <c r="VIC748" s="28"/>
      <c r="VID748" s="28"/>
      <c r="VIE748" s="28"/>
      <c r="VIF748" s="28"/>
      <c r="VIG748" s="28"/>
      <c r="VIH748" s="28"/>
      <c r="VII748" s="28"/>
      <c r="VIJ748" s="28"/>
      <c r="VIK748" s="28"/>
      <c r="VIL748" s="28"/>
      <c r="VIM748" s="28"/>
      <c r="VIN748" s="28"/>
      <c r="VIO748" s="28"/>
      <c r="VIP748" s="28"/>
      <c r="VIQ748" s="28"/>
      <c r="VIR748" s="28"/>
      <c r="VIS748" s="28"/>
      <c r="VIT748" s="28"/>
      <c r="VIU748" s="28"/>
      <c r="VIV748" s="28"/>
      <c r="VIW748" s="28"/>
      <c r="VIX748" s="28"/>
      <c r="VIY748" s="28"/>
      <c r="VIZ748" s="28"/>
      <c r="VJA748" s="28"/>
      <c r="VJB748" s="28"/>
      <c r="VJC748" s="28"/>
      <c r="VJD748" s="28"/>
      <c r="VJE748" s="28"/>
      <c r="VJF748" s="28"/>
      <c r="VJG748" s="28"/>
      <c r="VJH748" s="28"/>
      <c r="VJI748" s="28"/>
      <c r="VJJ748" s="28"/>
      <c r="VJK748" s="28"/>
      <c r="VJL748" s="28"/>
      <c r="VJM748" s="28"/>
      <c r="VJN748" s="28"/>
      <c r="VJO748" s="28"/>
      <c r="VJP748" s="28"/>
      <c r="VJQ748" s="28"/>
      <c r="VJR748" s="28"/>
      <c r="VJS748" s="28"/>
      <c r="VJT748" s="28"/>
      <c r="VJU748" s="28"/>
      <c r="VJV748" s="28"/>
      <c r="VJW748" s="28"/>
      <c r="VJX748" s="28"/>
      <c r="VJY748" s="28"/>
      <c r="VJZ748" s="28"/>
      <c r="VKA748" s="28"/>
      <c r="VKB748" s="28"/>
      <c r="VKC748" s="28"/>
      <c r="VKD748" s="28"/>
      <c r="VKE748" s="28"/>
      <c r="VKF748" s="28"/>
      <c r="VKG748" s="28"/>
      <c r="VKH748" s="28"/>
      <c r="VKI748" s="28"/>
      <c r="VKJ748" s="28"/>
      <c r="VKK748" s="28"/>
      <c r="VKL748" s="28"/>
      <c r="VKM748" s="28"/>
      <c r="VKN748" s="28"/>
      <c r="VKO748" s="28"/>
      <c r="VKP748" s="28"/>
      <c r="VKQ748" s="28"/>
      <c r="VKR748" s="28"/>
      <c r="VKS748" s="28"/>
      <c r="VKT748" s="28"/>
      <c r="VKU748" s="28"/>
      <c r="VKV748" s="28"/>
      <c r="VKW748" s="28"/>
      <c r="VKX748" s="28"/>
      <c r="VKY748" s="28"/>
      <c r="VKZ748" s="28"/>
      <c r="VLA748" s="28"/>
      <c r="VLB748" s="28"/>
      <c r="VLC748" s="28"/>
      <c r="VLD748" s="28"/>
      <c r="VLE748" s="28"/>
      <c r="VLF748" s="28"/>
      <c r="VLG748" s="28"/>
      <c r="VLH748" s="28"/>
      <c r="VLI748" s="28"/>
      <c r="VLJ748" s="28"/>
      <c r="VLK748" s="28"/>
      <c r="VLL748" s="28"/>
      <c r="VLM748" s="28"/>
      <c r="VLN748" s="28"/>
      <c r="VLO748" s="28"/>
      <c r="VLP748" s="28"/>
      <c r="VLQ748" s="28"/>
      <c r="VLR748" s="28"/>
      <c r="VLS748" s="28"/>
      <c r="VLT748" s="28"/>
      <c r="VLU748" s="28"/>
      <c r="VLV748" s="28"/>
      <c r="VLW748" s="28"/>
      <c r="VLX748" s="28"/>
      <c r="VLY748" s="28"/>
      <c r="VLZ748" s="28"/>
      <c r="VMA748" s="28"/>
      <c r="VMB748" s="28"/>
      <c r="VMC748" s="28"/>
      <c r="VMD748" s="28"/>
      <c r="VME748" s="28"/>
      <c r="VMF748" s="28"/>
      <c r="VMG748" s="28"/>
      <c r="VMH748" s="28"/>
      <c r="VMI748" s="28"/>
      <c r="VMJ748" s="28"/>
      <c r="VMK748" s="28"/>
      <c r="VML748" s="28"/>
      <c r="VMM748" s="28"/>
      <c r="VMN748" s="28"/>
      <c r="VMO748" s="28"/>
      <c r="VMP748" s="28"/>
      <c r="VMQ748" s="28"/>
      <c r="VMR748" s="28"/>
      <c r="VMS748" s="28"/>
      <c r="VMT748" s="28"/>
      <c r="VMU748" s="28"/>
      <c r="VMV748" s="28"/>
      <c r="VMW748" s="28"/>
      <c r="VMX748" s="28"/>
      <c r="VMY748" s="28"/>
      <c r="VMZ748" s="28"/>
      <c r="VNA748" s="28"/>
      <c r="VNB748" s="28"/>
      <c r="VNC748" s="28"/>
      <c r="VND748" s="28"/>
      <c r="VNE748" s="28"/>
      <c r="VNF748" s="28"/>
      <c r="VNG748" s="28"/>
      <c r="VNH748" s="28"/>
      <c r="VNI748" s="28"/>
      <c r="VNJ748" s="28"/>
      <c r="VNK748" s="28"/>
      <c r="VNL748" s="28"/>
      <c r="VNM748" s="28"/>
      <c r="VNN748" s="28"/>
      <c r="VNO748" s="28"/>
      <c r="VNP748" s="28"/>
      <c r="VNQ748" s="28"/>
      <c r="VNR748" s="28"/>
      <c r="VNS748" s="28"/>
      <c r="VNT748" s="28"/>
      <c r="VNU748" s="28"/>
      <c r="VNV748" s="28"/>
      <c r="VNW748" s="28"/>
      <c r="VNX748" s="28"/>
      <c r="VNY748" s="28"/>
      <c r="VNZ748" s="28"/>
      <c r="VOA748" s="28"/>
      <c r="VOB748" s="28"/>
      <c r="VOC748" s="28"/>
      <c r="VOD748" s="28"/>
      <c r="VOE748" s="28"/>
      <c r="VOF748" s="28"/>
      <c r="VOG748" s="28"/>
      <c r="VOH748" s="28"/>
      <c r="VOI748" s="28"/>
      <c r="VOJ748" s="28"/>
      <c r="VOK748" s="28"/>
      <c r="VOL748" s="28"/>
      <c r="VOM748" s="28"/>
      <c r="VON748" s="28"/>
      <c r="VOO748" s="28"/>
      <c r="VOP748" s="28"/>
      <c r="VOQ748" s="28"/>
      <c r="VOR748" s="28"/>
      <c r="VOS748" s="28"/>
      <c r="VOT748" s="28"/>
      <c r="VOU748" s="28"/>
      <c r="VOV748" s="28"/>
      <c r="VOW748" s="28"/>
      <c r="VOX748" s="28"/>
      <c r="VOY748" s="28"/>
      <c r="VOZ748" s="28"/>
      <c r="VPA748" s="28"/>
      <c r="VPB748" s="28"/>
      <c r="VPC748" s="28"/>
      <c r="VPD748" s="28"/>
      <c r="VPE748" s="28"/>
      <c r="VPF748" s="28"/>
      <c r="VPG748" s="28"/>
      <c r="VPH748" s="28"/>
      <c r="VPI748" s="28"/>
      <c r="VPJ748" s="28"/>
      <c r="VPK748" s="28"/>
      <c r="VPL748" s="28"/>
      <c r="VPM748" s="28"/>
      <c r="VPN748" s="28"/>
      <c r="VPO748" s="28"/>
      <c r="VPP748" s="28"/>
      <c r="VPQ748" s="28"/>
      <c r="VPR748" s="28"/>
      <c r="VPS748" s="28"/>
      <c r="VPT748" s="28"/>
      <c r="VPU748" s="28"/>
      <c r="VPV748" s="28"/>
      <c r="VPW748" s="28"/>
      <c r="VPX748" s="28"/>
      <c r="VPY748" s="28"/>
      <c r="VPZ748" s="28"/>
      <c r="VQA748" s="28"/>
      <c r="VQB748" s="28"/>
      <c r="VQC748" s="28"/>
      <c r="VQD748" s="28"/>
      <c r="VQE748" s="28"/>
      <c r="VQF748" s="28"/>
      <c r="VQG748" s="28"/>
      <c r="VQH748" s="28"/>
      <c r="VQI748" s="28"/>
      <c r="VQJ748" s="28"/>
      <c r="VQK748" s="28"/>
      <c r="VQL748" s="28"/>
      <c r="VQM748" s="28"/>
      <c r="VQN748" s="28"/>
      <c r="VQO748" s="28"/>
      <c r="VQP748" s="28"/>
      <c r="VQQ748" s="28"/>
      <c r="VQR748" s="28"/>
      <c r="VQS748" s="28"/>
      <c r="VQT748" s="28"/>
      <c r="VQU748" s="28"/>
      <c r="VQV748" s="28"/>
      <c r="VQW748" s="28"/>
      <c r="VQX748" s="28"/>
      <c r="VQY748" s="28"/>
      <c r="VQZ748" s="28"/>
      <c r="VRA748" s="28"/>
      <c r="VRB748" s="28"/>
      <c r="VRC748" s="28"/>
      <c r="VRD748" s="28"/>
      <c r="VRE748" s="28"/>
      <c r="VRF748" s="28"/>
      <c r="VRG748" s="28"/>
      <c r="VRH748" s="28"/>
      <c r="VRI748" s="28"/>
      <c r="VRJ748" s="28"/>
      <c r="VRK748" s="28"/>
      <c r="VRL748" s="28"/>
      <c r="VRM748" s="28"/>
      <c r="VRN748" s="28"/>
      <c r="VRO748" s="28"/>
      <c r="VRP748" s="28"/>
      <c r="VRQ748" s="28"/>
      <c r="VRR748" s="28"/>
      <c r="VRS748" s="28"/>
      <c r="VRT748" s="28"/>
      <c r="VRU748" s="28"/>
      <c r="VRV748" s="28"/>
      <c r="VRW748" s="28"/>
      <c r="VRX748" s="28"/>
      <c r="VRY748" s="28"/>
      <c r="VRZ748" s="28"/>
      <c r="VSA748" s="28"/>
      <c r="VSB748" s="28"/>
      <c r="VSC748" s="28"/>
      <c r="VSD748" s="28"/>
      <c r="VSE748" s="28"/>
      <c r="VSF748" s="28"/>
      <c r="VSG748" s="28"/>
      <c r="VSH748" s="28"/>
      <c r="VSI748" s="28"/>
      <c r="VSJ748" s="28"/>
      <c r="VSK748" s="28"/>
      <c r="VSL748" s="28"/>
      <c r="VSM748" s="28"/>
      <c r="VSN748" s="28"/>
      <c r="VSO748" s="28"/>
      <c r="VSP748" s="28"/>
      <c r="VSQ748" s="28"/>
      <c r="VSR748" s="28"/>
      <c r="VSS748" s="28"/>
      <c r="VST748" s="28"/>
      <c r="VSU748" s="28"/>
      <c r="VSV748" s="28"/>
      <c r="VSW748" s="28"/>
      <c r="VSX748" s="28"/>
      <c r="VSY748" s="28"/>
      <c r="VSZ748" s="28"/>
      <c r="VTA748" s="28"/>
      <c r="VTB748" s="28"/>
      <c r="VTC748" s="28"/>
      <c r="VTD748" s="28"/>
      <c r="VTE748" s="28"/>
      <c r="VTF748" s="28"/>
      <c r="VTG748" s="28"/>
      <c r="VTH748" s="28"/>
      <c r="VTI748" s="28"/>
      <c r="VTJ748" s="28"/>
      <c r="VTK748" s="28"/>
      <c r="VTL748" s="28"/>
      <c r="VTM748" s="28"/>
      <c r="VTN748" s="28"/>
      <c r="VTO748" s="28"/>
      <c r="VTP748" s="28"/>
      <c r="VTQ748" s="28"/>
      <c r="VTR748" s="28"/>
      <c r="VTS748" s="28"/>
      <c r="VTT748" s="28"/>
      <c r="VTU748" s="28"/>
      <c r="VTV748" s="28"/>
      <c r="VTW748" s="28"/>
      <c r="VTX748" s="28"/>
      <c r="VTY748" s="28"/>
      <c r="VTZ748" s="28"/>
      <c r="VUA748" s="28"/>
      <c r="VUB748" s="28"/>
      <c r="VUC748" s="28"/>
      <c r="VUD748" s="28"/>
      <c r="VUE748" s="28"/>
      <c r="VUF748" s="28"/>
      <c r="VUG748" s="28"/>
      <c r="VUH748" s="28"/>
      <c r="VUI748" s="28"/>
      <c r="VUJ748" s="28"/>
      <c r="VUK748" s="28"/>
      <c r="VUL748" s="28"/>
      <c r="VUM748" s="28"/>
      <c r="VUN748" s="28"/>
      <c r="VUO748" s="28"/>
      <c r="VUP748" s="28"/>
      <c r="VUQ748" s="28"/>
      <c r="VUR748" s="28"/>
      <c r="VUS748" s="28"/>
      <c r="VUT748" s="28"/>
      <c r="VUU748" s="28"/>
      <c r="VUV748" s="28"/>
      <c r="VUW748" s="28"/>
      <c r="VUX748" s="28"/>
      <c r="VUY748" s="28"/>
      <c r="VUZ748" s="28"/>
      <c r="VVA748" s="28"/>
      <c r="VVB748" s="28"/>
      <c r="VVC748" s="28"/>
      <c r="VVD748" s="28"/>
      <c r="VVE748" s="28"/>
      <c r="VVF748" s="28"/>
      <c r="VVG748" s="28"/>
      <c r="VVH748" s="28"/>
      <c r="VVI748" s="28"/>
      <c r="VVJ748" s="28"/>
      <c r="VVK748" s="28"/>
      <c r="VVL748" s="28"/>
      <c r="VVM748" s="28"/>
      <c r="VVN748" s="28"/>
      <c r="VVO748" s="28"/>
      <c r="VVP748" s="28"/>
      <c r="VVQ748" s="28"/>
      <c r="VVR748" s="28"/>
      <c r="VVS748" s="28"/>
      <c r="VVT748" s="28"/>
      <c r="VVU748" s="28"/>
      <c r="VVV748" s="28"/>
      <c r="VVW748" s="28"/>
      <c r="VVX748" s="28"/>
      <c r="VVY748" s="28"/>
      <c r="VVZ748" s="28"/>
      <c r="VWA748" s="28"/>
      <c r="VWB748" s="28"/>
      <c r="VWC748" s="28"/>
      <c r="VWD748" s="28"/>
      <c r="VWE748" s="28"/>
      <c r="VWF748" s="28"/>
      <c r="VWG748" s="28"/>
      <c r="VWH748" s="28"/>
      <c r="VWI748" s="28"/>
      <c r="VWJ748" s="28"/>
      <c r="VWK748" s="28"/>
      <c r="VWL748" s="28"/>
      <c r="VWM748" s="28"/>
      <c r="VWN748" s="28"/>
      <c r="VWO748" s="28"/>
      <c r="VWP748" s="28"/>
      <c r="VWQ748" s="28"/>
      <c r="VWR748" s="28"/>
      <c r="VWS748" s="28"/>
      <c r="VWT748" s="28"/>
      <c r="VWU748" s="28"/>
      <c r="VWV748" s="28"/>
      <c r="VWW748" s="28"/>
      <c r="VWX748" s="28"/>
      <c r="VWY748" s="28"/>
      <c r="VWZ748" s="28"/>
      <c r="VXA748" s="28"/>
      <c r="VXB748" s="28"/>
      <c r="VXC748" s="28"/>
      <c r="VXD748" s="28"/>
      <c r="VXE748" s="28"/>
      <c r="VXF748" s="28"/>
      <c r="VXG748" s="28"/>
      <c r="VXH748" s="28"/>
      <c r="VXI748" s="28"/>
      <c r="VXJ748" s="28"/>
      <c r="VXK748" s="28"/>
      <c r="VXL748" s="28"/>
      <c r="VXM748" s="28"/>
      <c r="VXN748" s="28"/>
      <c r="VXO748" s="28"/>
      <c r="VXP748" s="28"/>
      <c r="VXQ748" s="28"/>
      <c r="VXR748" s="28"/>
      <c r="VXS748" s="28"/>
      <c r="VXT748" s="28"/>
      <c r="VXU748" s="28"/>
      <c r="VXV748" s="28"/>
      <c r="VXW748" s="28"/>
      <c r="VXX748" s="28"/>
      <c r="VXY748" s="28"/>
      <c r="VXZ748" s="28"/>
      <c r="VYA748" s="28"/>
      <c r="VYB748" s="28"/>
      <c r="VYC748" s="28"/>
      <c r="VYD748" s="28"/>
      <c r="VYE748" s="28"/>
      <c r="VYF748" s="28"/>
      <c r="VYG748" s="28"/>
      <c r="VYH748" s="28"/>
      <c r="VYI748" s="28"/>
      <c r="VYJ748" s="28"/>
      <c r="VYK748" s="28"/>
      <c r="VYL748" s="28"/>
      <c r="VYM748" s="28"/>
      <c r="VYN748" s="28"/>
      <c r="VYO748" s="28"/>
      <c r="VYP748" s="28"/>
      <c r="VYQ748" s="28"/>
      <c r="VYR748" s="28"/>
      <c r="VYS748" s="28"/>
      <c r="VYT748" s="28"/>
      <c r="VYU748" s="28"/>
      <c r="VYV748" s="28"/>
      <c r="VYW748" s="28"/>
      <c r="VYX748" s="28"/>
      <c r="VYY748" s="28"/>
      <c r="VYZ748" s="28"/>
      <c r="VZA748" s="28"/>
      <c r="VZB748" s="28"/>
      <c r="VZC748" s="28"/>
      <c r="VZD748" s="28"/>
      <c r="VZE748" s="28"/>
      <c r="VZF748" s="28"/>
      <c r="VZG748" s="28"/>
      <c r="VZH748" s="28"/>
      <c r="VZI748" s="28"/>
      <c r="VZJ748" s="28"/>
      <c r="VZK748" s="28"/>
      <c r="VZL748" s="28"/>
      <c r="VZM748" s="28"/>
      <c r="VZN748" s="28"/>
      <c r="VZO748" s="28"/>
      <c r="VZP748" s="28"/>
      <c r="VZQ748" s="28"/>
      <c r="VZR748" s="28"/>
      <c r="VZS748" s="28"/>
      <c r="VZT748" s="28"/>
      <c r="VZU748" s="28"/>
      <c r="VZV748" s="28"/>
      <c r="VZW748" s="28"/>
      <c r="VZX748" s="28"/>
      <c r="VZY748" s="28"/>
      <c r="VZZ748" s="28"/>
      <c r="WAA748" s="28"/>
      <c r="WAB748" s="28"/>
      <c r="WAC748" s="28"/>
      <c r="WAD748" s="28"/>
      <c r="WAE748" s="28"/>
      <c r="WAF748" s="28"/>
      <c r="WAG748" s="28"/>
      <c r="WAH748" s="28"/>
      <c r="WAI748" s="28"/>
      <c r="WAJ748" s="28"/>
      <c r="WAK748" s="28"/>
      <c r="WAL748" s="28"/>
      <c r="WAM748" s="28"/>
      <c r="WAN748" s="28"/>
      <c r="WAO748" s="28"/>
      <c r="WAP748" s="28"/>
      <c r="WAQ748" s="28"/>
      <c r="WAR748" s="28"/>
      <c r="WAS748" s="28"/>
      <c r="WAT748" s="28"/>
      <c r="WAU748" s="28"/>
      <c r="WAV748" s="28"/>
      <c r="WAW748" s="28"/>
      <c r="WAX748" s="28"/>
      <c r="WAY748" s="28"/>
      <c r="WAZ748" s="28"/>
      <c r="WBA748" s="28"/>
      <c r="WBB748" s="28"/>
      <c r="WBC748" s="28"/>
      <c r="WBD748" s="28"/>
      <c r="WBE748" s="28"/>
      <c r="WBF748" s="28"/>
      <c r="WBG748" s="28"/>
      <c r="WBH748" s="28"/>
      <c r="WBI748" s="28"/>
      <c r="WBJ748" s="28"/>
      <c r="WBK748" s="28"/>
      <c r="WBL748" s="28"/>
      <c r="WBM748" s="28"/>
      <c r="WBN748" s="28"/>
      <c r="WBO748" s="28"/>
      <c r="WBP748" s="28"/>
      <c r="WBQ748" s="28"/>
      <c r="WBR748" s="28"/>
      <c r="WBS748" s="28"/>
      <c r="WBT748" s="28"/>
      <c r="WBU748" s="28"/>
      <c r="WBV748" s="28"/>
      <c r="WBW748" s="28"/>
      <c r="WBX748" s="28"/>
      <c r="WBY748" s="28"/>
      <c r="WBZ748" s="28"/>
      <c r="WCA748" s="28"/>
      <c r="WCB748" s="28"/>
      <c r="WCC748" s="28"/>
      <c r="WCD748" s="28"/>
      <c r="WCE748" s="28"/>
      <c r="WCF748" s="28"/>
      <c r="WCG748" s="28"/>
      <c r="WCH748" s="28"/>
      <c r="WCI748" s="28"/>
      <c r="WCJ748" s="28"/>
      <c r="WCK748" s="28"/>
      <c r="WCL748" s="28"/>
      <c r="WCM748" s="28"/>
      <c r="WCN748" s="28"/>
      <c r="WCO748" s="28"/>
      <c r="WCP748" s="28"/>
      <c r="WCQ748" s="28"/>
      <c r="WCR748" s="28"/>
      <c r="WCS748" s="28"/>
      <c r="WCT748" s="28"/>
      <c r="WCU748" s="28"/>
      <c r="WCV748" s="28"/>
      <c r="WCW748" s="28"/>
      <c r="WCX748" s="28"/>
      <c r="WCY748" s="28"/>
      <c r="WCZ748" s="28"/>
      <c r="WDA748" s="28"/>
      <c r="WDB748" s="28"/>
      <c r="WDC748" s="28"/>
      <c r="WDD748" s="28"/>
      <c r="WDE748" s="28"/>
      <c r="WDF748" s="28"/>
      <c r="WDG748" s="28"/>
      <c r="WDH748" s="28"/>
      <c r="WDI748" s="28"/>
      <c r="WDJ748" s="28"/>
      <c r="WDK748" s="28"/>
      <c r="WDL748" s="28"/>
      <c r="WDM748" s="28"/>
      <c r="WDN748" s="28"/>
      <c r="WDO748" s="28"/>
      <c r="WDP748" s="28"/>
      <c r="WDQ748" s="28"/>
      <c r="WDR748" s="28"/>
      <c r="WDS748" s="28"/>
      <c r="WDT748" s="28"/>
      <c r="WDU748" s="28"/>
      <c r="WDV748" s="28"/>
      <c r="WDW748" s="28"/>
      <c r="WDX748" s="28"/>
      <c r="WDY748" s="28"/>
      <c r="WDZ748" s="28"/>
      <c r="WEA748" s="28"/>
      <c r="WEB748" s="28"/>
      <c r="WEC748" s="28"/>
      <c r="WED748" s="28"/>
      <c r="WEE748" s="28"/>
      <c r="WEF748" s="28"/>
      <c r="WEG748" s="28"/>
      <c r="WEH748" s="28"/>
      <c r="WEI748" s="28"/>
      <c r="WEJ748" s="28"/>
      <c r="WEK748" s="28"/>
      <c r="WEL748" s="28"/>
      <c r="WEM748" s="28"/>
      <c r="WEN748" s="28"/>
      <c r="WEO748" s="28"/>
      <c r="WEP748" s="28"/>
      <c r="WEQ748" s="28"/>
      <c r="WER748" s="28"/>
      <c r="WES748" s="28"/>
      <c r="WET748" s="28"/>
      <c r="WEU748" s="28"/>
      <c r="WEV748" s="28"/>
      <c r="WEW748" s="28"/>
      <c r="WEX748" s="28"/>
      <c r="WEY748" s="28"/>
      <c r="WEZ748" s="28"/>
      <c r="WFA748" s="28"/>
      <c r="WFB748" s="28"/>
      <c r="WFC748" s="28"/>
      <c r="WFD748" s="28"/>
      <c r="WFE748" s="28"/>
      <c r="WFF748" s="28"/>
      <c r="WFG748" s="28"/>
      <c r="WFH748" s="28"/>
      <c r="WFI748" s="28"/>
      <c r="WFJ748" s="28"/>
      <c r="WFK748" s="28"/>
      <c r="WFL748" s="28"/>
      <c r="WFM748" s="28"/>
      <c r="WFN748" s="28"/>
      <c r="WFO748" s="28"/>
      <c r="WFP748" s="28"/>
      <c r="WFQ748" s="28"/>
      <c r="WFR748" s="28"/>
      <c r="WFS748" s="28"/>
      <c r="WFT748" s="28"/>
      <c r="WFU748" s="28"/>
      <c r="WFV748" s="28"/>
      <c r="WFW748" s="28"/>
      <c r="WFX748" s="28"/>
      <c r="WFY748" s="28"/>
      <c r="WFZ748" s="28"/>
      <c r="WGA748" s="28"/>
      <c r="WGB748" s="28"/>
      <c r="WGC748" s="28"/>
      <c r="WGD748" s="28"/>
      <c r="WGE748" s="28"/>
      <c r="WGF748" s="28"/>
      <c r="WGG748" s="28"/>
      <c r="WGH748" s="28"/>
      <c r="WGI748" s="28"/>
      <c r="WGJ748" s="28"/>
      <c r="WGK748" s="28"/>
      <c r="WGL748" s="28"/>
      <c r="WGM748" s="28"/>
      <c r="WGN748" s="28"/>
      <c r="WGO748" s="28"/>
      <c r="WGP748" s="28"/>
      <c r="WGQ748" s="28"/>
      <c r="WGR748" s="28"/>
      <c r="WGS748" s="28"/>
      <c r="WGT748" s="28"/>
      <c r="WGU748" s="28"/>
      <c r="WGV748" s="28"/>
      <c r="WGW748" s="28"/>
      <c r="WGX748" s="28"/>
      <c r="WGY748" s="28"/>
      <c r="WGZ748" s="28"/>
      <c r="WHA748" s="28"/>
      <c r="WHB748" s="28"/>
      <c r="WHC748" s="28"/>
      <c r="WHD748" s="28"/>
      <c r="WHE748" s="28"/>
      <c r="WHF748" s="28"/>
      <c r="WHG748" s="28"/>
      <c r="WHH748" s="28"/>
      <c r="WHI748" s="28"/>
      <c r="WHJ748" s="28"/>
      <c r="WHK748" s="28"/>
      <c r="WHL748" s="28"/>
      <c r="WHM748" s="28"/>
      <c r="WHN748" s="28"/>
      <c r="WHO748" s="28"/>
      <c r="WHP748" s="28"/>
      <c r="WHQ748" s="28"/>
      <c r="WHR748" s="28"/>
      <c r="WHS748" s="28"/>
      <c r="WHT748" s="28"/>
      <c r="WHU748" s="28"/>
      <c r="WHV748" s="28"/>
      <c r="WHW748" s="28"/>
      <c r="WHX748" s="28"/>
      <c r="WHY748" s="28"/>
      <c r="WHZ748" s="28"/>
      <c r="WIA748" s="28"/>
      <c r="WIB748" s="28"/>
      <c r="WIC748" s="28"/>
      <c r="WID748" s="28"/>
      <c r="WIE748" s="28"/>
      <c r="WIF748" s="28"/>
      <c r="WIG748" s="28"/>
      <c r="WIH748" s="28"/>
      <c r="WII748" s="28"/>
      <c r="WIJ748" s="28"/>
      <c r="WIK748" s="28"/>
      <c r="WIL748" s="28"/>
      <c r="WIM748" s="28"/>
      <c r="WIN748" s="28"/>
      <c r="WIO748" s="28"/>
      <c r="WIP748" s="28"/>
      <c r="WIQ748" s="28"/>
      <c r="WIR748" s="28"/>
      <c r="WIS748" s="28"/>
      <c r="WIT748" s="28"/>
      <c r="WIU748" s="28"/>
      <c r="WIV748" s="28"/>
      <c r="WIW748" s="28"/>
      <c r="WIX748" s="28"/>
      <c r="WIY748" s="28"/>
      <c r="WIZ748" s="28"/>
      <c r="WJA748" s="28"/>
      <c r="WJB748" s="28"/>
      <c r="WJC748" s="28"/>
      <c r="WJD748" s="28"/>
      <c r="WJE748" s="28"/>
      <c r="WJF748" s="28"/>
      <c r="WJG748" s="28"/>
      <c r="WJH748" s="28"/>
      <c r="WJI748" s="28"/>
      <c r="WJJ748" s="28"/>
      <c r="WJK748" s="28"/>
      <c r="WJL748" s="28"/>
      <c r="WJM748" s="28"/>
      <c r="WJN748" s="28"/>
      <c r="WJO748" s="28"/>
      <c r="WJP748" s="28"/>
      <c r="WJQ748" s="28"/>
      <c r="WJR748" s="28"/>
      <c r="WJS748" s="28"/>
      <c r="WJT748" s="28"/>
      <c r="WJU748" s="28"/>
      <c r="WJV748" s="28"/>
      <c r="WJW748" s="28"/>
      <c r="WJX748" s="28"/>
      <c r="WJY748" s="28"/>
      <c r="WJZ748" s="28"/>
      <c r="WKA748" s="28"/>
      <c r="WKB748" s="28"/>
      <c r="WKC748" s="28"/>
      <c r="WKD748" s="28"/>
      <c r="WKE748" s="28"/>
      <c r="WKF748" s="28"/>
      <c r="WKG748" s="28"/>
      <c r="WKH748" s="28"/>
      <c r="WKI748" s="28"/>
      <c r="WKJ748" s="28"/>
      <c r="WKK748" s="28"/>
      <c r="WKL748" s="28"/>
      <c r="WKM748" s="28"/>
      <c r="WKN748" s="28"/>
      <c r="WKO748" s="28"/>
      <c r="WKP748" s="28"/>
      <c r="WKQ748" s="28"/>
      <c r="WKR748" s="28"/>
      <c r="WKS748" s="28"/>
      <c r="WKT748" s="28"/>
      <c r="WKU748" s="28"/>
      <c r="WKV748" s="28"/>
      <c r="WKW748" s="28"/>
      <c r="WKX748" s="28"/>
      <c r="WKY748" s="28"/>
      <c r="WKZ748" s="28"/>
      <c r="WLA748" s="28"/>
      <c r="WLB748" s="28"/>
      <c r="WLC748" s="28"/>
      <c r="WLD748" s="28"/>
      <c r="WLE748" s="28"/>
      <c r="WLF748" s="28"/>
      <c r="WLG748" s="28"/>
      <c r="WLH748" s="28"/>
      <c r="WLI748" s="28"/>
      <c r="WLJ748" s="28"/>
      <c r="WLK748" s="28"/>
      <c r="WLL748" s="28"/>
      <c r="WLM748" s="28"/>
      <c r="WLN748" s="28"/>
      <c r="WLO748" s="28"/>
      <c r="WLP748" s="28"/>
      <c r="WLQ748" s="28"/>
      <c r="WLR748" s="28"/>
      <c r="WLS748" s="28"/>
      <c r="WLT748" s="28"/>
      <c r="WLU748" s="28"/>
      <c r="WLV748" s="28"/>
      <c r="WLW748" s="28"/>
      <c r="WLX748" s="28"/>
      <c r="WLY748" s="28"/>
      <c r="WLZ748" s="28"/>
      <c r="WMA748" s="28"/>
      <c r="WMB748" s="28"/>
      <c r="WMC748" s="28"/>
      <c r="WMD748" s="28"/>
      <c r="WME748" s="28"/>
      <c r="WMF748" s="28"/>
      <c r="WMG748" s="28"/>
      <c r="WMH748" s="28"/>
      <c r="WMI748" s="28"/>
      <c r="WMJ748" s="28"/>
      <c r="WMK748" s="28"/>
      <c r="WML748" s="28"/>
      <c r="WMM748" s="28"/>
      <c r="WMN748" s="28"/>
      <c r="WMO748" s="28"/>
      <c r="WMP748" s="28"/>
      <c r="WMQ748" s="28"/>
      <c r="WMR748" s="28"/>
      <c r="WMS748" s="28"/>
      <c r="WMT748" s="28"/>
      <c r="WMU748" s="28"/>
      <c r="WMV748" s="28"/>
      <c r="WMW748" s="28"/>
      <c r="WMX748" s="28"/>
      <c r="WMY748" s="28"/>
      <c r="WMZ748" s="28"/>
      <c r="WNA748" s="28"/>
      <c r="WNB748" s="28"/>
      <c r="WNC748" s="28"/>
      <c r="WND748" s="28"/>
      <c r="WNE748" s="28"/>
      <c r="WNF748" s="28"/>
      <c r="WNG748" s="28"/>
      <c r="WNH748" s="28"/>
      <c r="WNI748" s="28"/>
      <c r="WNJ748" s="28"/>
      <c r="WNK748" s="28"/>
      <c r="WNL748" s="28"/>
      <c r="WNM748" s="28"/>
      <c r="WNN748" s="28"/>
      <c r="WNO748" s="28"/>
      <c r="WNP748" s="28"/>
      <c r="WNQ748" s="28"/>
      <c r="WNR748" s="28"/>
      <c r="WNS748" s="28"/>
      <c r="WNT748" s="28"/>
      <c r="WNU748" s="28"/>
      <c r="WNV748" s="28"/>
      <c r="WNW748" s="28"/>
      <c r="WNX748" s="28"/>
      <c r="WNY748" s="28"/>
      <c r="WNZ748" s="28"/>
      <c r="WOA748" s="28"/>
      <c r="WOB748" s="28"/>
      <c r="WOC748" s="28"/>
      <c r="WOD748" s="28"/>
      <c r="WOE748" s="28"/>
      <c r="WOF748" s="28"/>
      <c r="WOG748" s="28"/>
      <c r="WOH748" s="28"/>
      <c r="WOI748" s="28"/>
      <c r="WOJ748" s="28"/>
      <c r="WOK748" s="28"/>
      <c r="WOL748" s="28"/>
      <c r="WOM748" s="28"/>
      <c r="WON748" s="28"/>
      <c r="WOO748" s="28"/>
      <c r="WOP748" s="28"/>
      <c r="WOQ748" s="28"/>
      <c r="WOR748" s="28"/>
      <c r="WOS748" s="28"/>
      <c r="WOT748" s="28"/>
      <c r="WOU748" s="28"/>
      <c r="WOV748" s="28"/>
      <c r="WOW748" s="28"/>
      <c r="WOX748" s="28"/>
      <c r="WOY748" s="28"/>
      <c r="WOZ748" s="28"/>
      <c r="WPA748" s="28"/>
      <c r="WPB748" s="28"/>
      <c r="WPC748" s="28"/>
      <c r="WPD748" s="28"/>
      <c r="WPE748" s="28"/>
      <c r="WPF748" s="28"/>
      <c r="WPG748" s="28"/>
      <c r="WPH748" s="28"/>
      <c r="WPI748" s="28"/>
      <c r="WPJ748" s="28"/>
      <c r="WPK748" s="28"/>
      <c r="WPL748" s="28"/>
      <c r="WPM748" s="28"/>
      <c r="WPN748" s="28"/>
      <c r="WPO748" s="28"/>
      <c r="WPP748" s="28"/>
      <c r="WPQ748" s="28"/>
      <c r="WPR748" s="28"/>
      <c r="WPS748" s="28"/>
      <c r="WPT748" s="28"/>
      <c r="WPU748" s="28"/>
      <c r="WPV748" s="28"/>
      <c r="WPW748" s="28"/>
      <c r="WPX748" s="28"/>
      <c r="WPY748" s="28"/>
      <c r="WPZ748" s="28"/>
      <c r="WQA748" s="28"/>
      <c r="WQB748" s="28"/>
      <c r="WQC748" s="28"/>
      <c r="WQD748" s="28"/>
      <c r="WQE748" s="28"/>
      <c r="WQF748" s="28"/>
      <c r="WQG748" s="28"/>
      <c r="WQH748" s="28"/>
      <c r="WQI748" s="28"/>
      <c r="WQJ748" s="28"/>
      <c r="WQK748" s="28"/>
      <c r="WQL748" s="28"/>
      <c r="WQM748" s="28"/>
      <c r="WQN748" s="28"/>
      <c r="WQO748" s="28"/>
      <c r="WQP748" s="28"/>
      <c r="WQQ748" s="28"/>
      <c r="WQR748" s="28"/>
      <c r="WQS748" s="28"/>
      <c r="WQT748" s="28"/>
      <c r="WQU748" s="28"/>
      <c r="WQV748" s="28"/>
      <c r="WQW748" s="28"/>
      <c r="WQX748" s="28"/>
      <c r="WQY748" s="28"/>
      <c r="WQZ748" s="28"/>
      <c r="WRA748" s="28"/>
      <c r="WRB748" s="28"/>
      <c r="WRC748" s="28"/>
      <c r="WRD748" s="28"/>
      <c r="WRE748" s="28"/>
      <c r="WRF748" s="28"/>
      <c r="WRG748" s="28"/>
      <c r="WRH748" s="28"/>
      <c r="WRI748" s="28"/>
      <c r="WRJ748" s="28"/>
      <c r="WRK748" s="28"/>
      <c r="WRL748" s="28"/>
      <c r="WRM748" s="28"/>
      <c r="WRN748" s="28"/>
      <c r="WRO748" s="28"/>
      <c r="WRP748" s="28"/>
      <c r="WRQ748" s="28"/>
      <c r="WRR748" s="28"/>
      <c r="WRS748" s="28"/>
      <c r="WRT748" s="28"/>
      <c r="WRU748" s="28"/>
      <c r="WRV748" s="28"/>
      <c r="WRW748" s="28"/>
      <c r="WRX748" s="28"/>
      <c r="WRY748" s="28"/>
      <c r="WRZ748" s="28"/>
      <c r="WSA748" s="28"/>
      <c r="WSB748" s="28"/>
      <c r="WSC748" s="28"/>
      <c r="WSD748" s="28"/>
      <c r="WSE748" s="28"/>
      <c r="WSF748" s="28"/>
      <c r="WSG748" s="28"/>
      <c r="WSH748" s="28"/>
      <c r="WSI748" s="28"/>
      <c r="WSJ748" s="28"/>
      <c r="WSK748" s="28"/>
      <c r="WSL748" s="28"/>
      <c r="WSM748" s="28"/>
      <c r="WSN748" s="28"/>
      <c r="WSO748" s="28"/>
      <c r="WSP748" s="28"/>
      <c r="WSQ748" s="28"/>
      <c r="WSR748" s="28"/>
      <c r="WSS748" s="28"/>
      <c r="WST748" s="28"/>
      <c r="WSU748" s="28"/>
      <c r="WSV748" s="28"/>
      <c r="WSW748" s="28"/>
      <c r="WSX748" s="28"/>
      <c r="WSY748" s="28"/>
      <c r="WSZ748" s="28"/>
      <c r="WTA748" s="28"/>
      <c r="WTB748" s="28"/>
      <c r="WTC748" s="28"/>
      <c r="WTD748" s="28"/>
      <c r="WTE748" s="28"/>
      <c r="WTF748" s="28"/>
      <c r="WTG748" s="28"/>
      <c r="WTH748" s="28"/>
      <c r="WTI748" s="28"/>
      <c r="WTJ748" s="28"/>
      <c r="WTK748" s="28"/>
      <c r="WTL748" s="28"/>
      <c r="WTM748" s="28"/>
      <c r="WTN748" s="28"/>
      <c r="WTO748" s="28"/>
      <c r="WTP748" s="28"/>
      <c r="WTQ748" s="28"/>
      <c r="WTR748" s="28"/>
      <c r="WTS748" s="28"/>
      <c r="WTT748" s="28"/>
      <c r="WTU748" s="28"/>
      <c r="WTV748" s="28"/>
      <c r="WTW748" s="28"/>
      <c r="WTX748" s="28"/>
      <c r="WTY748" s="28"/>
      <c r="WTZ748" s="28"/>
      <c r="WUA748" s="28"/>
      <c r="WUB748" s="28"/>
      <c r="WUC748" s="28"/>
      <c r="WUD748" s="28"/>
      <c r="WUE748" s="28"/>
      <c r="WUF748" s="28"/>
      <c r="WUG748" s="28"/>
      <c r="WUH748" s="28"/>
      <c r="WUI748" s="28"/>
      <c r="WUJ748" s="28"/>
      <c r="WUK748" s="28"/>
      <c r="WUL748" s="28"/>
      <c r="WUM748" s="28"/>
      <c r="WUN748" s="28"/>
      <c r="WUO748" s="28"/>
      <c r="WUP748" s="28"/>
      <c r="WUQ748" s="28"/>
      <c r="WUR748" s="28"/>
      <c r="WUS748" s="28"/>
      <c r="WUT748" s="28"/>
      <c r="WUU748" s="28"/>
      <c r="WUV748" s="28"/>
      <c r="WUW748" s="28"/>
      <c r="WUX748" s="28"/>
      <c r="WUY748" s="28"/>
      <c r="WUZ748" s="28"/>
      <c r="WVA748" s="28"/>
      <c r="WVB748" s="28"/>
      <c r="WVC748" s="28"/>
      <c r="WVD748" s="28"/>
      <c r="WVE748" s="28"/>
      <c r="WVF748" s="28"/>
      <c r="WVG748" s="28"/>
      <c r="WVH748" s="28"/>
      <c r="WVI748" s="28"/>
      <c r="WVJ748" s="28"/>
      <c r="WVK748" s="28"/>
      <c r="WVL748" s="28"/>
      <c r="WVM748" s="28"/>
      <c r="WVN748" s="28"/>
      <c r="WVO748" s="28"/>
      <c r="WVP748" s="28"/>
      <c r="WVQ748" s="28"/>
      <c r="WVR748" s="28"/>
      <c r="WVS748" s="28"/>
      <c r="WVT748" s="28"/>
      <c r="WVU748" s="28"/>
      <c r="WVV748" s="28"/>
      <c r="WVW748" s="28"/>
      <c r="WVX748" s="28"/>
      <c r="WVY748" s="28"/>
      <c r="WVZ748" s="28"/>
      <c r="WWA748" s="28"/>
      <c r="WWB748" s="28"/>
      <c r="WWC748" s="28"/>
      <c r="WWD748" s="28"/>
      <c r="WWE748" s="28"/>
      <c r="WWF748" s="28"/>
      <c r="WWG748" s="28"/>
      <c r="WWH748" s="28"/>
      <c r="WWI748" s="28"/>
      <c r="WWJ748" s="28"/>
      <c r="WWK748" s="28"/>
      <c r="WWL748" s="28"/>
      <c r="WWM748" s="28"/>
      <c r="WWN748" s="28"/>
      <c r="WWO748" s="28"/>
      <c r="WWP748" s="28"/>
      <c r="WWQ748" s="28"/>
      <c r="WWR748" s="28"/>
      <c r="WWS748" s="28"/>
      <c r="WWT748" s="28"/>
      <c r="WWU748" s="28"/>
      <c r="WWV748" s="28"/>
      <c r="WWW748" s="28"/>
      <c r="WWX748" s="28"/>
      <c r="WWY748" s="28"/>
      <c r="WWZ748" s="28"/>
      <c r="WXA748" s="28"/>
      <c r="WXB748" s="28"/>
      <c r="WXC748" s="28"/>
      <c r="WXD748" s="28"/>
      <c r="WXE748" s="28"/>
      <c r="WXF748" s="28"/>
      <c r="WXG748" s="28"/>
      <c r="WXH748" s="28"/>
      <c r="WXI748" s="28"/>
      <c r="WXJ748" s="28"/>
      <c r="WXK748" s="28"/>
      <c r="WXL748" s="28"/>
      <c r="WXM748" s="28"/>
      <c r="WXN748" s="28"/>
      <c r="WXO748" s="28"/>
      <c r="WXP748" s="28"/>
      <c r="WXQ748" s="28"/>
      <c r="WXR748" s="28"/>
      <c r="WXS748" s="28"/>
      <c r="WXT748" s="28"/>
      <c r="WXU748" s="28"/>
      <c r="WXV748" s="28"/>
      <c r="WXW748" s="28"/>
      <c r="WXX748" s="28"/>
      <c r="WXY748" s="28"/>
      <c r="WXZ748" s="28"/>
      <c r="WYA748" s="28"/>
      <c r="WYB748" s="28"/>
      <c r="WYC748" s="28"/>
      <c r="WYD748" s="28"/>
      <c r="WYE748" s="28"/>
      <c r="WYF748" s="28"/>
      <c r="WYG748" s="28"/>
      <c r="WYH748" s="28"/>
      <c r="WYI748" s="28"/>
      <c r="WYJ748" s="28"/>
      <c r="WYK748" s="28"/>
      <c r="WYL748" s="28"/>
      <c r="WYM748" s="28"/>
      <c r="WYN748" s="28"/>
      <c r="WYO748" s="28"/>
      <c r="WYP748" s="28"/>
      <c r="WYQ748" s="28"/>
      <c r="WYR748" s="28"/>
      <c r="WYS748" s="28"/>
      <c r="WYT748" s="28"/>
      <c r="WYU748" s="28"/>
      <c r="WYV748" s="28"/>
      <c r="WYW748" s="28"/>
      <c r="WYX748" s="28"/>
      <c r="WYY748" s="28"/>
      <c r="WYZ748" s="28"/>
      <c r="WZA748" s="28"/>
      <c r="WZB748" s="28"/>
      <c r="WZC748" s="28"/>
      <c r="WZD748" s="28"/>
      <c r="WZE748" s="28"/>
      <c r="WZF748" s="28"/>
      <c r="WZG748" s="28"/>
      <c r="WZH748" s="28"/>
      <c r="WZI748" s="28"/>
      <c r="WZJ748" s="28"/>
      <c r="WZK748" s="28"/>
      <c r="WZL748" s="28"/>
      <c r="WZM748" s="28"/>
      <c r="WZN748" s="28"/>
      <c r="WZO748" s="28"/>
      <c r="WZP748" s="28"/>
      <c r="WZQ748" s="28"/>
      <c r="WZR748" s="28"/>
      <c r="WZS748" s="28"/>
      <c r="WZT748" s="28"/>
      <c r="WZU748" s="28"/>
      <c r="WZV748" s="28"/>
      <c r="WZW748" s="28"/>
      <c r="WZX748" s="28"/>
      <c r="WZY748" s="28"/>
      <c r="WZZ748" s="28"/>
      <c r="XAA748" s="28"/>
      <c r="XAB748" s="28"/>
      <c r="XAC748" s="28"/>
      <c r="XAD748" s="28"/>
      <c r="XAE748" s="28"/>
      <c r="XAF748" s="28"/>
      <c r="XAG748" s="28"/>
      <c r="XAH748" s="28"/>
      <c r="XAI748" s="28"/>
      <c r="XAJ748" s="28"/>
      <c r="XAK748" s="28"/>
      <c r="XAL748" s="28"/>
      <c r="XAM748" s="28"/>
      <c r="XAN748" s="28"/>
      <c r="XAO748" s="28"/>
      <c r="XAP748" s="28"/>
      <c r="XAQ748" s="28"/>
      <c r="XAR748" s="28"/>
      <c r="XAS748" s="28"/>
      <c r="XAT748" s="28"/>
      <c r="XAU748" s="28"/>
      <c r="XAV748" s="28"/>
      <c r="XAW748" s="28"/>
      <c r="XAX748" s="28"/>
      <c r="XAY748" s="28"/>
      <c r="XAZ748" s="28"/>
      <c r="XBA748" s="28"/>
      <c r="XBB748" s="28"/>
      <c r="XBC748" s="28"/>
      <c r="XBD748" s="28"/>
      <c r="XBE748" s="28"/>
      <c r="XBF748" s="28"/>
      <c r="XBG748" s="28"/>
      <c r="XBH748" s="28"/>
      <c r="XBI748" s="28"/>
      <c r="XBJ748" s="28"/>
      <c r="XBK748" s="28"/>
      <c r="XBL748" s="28"/>
      <c r="XBM748" s="28"/>
      <c r="XBN748" s="28"/>
      <c r="XBO748" s="28"/>
      <c r="XBP748" s="28"/>
      <c r="XBQ748" s="28"/>
      <c r="XBR748" s="28"/>
      <c r="XBS748" s="28"/>
      <c r="XBT748" s="28"/>
      <c r="XBU748" s="28"/>
      <c r="XBV748" s="28"/>
      <c r="XBW748" s="28"/>
      <c r="XBX748" s="28"/>
      <c r="XBY748" s="28"/>
      <c r="XBZ748" s="28"/>
      <c r="XCA748" s="28"/>
      <c r="XCB748" s="28"/>
      <c r="XCC748" s="28"/>
      <c r="XCD748" s="28"/>
      <c r="XCE748" s="28"/>
      <c r="XCF748" s="28"/>
      <c r="XCG748" s="28"/>
      <c r="XCH748" s="28"/>
      <c r="XCI748" s="28"/>
      <c r="XCJ748" s="28"/>
      <c r="XCK748" s="28"/>
      <c r="XCL748" s="28"/>
      <c r="XCM748" s="28"/>
      <c r="XCN748" s="28"/>
      <c r="XCO748" s="28"/>
      <c r="XCP748" s="28"/>
      <c r="XCQ748" s="28"/>
      <c r="XCR748" s="28"/>
      <c r="XCS748" s="28"/>
      <c r="XCT748" s="28"/>
      <c r="XCU748" s="28"/>
      <c r="XCV748" s="28"/>
      <c r="XCW748" s="28"/>
      <c r="XCX748" s="28"/>
      <c r="XCY748" s="28"/>
      <c r="XCZ748" s="28"/>
      <c r="XDA748" s="28"/>
      <c r="XDB748" s="28"/>
      <c r="XDC748" s="28"/>
      <c r="XDD748" s="28"/>
      <c r="XDE748" s="28"/>
      <c r="XDF748" s="28"/>
      <c r="XDG748" s="28"/>
      <c r="XDH748" s="28"/>
      <c r="XDI748" s="28"/>
      <c r="XDJ748" s="28"/>
      <c r="XDK748" s="28"/>
      <c r="XDL748" s="28"/>
      <c r="XDM748" s="28"/>
      <c r="XDN748" s="28"/>
      <c r="XDO748" s="28"/>
      <c r="XDP748" s="28"/>
      <c r="XDQ748" s="28"/>
      <c r="XDR748" s="28"/>
      <c r="XDS748" s="28"/>
      <c r="XDT748" s="28"/>
      <c r="XDU748" s="28"/>
      <c r="XDV748" s="28"/>
      <c r="XDW748" s="28"/>
      <c r="XDX748" s="28"/>
      <c r="XDY748" s="28"/>
      <c r="XDZ748" s="28"/>
      <c r="XEA748" s="28"/>
      <c r="XEB748" s="28"/>
      <c r="XEC748" s="28"/>
      <c r="XED748" s="28"/>
      <c r="XEE748" s="28"/>
      <c r="XEF748" s="28"/>
      <c r="XEG748" s="28"/>
      <c r="XEH748" s="28"/>
      <c r="XEI748" s="28"/>
      <c r="XEJ748" s="28"/>
      <c r="XEK748" s="28"/>
      <c r="XEL748" s="28"/>
      <c r="XEM748" s="28"/>
      <c r="XEN748" s="28"/>
      <c r="XEO748" s="28"/>
      <c r="XEP748" s="28"/>
      <c r="XEQ748" s="28"/>
      <c r="XER748" s="28"/>
      <c r="XES748" s="28"/>
      <c r="XET748" s="28"/>
      <c r="XEU748" s="28"/>
      <c r="XEV748" s="28"/>
      <c r="XEW748" s="28"/>
      <c r="XEX748" s="28"/>
      <c r="XEY748" s="28"/>
      <c r="XEZ748" s="28"/>
      <c r="XFA748" s="28"/>
      <c r="XFB748" s="28"/>
      <c r="XFC748" s="28"/>
      <c r="XFD748" s="28"/>
    </row>
    <row r="749" spans="1:1024 1025:16384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spans="1:1024 1025:16384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spans="1:1024 1025:16384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spans="1:1024 1025:16384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spans="1:7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spans="1:7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spans="1:7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spans="1:7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spans="1:7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spans="1:7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spans="1:7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spans="1:7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spans="1:7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spans="1:7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spans="1:7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spans="1:7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spans="1:7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spans="1:7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spans="1:7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spans="1:7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spans="1:7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spans="1:7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spans="1:7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spans="1: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spans="1:7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spans="1:7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spans="1:7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spans="1:7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spans="1:7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spans="1:7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spans="1:7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spans="1:7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spans="1:7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spans="1:7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spans="1:7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spans="1:7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spans="1:7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spans="1:7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spans="1:7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spans="1:7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spans="1:7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spans="1:7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spans="1:7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spans="1:7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spans="1:7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spans="1:7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spans="1:7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spans="1:7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spans="1:7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spans="1:7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spans="1:7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spans="1:7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spans="1:7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spans="1:7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spans="1:7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spans="1:7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spans="1:7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spans="1:7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spans="1:7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spans="1:7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spans="1:7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spans="1:7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spans="1:7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spans="1:7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spans="1:7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spans="1:7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spans="1:7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spans="1:7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spans="1:7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spans="1:7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spans="1:7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spans="1:7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spans="1:7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spans="1:7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spans="1:7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spans="1:7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spans="1:7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spans="1:7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spans="1:7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spans="1:7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spans="1:7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spans="1:7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spans="1:7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spans="1:7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spans="1:7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spans="1:7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spans="1:7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spans="1:7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spans="1:7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spans="1:7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spans="1:7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spans="1:7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spans="1:7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spans="1:7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spans="1:7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spans="1:7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spans="1:7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spans="1:7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spans="1:7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spans="1:7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spans="1:7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spans="1:7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spans="1:7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spans="1:7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spans="1:7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spans="1:7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spans="1:7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spans="1:7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spans="1:7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spans="1:7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spans="1:7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spans="1:7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spans="1:7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spans="1:7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spans="1:7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spans="1:7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spans="1:7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spans="1:7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spans="1:7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spans="1:7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spans="1:7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spans="1:7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spans="1:7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spans="1: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spans="1:7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spans="1:7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spans="1:7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spans="1:7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spans="1:7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spans="1:7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spans="1:7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spans="1:7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spans="1:7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spans="1:7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spans="1:7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spans="1:7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spans="1:7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spans="1:7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spans="1:7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spans="1:7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spans="1:7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spans="1:7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spans="1:7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spans="1:7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spans="1:7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spans="1:7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spans="1:7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spans="1:7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spans="1:7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spans="1:7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spans="1:7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spans="1:7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spans="1:7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spans="1:7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spans="1:7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spans="1:7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spans="1:7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spans="1:7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spans="1:7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spans="1:7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spans="1:7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spans="1:7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spans="1:7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spans="1:7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spans="1:7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spans="1:7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spans="1:7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spans="1:7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spans="1:7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spans="1:7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spans="1:7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spans="1:7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spans="1:7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spans="1:7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spans="1:7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spans="1:7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spans="1:7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spans="1:7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spans="1:7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spans="1:7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spans="1:7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spans="1:7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spans="1:7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spans="1:7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spans="1:7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spans="1:7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spans="1:7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spans="1:7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spans="1:7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spans="1:7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spans="1:7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spans="1:7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spans="1:7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spans="1:7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spans="1:7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spans="1:7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spans="1:7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spans="1:7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spans="1:7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spans="1:7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spans="1:7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spans="1:7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spans="1:7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spans="1:7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spans="1:7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spans="1:7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spans="1:7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spans="1:7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spans="1:7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spans="1:7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spans="1:7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spans="1:7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spans="1:7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spans="1:7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spans="1:7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spans="1:7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spans="1:7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spans="1:7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spans="1:7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spans="1:7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spans="1:7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spans="1:7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spans="1:7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spans="1: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spans="1:7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spans="1:7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spans="1:7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spans="1:7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spans="1:7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spans="1:7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spans="1:7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spans="1:7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spans="1:7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spans="1:7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spans="1:7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 spans="1:7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 spans="1:7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 spans="1:7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 spans="1:7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 spans="1:7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 spans="1:7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 spans="1:7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 spans="1:7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 spans="1:7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 spans="1:7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 spans="1:7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 spans="1:7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 spans="1:7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 spans="1:7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  <row r="998" spans="1:7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</row>
    <row r="999" spans="1:7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</row>
    <row r="1000" spans="1:7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</row>
    <row r="1001" spans="1:7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</row>
    <row r="1002" spans="1:7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</row>
    <row r="1003" spans="1:7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</row>
    <row r="1004" spans="1:7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</row>
    <row r="1005" spans="1:7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</row>
    <row r="1006" spans="1:7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</row>
    <row r="1007" spans="1:7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</row>
    <row r="1008" spans="1:7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</row>
    <row r="1009" spans="1:7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</row>
    <row r="1010" spans="1:7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</row>
    <row r="1011" spans="1:7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</row>
    <row r="1012" spans="1:7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</row>
    <row r="1013" spans="1:7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</row>
    <row r="1014" spans="1:7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</row>
    <row r="1015" spans="1:7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</row>
    <row r="1016" spans="1:7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</row>
    <row r="1017" spans="1:7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</row>
    <row r="1018" spans="1:7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</row>
    <row r="1019" spans="1:7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</row>
    <row r="1020" spans="1:7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</row>
    <row r="1021" spans="1:7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</row>
    <row r="1022" spans="1:7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</row>
    <row r="1023" spans="1:7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</row>
    <row r="1024" spans="1:7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</row>
    <row r="1025" spans="1:7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</row>
    <row r="1026" spans="1:7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</row>
    <row r="1027" spans="1:7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</row>
    <row r="1028" spans="1:7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</row>
    <row r="1029" spans="1:7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</row>
    <row r="1030" spans="1:7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</row>
    <row r="1031" spans="1:7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</row>
    <row r="1032" spans="1:7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</row>
    <row r="1033" spans="1:7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</row>
    <row r="1034" spans="1:7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</row>
    <row r="1035" spans="1:7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</row>
    <row r="1036" spans="1:7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</row>
    <row r="1037" spans="1:7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</row>
    <row r="1038" spans="1:7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</row>
    <row r="1039" spans="1:7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</row>
    <row r="1040" spans="1:7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</row>
    <row r="1041" spans="1:7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</row>
    <row r="1042" spans="1:7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</row>
    <row r="1043" spans="1:7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</row>
    <row r="1044" spans="1:7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</row>
    <row r="1045" spans="1:7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</row>
    <row r="1046" spans="1:7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</row>
    <row r="1047" spans="1:7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</row>
    <row r="1048" spans="1:7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</row>
    <row r="1049" spans="1:7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</row>
    <row r="1050" spans="1:7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</row>
    <row r="1051" spans="1:7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</row>
    <row r="1052" spans="1:7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</row>
    <row r="1053" spans="1:7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</row>
    <row r="1054" spans="1:7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</row>
    <row r="1055" spans="1:7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</row>
    <row r="1056" spans="1:7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</row>
    <row r="1057" spans="1:7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</row>
    <row r="1058" spans="1:7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</row>
    <row r="1059" spans="1:7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</row>
    <row r="1060" spans="1:7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</row>
    <row r="1061" spans="1:7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</row>
    <row r="1062" spans="1:7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</row>
    <row r="1063" spans="1:7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</row>
    <row r="1064" spans="1:7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</row>
    <row r="1065" spans="1:7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</row>
    <row r="1066" spans="1:7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</row>
    <row r="1067" spans="1:7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</row>
    <row r="1068" spans="1:7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</row>
    <row r="1069" spans="1:7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</row>
    <row r="1070" spans="1:7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</row>
    <row r="1071" spans="1:7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</row>
    <row r="1072" spans="1: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</row>
    <row r="1073" spans="1:7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</row>
    <row r="1074" spans="1:7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</row>
    <row r="1075" spans="1:7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</row>
    <row r="1076" spans="1:7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</row>
    <row r="1077" spans="1:7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</row>
    <row r="1078" spans="1:7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</row>
    <row r="1079" spans="1:7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</row>
    <row r="1080" spans="1:7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</row>
    <row r="1081" spans="1:7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</row>
    <row r="1082" spans="1:7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</row>
    <row r="1083" spans="1:7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</row>
    <row r="1084" spans="1:7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</row>
    <row r="1085" spans="1:7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</row>
    <row r="1086" spans="1:7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</row>
    <row r="1087" spans="1:7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</row>
    <row r="1088" spans="1:7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</row>
    <row r="1089" spans="1:7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</row>
    <row r="1090" spans="1:7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</row>
    <row r="1091" spans="1:7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</row>
    <row r="1092" spans="1:7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</row>
    <row r="1093" spans="1:7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</row>
    <row r="1094" spans="1:7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</row>
    <row r="1095" spans="1:7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</row>
    <row r="1096" spans="1:7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</row>
    <row r="1097" spans="1:7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</row>
    <row r="1098" spans="1:7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</row>
    <row r="1099" spans="1:7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</row>
    <row r="1100" spans="1:7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</row>
    <row r="1101" spans="1:7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</row>
    <row r="1102" spans="1:7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</row>
    <row r="1103" spans="1:7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</row>
    <row r="1104" spans="1:7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</row>
    <row r="1105" spans="1:7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</row>
    <row r="1106" spans="1:7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</row>
    <row r="1107" spans="1:7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</row>
    <row r="1108" spans="1:7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</row>
    <row r="1109" spans="1:7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</row>
    <row r="1110" spans="1:7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</row>
    <row r="1111" spans="1:7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</row>
    <row r="1112" spans="1:7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</row>
    <row r="1113" spans="1:7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</row>
    <row r="1114" spans="1:7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</row>
    <row r="1115" spans="1:7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</row>
    <row r="1116" spans="1:7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</row>
    <row r="1117" spans="1:7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</row>
    <row r="1118" spans="1:7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</row>
    <row r="1119" spans="1:7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</row>
    <row r="1120" spans="1:7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</row>
    <row r="1121" spans="1:7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</row>
    <row r="1122" spans="1:7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</row>
    <row r="1123" spans="1:7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</row>
    <row r="1124" spans="1:7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</row>
    <row r="1125" spans="1:7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</row>
    <row r="1126" spans="1:7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</row>
    <row r="1127" spans="1:7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</row>
    <row r="1128" spans="1:7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</row>
    <row r="1129" spans="1:7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</row>
    <row r="1130" spans="1:7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</row>
    <row r="1131" spans="1:7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</row>
    <row r="1132" spans="1:7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</row>
    <row r="1133" spans="1:7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</row>
    <row r="1134" spans="1:7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</row>
    <row r="1135" spans="1:7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</row>
    <row r="1136" spans="1:7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</row>
    <row r="1137" spans="1:7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</row>
    <row r="1138" spans="1:7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</row>
    <row r="1139" spans="1:7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</row>
    <row r="1140" spans="1:7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</row>
    <row r="1141" spans="1:7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</row>
    <row r="1142" spans="1:7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</row>
    <row r="1143" spans="1:7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</row>
    <row r="1144" spans="1:7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</row>
    <row r="1145" spans="1:7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</row>
    <row r="1146" spans="1:7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</row>
    <row r="1147" spans="1:7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</row>
    <row r="1148" spans="1:7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</row>
    <row r="1149" spans="1:7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</row>
    <row r="1150" spans="1:7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</row>
    <row r="1151" spans="1:7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</row>
    <row r="1152" spans="1:7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</row>
    <row r="1153" spans="1:7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</row>
    <row r="1154" spans="1:7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</row>
    <row r="1155" spans="1:7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</row>
    <row r="1156" spans="1:7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</row>
    <row r="1157" spans="1:7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</row>
    <row r="1158" spans="1:7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</row>
    <row r="1159" spans="1:7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</row>
    <row r="1160" spans="1:7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</row>
    <row r="1161" spans="1:7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</row>
    <row r="1162" spans="1:7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</row>
    <row r="1163" spans="1:7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</row>
    <row r="1164" spans="1:7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</row>
    <row r="1165" spans="1:7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</row>
    <row r="1166" spans="1:7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</row>
    <row r="1167" spans="1:7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</row>
    <row r="1168" spans="1:7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</row>
    <row r="1169" spans="1:7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</row>
    <row r="1170" spans="1:7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</row>
    <row r="1171" spans="1:7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</row>
    <row r="1172" spans="1:7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</row>
    <row r="1173" spans="1:7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</row>
    <row r="1174" spans="1:7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</row>
    <row r="1175" spans="1:7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</row>
    <row r="1176" spans="1:7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</row>
    <row r="1177" spans="1:7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</row>
    <row r="1178" spans="1:7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</row>
    <row r="1179" spans="1:7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</row>
    <row r="1180" spans="1:7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</row>
    <row r="1181" spans="1:7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</row>
    <row r="1182" spans="1:7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</row>
    <row r="1183" spans="1:7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</row>
    <row r="1184" spans="1:7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</row>
    <row r="1185" spans="1:7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</row>
    <row r="1186" spans="1:7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</row>
    <row r="1187" spans="1:7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</row>
    <row r="1188" spans="1:7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</row>
    <row r="1189" spans="1:7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</row>
    <row r="1190" spans="1:7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</row>
    <row r="1191" spans="1:7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</row>
    <row r="1192" spans="1:7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</row>
    <row r="1193" spans="1:7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</row>
    <row r="1194" spans="1:7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</row>
    <row r="1195" spans="1:7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</row>
    <row r="1196" spans="1:7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</row>
    <row r="1197" spans="1:7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</row>
    <row r="1198" spans="1:7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</row>
    <row r="1199" spans="1:7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</row>
    <row r="1200" spans="1:7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</row>
    <row r="1201" spans="1:7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</row>
    <row r="1202" spans="1:7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</row>
    <row r="1203" spans="1:7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</row>
    <row r="1204" spans="1:7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</row>
    <row r="1205" spans="1:7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</row>
    <row r="1206" spans="1:7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</row>
    <row r="1207" spans="1:7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</row>
    <row r="1208" spans="1:7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</row>
    <row r="1209" spans="1:7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</row>
    <row r="1210" spans="1:7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</row>
    <row r="1211" spans="1:7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</row>
    <row r="1212" spans="1:7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</row>
    <row r="1213" spans="1:7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</row>
    <row r="1214" spans="1:7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</row>
    <row r="1215" spans="1:7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</row>
    <row r="1216" spans="1:7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</row>
    <row r="1217" spans="1:7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</row>
    <row r="1218" spans="1:7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</row>
    <row r="1219" spans="1:7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</row>
    <row r="1220" spans="1:7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</row>
    <row r="1221" spans="1:7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</row>
    <row r="1222" spans="1:7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</row>
    <row r="1223" spans="1:7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</row>
    <row r="1224" spans="1:7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</row>
    <row r="1225" spans="1:7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</row>
    <row r="1226" spans="1:7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</row>
    <row r="1227" spans="1:7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</row>
    <row r="1228" spans="1:7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</row>
    <row r="1229" spans="1:7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</row>
    <row r="1230" spans="1:7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</row>
    <row r="1231" spans="1:7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</row>
    <row r="1232" spans="1:7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</row>
    <row r="1233" spans="1:7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</row>
    <row r="1234" spans="1:7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</row>
    <row r="1235" spans="1:7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</row>
    <row r="1236" spans="1:7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</row>
    <row r="1237" spans="1:7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</row>
    <row r="1238" spans="1:7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</row>
    <row r="1239" spans="1:7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</row>
    <row r="1240" spans="1:7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</row>
    <row r="1241" spans="1:7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</row>
    <row r="1242" spans="1:7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</row>
    <row r="1243" spans="1:7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</row>
    <row r="1244" spans="1:7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</row>
    <row r="1245" spans="1:7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</row>
    <row r="1246" spans="1:7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</row>
    <row r="1247" spans="1:7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</row>
    <row r="1248" spans="1:7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</row>
    <row r="1249" spans="1:7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</row>
    <row r="1250" spans="1:7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</row>
    <row r="1251" spans="1:7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</row>
    <row r="1252" spans="1:7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</row>
    <row r="1253" spans="1:7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</row>
    <row r="1254" spans="1:7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</row>
    <row r="1255" spans="1:7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</row>
    <row r="1256" spans="1:7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</row>
    <row r="1257" spans="1:7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</row>
    <row r="1258" spans="1:7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</row>
    <row r="1259" spans="1:7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</row>
    <row r="1260" spans="1:7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</row>
    <row r="1261" spans="1:7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</row>
    <row r="1262" spans="1:7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</row>
    <row r="1263" spans="1:7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</row>
    <row r="1264" spans="1:7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</row>
    <row r="1265" spans="1:7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</row>
    <row r="1266" spans="1:7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</row>
    <row r="1267" spans="1:7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</row>
    <row r="1268" spans="1:7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</row>
    <row r="1269" spans="1:7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</row>
    <row r="1270" spans="1:7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</row>
    <row r="1271" spans="1:7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</row>
    <row r="1272" spans="1:7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</row>
    <row r="1273" spans="1:7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</row>
    <row r="1274" spans="1:7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</row>
    <row r="1275" spans="1:7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</row>
    <row r="1276" spans="1:7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</row>
    <row r="1277" spans="1:7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</row>
    <row r="1278" spans="1:7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</row>
    <row r="1279" spans="1:7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</row>
    <row r="1280" spans="1:7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</row>
    <row r="1281" spans="1:7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</row>
    <row r="1282" spans="1:7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</row>
    <row r="1283" spans="1:7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  <c r="BL1283" s="10"/>
      <c r="BM1283" s="10"/>
      <c r="BN1283" s="10"/>
      <c r="BO1283" s="10"/>
      <c r="BP1283" s="10"/>
      <c r="BQ1283" s="10"/>
      <c r="BR1283" s="10"/>
      <c r="BS1283" s="10"/>
      <c r="BT1283" s="10"/>
    </row>
    <row r="1284" spans="1:7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  <c r="BL1284" s="10"/>
      <c r="BM1284" s="10"/>
      <c r="BN1284" s="10"/>
      <c r="BO1284" s="10"/>
      <c r="BP1284" s="10"/>
      <c r="BQ1284" s="10"/>
      <c r="BR1284" s="10"/>
      <c r="BS1284" s="10"/>
      <c r="BT1284" s="10"/>
    </row>
    <row r="1285" spans="1:7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</row>
    <row r="1286" spans="1:7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  <c r="BL1286" s="10"/>
      <c r="BM1286" s="10"/>
      <c r="BN1286" s="10"/>
      <c r="BO1286" s="10"/>
      <c r="BP1286" s="10"/>
      <c r="BQ1286" s="10"/>
      <c r="BR1286" s="10"/>
      <c r="BS1286" s="10"/>
      <c r="BT1286" s="10"/>
    </row>
    <row r="1287" spans="1:7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</row>
    <row r="1288" spans="1:7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</row>
    <row r="1289" spans="1:7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</row>
    <row r="1290" spans="1:7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  <c r="BO1290" s="10"/>
      <c r="BP1290" s="10"/>
      <c r="BQ1290" s="10"/>
      <c r="BR1290" s="10"/>
      <c r="BS1290" s="10"/>
      <c r="BT1290" s="10"/>
    </row>
    <row r="1291" spans="1:7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  <c r="BL1291" s="10"/>
      <c r="BM1291" s="10"/>
      <c r="BN1291" s="10"/>
      <c r="BO1291" s="10"/>
      <c r="BP1291" s="10"/>
      <c r="BQ1291" s="10"/>
      <c r="BR1291" s="10"/>
      <c r="BS1291" s="10"/>
      <c r="BT1291" s="10"/>
    </row>
    <row r="1292" spans="1:7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</row>
    <row r="1293" spans="1:7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  <c r="BL1293" s="10"/>
      <c r="BM1293" s="10"/>
      <c r="BN1293" s="10"/>
      <c r="BO1293" s="10"/>
      <c r="BP1293" s="10"/>
      <c r="BQ1293" s="10"/>
      <c r="BR1293" s="10"/>
      <c r="BS1293" s="10"/>
      <c r="BT1293" s="10"/>
    </row>
    <row r="1294" spans="1:7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</row>
    <row r="1295" spans="1:7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  <c r="BL1295" s="10"/>
      <c r="BM1295" s="10"/>
      <c r="BN1295" s="10"/>
      <c r="BO1295" s="10"/>
      <c r="BP1295" s="10"/>
      <c r="BQ1295" s="10"/>
      <c r="BR1295" s="10"/>
      <c r="BS1295" s="10"/>
      <c r="BT1295" s="10"/>
    </row>
    <row r="1296" spans="1:7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</row>
    <row r="1297" spans="1:7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</row>
    <row r="1298" spans="1:7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10"/>
      <c r="BQ1298" s="10"/>
      <c r="BR1298" s="10"/>
      <c r="BS1298" s="10"/>
      <c r="BT1298" s="10"/>
    </row>
    <row r="1299" spans="1:7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/>
      <c r="BT1299" s="10"/>
    </row>
    <row r="1300" spans="1:7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10"/>
      <c r="BQ1300" s="10"/>
      <c r="BR1300" s="10"/>
      <c r="BS1300" s="10"/>
      <c r="BT1300" s="10"/>
    </row>
    <row r="1301" spans="1:7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</row>
    <row r="1302" spans="1:7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</row>
    <row r="1303" spans="1:7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</row>
    <row r="1304" spans="1:7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</row>
    <row r="1305" spans="1:7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10"/>
      <c r="BQ1305" s="10"/>
      <c r="BR1305" s="10"/>
      <c r="BS1305" s="10"/>
      <c r="BT1305" s="10"/>
    </row>
    <row r="1306" spans="1:7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</row>
    <row r="1307" spans="1:7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10"/>
      <c r="BQ1307" s="10"/>
      <c r="BR1307" s="10"/>
      <c r="BS1307" s="10"/>
      <c r="BT1307" s="10"/>
    </row>
    <row r="1308" spans="1:7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10"/>
      <c r="BQ1308" s="10"/>
      <c r="BR1308" s="10"/>
      <c r="BS1308" s="10"/>
      <c r="BT1308" s="10"/>
    </row>
    <row r="1309" spans="1:7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</row>
    <row r="1310" spans="1:7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10"/>
      <c r="BQ1310" s="10"/>
      <c r="BR1310" s="10"/>
      <c r="BS1310" s="10"/>
      <c r="BT1310" s="10"/>
    </row>
    <row r="1311" spans="1:7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</row>
    <row r="1312" spans="1:7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</row>
    <row r="1313" spans="1:7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10"/>
      <c r="BQ1313" s="10"/>
      <c r="BR1313" s="10"/>
      <c r="BS1313" s="10"/>
      <c r="BT1313" s="10"/>
    </row>
    <row r="1314" spans="1:7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10"/>
      <c r="BQ1314" s="10"/>
      <c r="BR1314" s="10"/>
      <c r="BS1314" s="10"/>
      <c r="BT1314" s="10"/>
    </row>
    <row r="1315" spans="1:7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</row>
    <row r="1316" spans="1:7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</row>
    <row r="1317" spans="1:7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10"/>
      <c r="BQ1317" s="10"/>
      <c r="BR1317" s="10"/>
      <c r="BS1317" s="10"/>
      <c r="BT1317" s="10"/>
    </row>
    <row r="1318" spans="1:7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10"/>
      <c r="BQ1318" s="10"/>
      <c r="BR1318" s="10"/>
      <c r="BS1318" s="10"/>
      <c r="BT1318" s="10"/>
    </row>
    <row r="1319" spans="1:7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</row>
    <row r="1320" spans="1:7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10"/>
      <c r="BQ1320" s="10"/>
      <c r="BR1320" s="10"/>
      <c r="BS1320" s="10"/>
      <c r="BT1320" s="10"/>
    </row>
    <row r="1321" spans="1:7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10"/>
      <c r="BQ1321" s="10"/>
      <c r="BR1321" s="10"/>
      <c r="BS1321" s="10"/>
      <c r="BT1321" s="10"/>
    </row>
    <row r="1322" spans="1:7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10"/>
      <c r="BQ1322" s="10"/>
      <c r="BR1322" s="10"/>
      <c r="BS1322" s="10"/>
      <c r="BT1322" s="10"/>
    </row>
    <row r="1323" spans="1:7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</row>
    <row r="1324" spans="1:7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</row>
    <row r="1325" spans="1:7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</row>
    <row r="1326" spans="1:7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10"/>
      <c r="BQ1326" s="10"/>
      <c r="BR1326" s="10"/>
      <c r="BS1326" s="10"/>
      <c r="BT1326" s="10"/>
    </row>
    <row r="1327" spans="1:7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10"/>
      <c r="BQ1327" s="10"/>
      <c r="BR1327" s="10"/>
      <c r="BS1327" s="10"/>
      <c r="BT1327" s="10"/>
    </row>
    <row r="1328" spans="1:7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/>
      <c r="BT1328" s="10"/>
    </row>
    <row r="1329" spans="1:7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10"/>
      <c r="BQ1329" s="10"/>
      <c r="BR1329" s="10"/>
      <c r="BS1329" s="10"/>
      <c r="BT1329" s="10"/>
    </row>
    <row r="1330" spans="1:7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</row>
    <row r="1331" spans="1:7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10"/>
      <c r="BQ1331" s="10"/>
      <c r="BR1331" s="10"/>
      <c r="BS1331" s="10"/>
      <c r="BT1331" s="10"/>
    </row>
    <row r="1332" spans="1:7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</row>
    <row r="1333" spans="1:7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</row>
    <row r="1334" spans="1:7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10"/>
      <c r="BQ1334" s="10"/>
      <c r="BR1334" s="10"/>
      <c r="BS1334" s="10"/>
      <c r="BT1334" s="10"/>
    </row>
    <row r="1335" spans="1:7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</row>
    <row r="1336" spans="1:7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10"/>
      <c r="BQ1336" s="10"/>
      <c r="BR1336" s="10"/>
      <c r="BS1336" s="10"/>
      <c r="BT1336" s="10"/>
    </row>
    <row r="1337" spans="1:7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10"/>
      <c r="BQ1337" s="10"/>
      <c r="BR1337" s="10"/>
      <c r="BS1337" s="10"/>
      <c r="BT1337" s="10"/>
    </row>
    <row r="1338" spans="1:7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</row>
    <row r="1339" spans="1:7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10"/>
      <c r="BQ1339" s="10"/>
      <c r="BR1339" s="10"/>
      <c r="BS1339" s="10"/>
      <c r="BT1339" s="10"/>
    </row>
    <row r="1340" spans="1:7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10"/>
      <c r="BQ1340" s="10"/>
      <c r="BR1340" s="10"/>
      <c r="BS1340" s="10"/>
      <c r="BT1340" s="10"/>
    </row>
    <row r="1341" spans="1:7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</row>
    <row r="1342" spans="1:7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</row>
    <row r="1343" spans="1:7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10"/>
      <c r="BQ1343" s="10"/>
      <c r="BR1343" s="10"/>
      <c r="BS1343" s="10"/>
      <c r="BT1343" s="10"/>
    </row>
    <row r="1344" spans="1:7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10"/>
      <c r="BQ1344" s="10"/>
      <c r="BR1344" s="10"/>
      <c r="BS1344" s="10"/>
      <c r="BT1344" s="10"/>
    </row>
    <row r="1345" spans="1:7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10"/>
      <c r="BQ1345" s="10"/>
      <c r="BR1345" s="10"/>
      <c r="BS1345" s="10"/>
      <c r="BT1345" s="10"/>
    </row>
    <row r="1346" spans="1:7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</row>
    <row r="1347" spans="1:7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/>
      <c r="BT1347" s="10"/>
    </row>
    <row r="1348" spans="1:7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</row>
    <row r="1349" spans="1:7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</row>
    <row r="1350" spans="1:7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10"/>
      <c r="BQ1350" s="10"/>
      <c r="BR1350" s="10"/>
      <c r="BS1350" s="10"/>
      <c r="BT1350" s="10"/>
    </row>
    <row r="1351" spans="1:7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10"/>
      <c r="BQ1351" s="10"/>
      <c r="BR1351" s="10"/>
      <c r="BS1351" s="10"/>
      <c r="BT1351" s="10"/>
    </row>
    <row r="1352" spans="1:7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10"/>
      <c r="BQ1352" s="10"/>
      <c r="BR1352" s="10"/>
      <c r="BS1352" s="10"/>
      <c r="BT1352" s="10"/>
    </row>
    <row r="1353" spans="1:7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10"/>
      <c r="BQ1353" s="10"/>
      <c r="BR1353" s="10"/>
      <c r="BS1353" s="10"/>
      <c r="BT1353" s="10"/>
    </row>
    <row r="1354" spans="1:7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</row>
    <row r="1355" spans="1:7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/>
      <c r="BT1355" s="10"/>
    </row>
    <row r="1356" spans="1:7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/>
      <c r="BT1356" s="10"/>
    </row>
    <row r="1357" spans="1:7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10"/>
      <c r="BQ1357" s="10"/>
      <c r="BR1357" s="10"/>
      <c r="BS1357" s="10"/>
      <c r="BT1357" s="10"/>
    </row>
    <row r="1358" spans="1:7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10"/>
      <c r="BQ1358" s="10"/>
      <c r="BR1358" s="10"/>
      <c r="BS1358" s="10"/>
      <c r="BT1358" s="10"/>
    </row>
    <row r="1359" spans="1:7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10"/>
      <c r="BQ1359" s="10"/>
      <c r="BR1359" s="10"/>
      <c r="BS1359" s="10"/>
      <c r="BT1359" s="10"/>
    </row>
    <row r="1360" spans="1:7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10"/>
      <c r="BQ1360" s="10"/>
      <c r="BR1360" s="10"/>
      <c r="BS1360" s="10"/>
      <c r="BT1360" s="10"/>
    </row>
    <row r="1361" spans="1:7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</row>
    <row r="1362" spans="1:7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10"/>
      <c r="BQ1362" s="10"/>
      <c r="BR1362" s="10"/>
      <c r="BS1362" s="10"/>
      <c r="BT1362" s="10"/>
    </row>
    <row r="1363" spans="1:7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10"/>
      <c r="BQ1363" s="10"/>
      <c r="BR1363" s="10"/>
      <c r="BS1363" s="10"/>
      <c r="BT1363" s="10"/>
    </row>
    <row r="1364" spans="1:7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</row>
    <row r="1365" spans="1:7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10"/>
      <c r="BQ1365" s="10"/>
      <c r="BR1365" s="10"/>
      <c r="BS1365" s="10"/>
      <c r="BT1365" s="10"/>
    </row>
    <row r="1366" spans="1:7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10"/>
      <c r="BQ1366" s="10"/>
      <c r="BR1366" s="10"/>
      <c r="BS1366" s="10"/>
      <c r="BT1366" s="10"/>
    </row>
    <row r="1367" spans="1:7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/>
      <c r="BT1367" s="10"/>
    </row>
  </sheetData>
  <autoFilter xmlns:etc="http://www.wps.cn/officeDocument/2017/etCustomData" ref="A4:XFD747" etc:filterBottomFollowUsedRange="0">
    <extLst/>
  </autoFilter>
  <mergeCells count="48">
    <mergeCell ref="A1:CU1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CN2:CO2"/>
    <mergeCell ref="CP2:CQ2"/>
    <mergeCell ref="CR2:CS2"/>
    <mergeCell ref="CT2:CU2"/>
    <mergeCell ref="K748:T748"/>
    <mergeCell ref="A2:A4"/>
    <mergeCell ref="A5:A7"/>
    <mergeCell ref="B2:B4"/>
    <mergeCell ref="B5:B7"/>
    <mergeCell ref="C2:C4"/>
    <mergeCell ref="D2:D4"/>
    <mergeCell ref="E2:E4"/>
    <mergeCell ref="F2:F4"/>
    <mergeCell ref="G2:G4"/>
    <mergeCell ref="H2:H4"/>
  </mergeCells>
  <conditionalFormatting sqref="H7">
    <cfRule type="expression" priority="3">
      <formula>$A$2</formula>
    </cfRule>
    <cfRule type="expression" priority="2">
      <formula>$A8&lt;&gt;""</formula>
    </cfRule>
    <cfRule type="expression" dxfId="0" priority="1">
      <formula>$A8&lt;&gt;""</formula>
    </cfRule>
  </conditionalFormatting>
  <conditionalFormatting sqref="AS7:BF7">
    <cfRule type="expression" dxfId="0" priority="52">
      <formula>#REF!&lt;&gt;""</formula>
    </cfRule>
    <cfRule type="expression" priority="53">
      <formula>#REF!&lt;&gt;""</formula>
    </cfRule>
    <cfRule type="expression" priority="54">
      <formula>$A$2</formula>
    </cfRule>
  </conditionalFormatting>
  <conditionalFormatting sqref="BG7:BT7">
    <cfRule type="expression" dxfId="0" priority="55">
      <formula>#REF!&lt;&gt;""</formula>
    </cfRule>
    <cfRule type="expression" priority="56">
      <formula>#REF!&lt;&gt;""</formula>
    </cfRule>
    <cfRule type="expression" priority="57">
      <formula>$A$2</formula>
    </cfRule>
  </conditionalFormatting>
  <conditionalFormatting sqref="E8">
    <cfRule type="expression" priority="27">
      <formula>$A$2</formula>
    </cfRule>
    <cfRule type="expression" priority="26">
      <formula>#REF!&lt;&gt;""</formula>
    </cfRule>
    <cfRule type="expression" dxfId="0" priority="25">
      <formula>#REF!&lt;&gt;""</formula>
    </cfRule>
  </conditionalFormatting>
  <conditionalFormatting sqref="H8">
    <cfRule type="expression" priority="12">
      <formula>$A$2</formula>
    </cfRule>
    <cfRule type="expression" priority="11">
      <formula>$A9&lt;&gt;""</formula>
    </cfRule>
    <cfRule type="expression" dxfId="0" priority="10">
      <formula>$A9&lt;&gt;""</formula>
    </cfRule>
  </conditionalFormatting>
  <conditionalFormatting sqref="E9">
    <cfRule type="expression" priority="24">
      <formula>$A$2</formula>
    </cfRule>
    <cfRule type="expression" priority="23">
      <formula>#REF!&lt;&gt;""</formula>
    </cfRule>
    <cfRule type="expression" dxfId="0" priority="22">
      <formula>#REF!&lt;&gt;""</formula>
    </cfRule>
  </conditionalFormatting>
  <conditionalFormatting sqref="E10:E747">
    <cfRule type="expression" priority="30">
      <formula>$A$2</formula>
    </cfRule>
    <cfRule type="expression" priority="29">
      <formula>#REF!&lt;&gt;""</formula>
    </cfRule>
    <cfRule type="expression" dxfId="0" priority="28">
      <formula>#REF!&lt;&gt;""</formula>
    </cfRule>
  </conditionalFormatting>
  <conditionalFormatting sqref="F8:F747">
    <cfRule type="expression" priority="15">
      <formula>$A$2</formula>
    </cfRule>
    <cfRule type="expression" priority="14">
      <formula>#REF!&lt;&gt;""</formula>
    </cfRule>
    <cfRule type="expression" dxfId="0" priority="13">
      <formula>#REF!&lt;&gt;""</formula>
    </cfRule>
  </conditionalFormatting>
  <conditionalFormatting sqref="G8:G747">
    <cfRule type="expression" priority="21">
      <formula>$A$2</formula>
    </cfRule>
    <cfRule type="expression" priority="20">
      <formula>#REF!&lt;&gt;""</formula>
    </cfRule>
    <cfRule type="expression" dxfId="0" priority="19">
      <formula>#REF!&lt;&gt;""</formula>
    </cfRule>
  </conditionalFormatting>
  <conditionalFormatting sqref="H5:H6">
    <cfRule type="expression" priority="6">
      <formula>$A$2</formula>
    </cfRule>
    <cfRule type="expression" priority="5">
      <formula>$A6&lt;&gt;""</formula>
    </cfRule>
    <cfRule type="expression" dxfId="0" priority="4">
      <formula>$A6&lt;&gt;""</formula>
    </cfRule>
  </conditionalFormatting>
  <conditionalFormatting sqref="H9:H747">
    <cfRule type="expression" priority="18">
      <formula>$A$2</formula>
    </cfRule>
    <cfRule type="expression" priority="17">
      <formula>#REF!&lt;&gt;""</formula>
    </cfRule>
    <cfRule type="expression" dxfId="0" priority="16">
      <formula>#REF!&lt;&gt;""</formula>
    </cfRule>
  </conditionalFormatting>
  <conditionalFormatting sqref="A1 A2:AR2 CN2:CU2 A5:G5 I5:AR5 CN5:CU5 C6:G6 I6:AR6 CN6:CU6">
    <cfRule type="expression" dxfId="0" priority="43">
      <formula>$A2&lt;&gt;""</formula>
    </cfRule>
    <cfRule type="expression" priority="44">
      <formula>$A2&lt;&gt;""</formula>
    </cfRule>
    <cfRule type="expression" priority="45">
      <formula>$A$2</formula>
    </cfRule>
  </conditionalFormatting>
  <conditionalFormatting sqref="AS2:BF2 AS5:BF6">
    <cfRule type="expression" dxfId="0" priority="37">
      <formula>$A3&lt;&gt;""</formula>
    </cfRule>
    <cfRule type="expression" priority="38">
      <formula>$A3&lt;&gt;""</formula>
    </cfRule>
    <cfRule type="expression" priority="39">
      <formula>$A$2</formula>
    </cfRule>
  </conditionalFormatting>
  <conditionalFormatting sqref="BG2:BT2 BG5:BT6">
    <cfRule type="expression" dxfId="0" priority="31">
      <formula>$A3&lt;&gt;""</formula>
    </cfRule>
    <cfRule type="expression" priority="32">
      <formula>$A3&lt;&gt;""</formula>
    </cfRule>
    <cfRule type="expression" priority="33">
      <formula>$A$2</formula>
    </cfRule>
  </conditionalFormatting>
  <conditionalFormatting sqref="I3:AR4 CN3:CU4">
    <cfRule type="expression" dxfId="0" priority="46">
      <formula>$A5&lt;&gt;""</formula>
    </cfRule>
    <cfRule type="expression" priority="47">
      <formula>$A5&lt;&gt;""</formula>
    </cfRule>
    <cfRule type="expression" priority="48">
      <formula>$A$2</formula>
    </cfRule>
  </conditionalFormatting>
  <conditionalFormatting sqref="AS3:BF4">
    <cfRule type="expression" dxfId="0" priority="40">
      <formula>$A5&lt;&gt;""</formula>
    </cfRule>
    <cfRule type="expression" priority="41">
      <formula>$A5&lt;&gt;""</formula>
    </cfRule>
    <cfRule type="expression" priority="42">
      <formula>$A$2</formula>
    </cfRule>
  </conditionalFormatting>
  <conditionalFormatting sqref="BG3:BT4">
    <cfRule type="expression" dxfId="0" priority="34">
      <formula>$A5&lt;&gt;""</formula>
    </cfRule>
    <cfRule type="expression" priority="35">
      <formula>$A5&lt;&gt;""</formula>
    </cfRule>
    <cfRule type="expression" priority="36">
      <formula>$A$2</formula>
    </cfRule>
  </conditionalFormatting>
  <conditionalFormatting sqref="C7:G7 I7:AR7 CN7:CU7">
    <cfRule type="expression" dxfId="0" priority="49">
      <formula>#REF!&lt;&gt;""</formula>
    </cfRule>
    <cfRule type="expression" priority="50">
      <formula>#REF!&lt;&gt;""</formula>
    </cfRule>
    <cfRule type="expression" priority="51">
      <formula>$A$2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内尺寸</vt:lpstr>
      <vt:lpstr>外尺寸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覃海霞</cp:lastModifiedBy>
  <dcterms:created xsi:type="dcterms:W3CDTF">2026-03-06T12:11:00Z</dcterms:created>
  <dcterms:modified xsi:type="dcterms:W3CDTF">2026-04-22T00:51:44Z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048F5762CC4B4437B3B866F48C1D61AE_13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